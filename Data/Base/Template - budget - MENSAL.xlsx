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dson.araujo\Downloads\"/>
    </mc:Choice>
  </mc:AlternateContent>
  <bookViews>
    <workbookView xWindow="0" yWindow="0" windowWidth="20490" windowHeight="7035" tabRatio="813"/>
  </bookViews>
  <sheets>
    <sheet name="Lista" sheetId="2" r:id="rId1"/>
    <sheet name="Janeiro" sheetId="3" r:id="rId2"/>
    <sheet name="Fevereiro" sheetId="1" r:id="rId3"/>
    <sheet name="Março" sheetId="4" r:id="rId4"/>
    <sheet name="Abril" sheetId="5" r:id="rId5"/>
    <sheet name="Maio" sheetId="6" r:id="rId6"/>
    <sheet name="Junho" sheetId="7" r:id="rId7"/>
    <sheet name="Julho" sheetId="8" r:id="rId8"/>
    <sheet name="Agosto" sheetId="9" r:id="rId9"/>
    <sheet name="Setembro" sheetId="10" r:id="rId10"/>
    <sheet name="Outubro" sheetId="11" r:id="rId11"/>
    <sheet name="Novembro" sheetId="12" r:id="rId12"/>
    <sheet name="Dezembro" sheetId="13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3" l="1"/>
  <c r="H30" i="13"/>
  <c r="H28" i="13"/>
  <c r="H34" i="13" s="1"/>
  <c r="H31" i="12"/>
  <c r="H30" i="12"/>
  <c r="H28" i="12"/>
  <c r="H34" i="12" s="1"/>
  <c r="H31" i="11"/>
  <c r="H30" i="11"/>
  <c r="H28" i="11"/>
  <c r="H34" i="11" s="1"/>
  <c r="H31" i="10"/>
  <c r="H30" i="10"/>
  <c r="H28" i="10"/>
  <c r="H34" i="10" s="1"/>
  <c r="H31" i="9"/>
  <c r="H30" i="9"/>
  <c r="H28" i="9"/>
  <c r="H34" i="9" s="1"/>
  <c r="H31" i="8"/>
  <c r="H30" i="8"/>
  <c r="H28" i="8"/>
  <c r="H34" i="8" s="1"/>
  <c r="H31" i="7"/>
  <c r="H30" i="7"/>
  <c r="H28" i="7"/>
  <c r="H34" i="7" s="1"/>
  <c r="H34" i="6"/>
  <c r="H36" i="6" s="1"/>
  <c r="H31" i="6"/>
  <c r="H30" i="6"/>
  <c r="H28" i="6"/>
  <c r="H31" i="5"/>
  <c r="H30" i="5"/>
  <c r="H28" i="5"/>
  <c r="H34" i="5" s="1"/>
  <c r="H31" i="4"/>
  <c r="H30" i="4"/>
  <c r="H28" i="4"/>
  <c r="H34" i="4" s="1"/>
  <c r="H31" i="1"/>
  <c r="H30" i="1"/>
  <c r="H28" i="1"/>
  <c r="H34" i="1" s="1"/>
  <c r="H28" i="3"/>
  <c r="H30" i="3" s="1"/>
  <c r="E4" i="13"/>
  <c r="E4" i="12"/>
  <c r="E4" i="11"/>
  <c r="E4" i="10"/>
  <c r="E4" i="9"/>
  <c r="E4" i="8"/>
  <c r="E4" i="7"/>
  <c r="E4" i="6"/>
  <c r="E4" i="5"/>
  <c r="E4" i="4"/>
  <c r="H35" i="13" l="1"/>
  <c r="H36" i="13"/>
  <c r="H36" i="12"/>
  <c r="H35" i="12"/>
  <c r="H36" i="11"/>
  <c r="H35" i="11"/>
  <c r="H35" i="10"/>
  <c r="H36" i="10"/>
  <c r="H36" i="9"/>
  <c r="H35" i="9"/>
  <c r="H36" i="8"/>
  <c r="H35" i="8"/>
  <c r="H36" i="7"/>
  <c r="H35" i="7"/>
  <c r="H35" i="6"/>
  <c r="H36" i="5"/>
  <c r="H35" i="5"/>
  <c r="H35" i="4"/>
  <c r="H36" i="4"/>
  <c r="H36" i="1"/>
  <c r="H35" i="1"/>
  <c r="H31" i="3"/>
  <c r="H34" i="3"/>
  <c r="H36" i="3" s="1"/>
  <c r="H15" i="1" l="1"/>
  <c r="H35" i="3"/>
  <c r="H15" i="4" l="1"/>
  <c r="H15" i="5" l="1"/>
  <c r="H15" i="6" l="1"/>
  <c r="H15" i="7" l="1"/>
  <c r="H15" i="8"/>
  <c r="H15" i="9" l="1"/>
  <c r="H15" i="10" l="1"/>
  <c r="H15" i="11" l="1"/>
  <c r="H15" i="12" l="1"/>
  <c r="H15" i="13" l="1"/>
  <c r="E4" i="3" l="1"/>
  <c r="E4" i="1" l="1"/>
</calcChain>
</file>

<file path=xl/sharedStrings.xml><?xml version="1.0" encoding="utf-8"?>
<sst xmlns="http://schemas.openxmlformats.org/spreadsheetml/2006/main" count="335" uniqueCount="86">
  <si>
    <t>FORNECEDOR</t>
  </si>
  <si>
    <t>DESCRIÇÃO</t>
  </si>
  <si>
    <t xml:space="preserve">CENTRO DE CUSTO </t>
  </si>
  <si>
    <t>RESPONSÁVEL</t>
  </si>
  <si>
    <t>BUDGET/MÊS</t>
  </si>
  <si>
    <t>ANÁLISE  MENSAL  BUDGET 2026</t>
  </si>
  <si>
    <t xml:space="preserve">MÊS DE REFERÊNCIA </t>
  </si>
  <si>
    <t>CONTA CONTÁBIL</t>
  </si>
  <si>
    <t>Data:</t>
  </si>
  <si>
    <t>Aprovador:</t>
  </si>
  <si>
    <t>BUDGET/ANO</t>
  </si>
  <si>
    <t>Jan/2026</t>
  </si>
  <si>
    <t>Fev/2026</t>
  </si>
  <si>
    <t>Mar/2026</t>
  </si>
  <si>
    <t>Abr/2026</t>
  </si>
  <si>
    <t>Mai/2026</t>
  </si>
  <si>
    <t>Jun/2026</t>
  </si>
  <si>
    <t>Jul/2026</t>
  </si>
  <si>
    <t>Ago/2026</t>
  </si>
  <si>
    <t>Set/2026</t>
  </si>
  <si>
    <t>Out/2026</t>
  </si>
  <si>
    <t>Nov/2026</t>
  </si>
  <si>
    <t>Dez/2026</t>
  </si>
  <si>
    <t>SALDO DO BUDGET MENSAL</t>
  </si>
  <si>
    <t>%BUDGET CONSUMIDO / MÊS</t>
  </si>
  <si>
    <t>SALDO DO BUDGET ACUMULADO</t>
  </si>
  <si>
    <t>Mês</t>
  </si>
  <si>
    <t>Centro de Custos</t>
  </si>
  <si>
    <t>DATA DE ENTREGA</t>
  </si>
  <si>
    <t>DATA DE EMISSÃO</t>
  </si>
  <si>
    <t>VALOR</t>
  </si>
  <si>
    <t>CONSUMO ACUMULADO ATÉ O MÊS ANTERIOR</t>
  </si>
  <si>
    <t>CONSUMO ACUMULADO ATUAL</t>
  </si>
  <si>
    <t>TOTAL DO MÊS</t>
  </si>
  <si>
    <t>% BUDGET CONSUMIDO / ANO</t>
  </si>
  <si>
    <t>MOTORISTAS OPERACIONAIS</t>
  </si>
  <si>
    <t>MOTORISTAS - VIAGEM</t>
  </si>
  <si>
    <t>MANUTENCAO DE FROTA</t>
  </si>
  <si>
    <t>MANUTENCAO PREDIAL</t>
  </si>
  <si>
    <t>SEGURANCA OPERACIONAL</t>
  </si>
  <si>
    <t>GESTAO DE OPERACOES</t>
  </si>
  <si>
    <t>FATURAMENTO</t>
  </si>
  <si>
    <t>CONTROLE DE TRAFEGO</t>
  </si>
  <si>
    <t>EXPEDICAO</t>
  </si>
  <si>
    <t>RECEBIMENTO</t>
  </si>
  <si>
    <t>GESTAO DE ESTOQUE</t>
  </si>
  <si>
    <t>GESTAO DE FROTA</t>
  </si>
  <si>
    <t>TRANSPORTE</t>
  </si>
  <si>
    <t>GESTAO DE ARMAZENAGEM E MOVIMENTACAO</t>
  </si>
  <si>
    <t>EXPEDIÇÃO</t>
  </si>
  <si>
    <t>GESTÃO DE ESTOQUE</t>
  </si>
  <si>
    <t>ARMAZENAGEM GERAL OUTROS</t>
  </si>
  <si>
    <t>ADEQUACAO/FRACIONAMENTO</t>
  </si>
  <si>
    <t>HSE</t>
  </si>
  <si>
    <t>QUALIDADE</t>
  </si>
  <si>
    <t>MANUTENCAO  EQUIPAMENTOS</t>
  </si>
  <si>
    <t>GESTAO TRANSPORTES</t>
  </si>
  <si>
    <t>ARMAZENAGEM</t>
  </si>
  <si>
    <t>DIRETORIA</t>
  </si>
  <si>
    <t>ADMINISTRATIVO DIRETORIA</t>
  </si>
  <si>
    <t>ADMINISTRATIVO GERAL</t>
  </si>
  <si>
    <t>RECURSOS HUMANOS</t>
  </si>
  <si>
    <t>COMERCIAL</t>
  </si>
  <si>
    <t>PROJETOS</t>
  </si>
  <si>
    <t>TESOURARIA</t>
  </si>
  <si>
    <t>CONTAS A PAGAR</t>
  </si>
  <si>
    <t>CONTAS A RECEBER</t>
  </si>
  <si>
    <t>CREDITO E COBRANÇA</t>
  </si>
  <si>
    <t>ADMISTRACAO FINANCEIRA</t>
  </si>
  <si>
    <t>CORPORATE</t>
  </si>
  <si>
    <t>CONTROLADORIA</t>
  </si>
  <si>
    <t>RECRUTAMENTO SELECAO</t>
  </si>
  <si>
    <t>TREINAMENTO / DESENVOLVIMENTO</t>
  </si>
  <si>
    <t>GESTAO DA QUALIDADE</t>
  </si>
  <si>
    <t>SEGURANCA DO TRABALHO</t>
  </si>
  <si>
    <t>SAC ADM.</t>
  </si>
  <si>
    <t>SAC OPERACIONAL</t>
  </si>
  <si>
    <t>COMPRAS</t>
  </si>
  <si>
    <t>TI - DIVISAO DE NEGOCIO</t>
  </si>
  <si>
    <t>JURIDICO - DIVISAO DE NEGOCIO</t>
  </si>
  <si>
    <t>DESPESAS ADMINISTRATIVAS</t>
  </si>
  <si>
    <t>RECRUTAMENTO E SELEÇÃO - CORP</t>
  </si>
  <si>
    <t>ADMINISTRATIVO</t>
  </si>
  <si>
    <t>CONTAS A RECEBER CORP</t>
  </si>
  <si>
    <t>GESTÃO FROTA</t>
  </si>
  <si>
    <t>Código Centro de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</si>
</sst>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1" xfId="1" applyFont="1" applyBorder="1"/>
    <xf numFmtId="17" fontId="0" fillId="0" borderId="0" xfId="0" applyNumberFormat="1" applyAlignment="1">
      <alignment horizontal="right"/>
    </xf>
    <xf numFmtId="0" fontId="3" fillId="0" borderId="0" xfId="0" applyFont="1"/>
    <xf numFmtId="44" fontId="0" fillId="0" borderId="0" xfId="1" applyFont="1" applyBorder="1"/>
    <xf numFmtId="17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4" fontId="2" fillId="0" borderId="1" xfId="1" applyFont="1" applyBorder="1"/>
    <xf numFmtId="0" fontId="0" fillId="0" borderId="3" xfId="0" applyBorder="1"/>
    <xf numFmtId="49" fontId="0" fillId="0" borderId="0" xfId="0" applyNumberFormat="1"/>
    <xf numFmtId="49" fontId="0" fillId="0" borderId="1" xfId="0" applyNumberFormat="1" applyBorder="1"/>
    <xf numFmtId="44" fontId="2" fillId="0" borderId="1" xfId="0" quotePrefix="1" applyNumberFormat="1" applyFont="1" applyBorder="1"/>
    <xf numFmtId="44" fontId="0" fillId="0" borderId="0" xfId="0" applyNumberFormat="1"/>
    <xf numFmtId="17" fontId="2" fillId="0" borderId="0" xfId="0" applyNumberFormat="1" applyFont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0" fontId="2" fillId="0" borderId="1" xfId="2" quotePrefix="1" applyNumberFormat="1" applyFont="1" applyBorder="1"/>
    <xf numFmtId="10" fontId="0" fillId="0" borderId="0" xfId="2" applyNumberFormat="1" applyFont="1"/>
    <xf numFmtId="44" fontId="2" fillId="0" borderId="1" xfId="1" quotePrefix="1" applyFont="1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9" fontId="2" fillId="0" borderId="4" xfId="2" applyFont="1" applyBorder="1" applyAlignment="1">
      <alignment horizontal="left"/>
    </xf>
    <xf numFmtId="9" fontId="2" fillId="0" borderId="5" xfId="2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7" fontId="2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8565FED4-6E85-440B-91D7-2DFD94EF4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A34D3BEF-9DA6-4F9A-B9A0-9AB1170A5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0"/>
          <a:ext cx="2762250" cy="828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E608AD7B-031D-4EC7-80C9-72FEF2336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85EE011-B8F2-4136-811D-6DD0CB6EB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2E13E13-BE7E-49F1-8176-85F06FC51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C15BD9CD-324F-4550-B583-19710B20B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86C10263-8965-4984-997E-5C737F617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1E95420E-FB60-4F49-97B1-B72255C92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9D4DC7DD-8ABC-4DE4-B6C7-B37F2555E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EE8E7106-A651-4968-A259-27F854CDC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6EBD8D17-6AE1-46B1-B5D4-F627D319D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</xdr:col>
      <xdr:colOff>600075</xdr:colOff>
      <xdr:row>2</xdr:row>
      <xdr:rowOff>295275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282BFF27-1386-4F19-9B7E-38258F1C2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0"/>
          <a:ext cx="2802255" cy="821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7"/>
  <sheetViews>
    <sheetView showGridLines="0" tabSelected="1" workbookViewId="0">
      <selection activeCell="E26" sqref="E26"/>
    </sheetView>
  </sheetViews>
  <sheetFormatPr defaultRowHeight="14.25"/>
  <cols>
    <col min="4" max="4" width="26.5" style="27" bestFit="1" customWidth="1"/>
    <col min="5" max="5" width="43.5" style="3" bestFit="1" customWidth="1"/>
  </cols>
  <sheetData>
    <row r="1" spans="2:5" ht="15">
      <c r="B1" s="9" t="s">
        <v>26</v>
      </c>
      <c r="D1" s="26" t="s">
        <v>85</v>
      </c>
      <c r="E1" s="9" t="s">
        <v>27</v>
      </c>
    </row>
    <row r="2" spans="2:5">
      <c r="B2" s="15" t="s">
        <v>11</v>
      </c>
      <c r="D2" s="25">
        <v>21110101</v>
      </c>
      <c r="E2" s="2" t="s">
        <v>35</v>
      </c>
    </row>
    <row r="3" spans="2:5">
      <c r="B3" s="15" t="s">
        <v>12</v>
      </c>
      <c r="D3" s="25">
        <v>21110102</v>
      </c>
      <c r="E3" s="2" t="s">
        <v>36</v>
      </c>
    </row>
    <row r="4" spans="2:5">
      <c r="B4" s="15" t="s">
        <v>13</v>
      </c>
      <c r="D4" s="25">
        <v>21110201</v>
      </c>
      <c r="E4" s="2" t="s">
        <v>37</v>
      </c>
    </row>
    <row r="5" spans="2:5">
      <c r="B5" s="15" t="s">
        <v>14</v>
      </c>
      <c r="D5" s="25">
        <v>21110203</v>
      </c>
      <c r="E5" s="2" t="s">
        <v>38</v>
      </c>
    </row>
    <row r="6" spans="2:5">
      <c r="B6" s="15" t="s">
        <v>15</v>
      </c>
      <c r="D6" s="25">
        <v>21110301</v>
      </c>
      <c r="E6" s="2" t="s">
        <v>39</v>
      </c>
    </row>
    <row r="7" spans="2:5">
      <c r="B7" s="15" t="s">
        <v>16</v>
      </c>
      <c r="D7" s="25">
        <v>21110302</v>
      </c>
      <c r="E7" s="2" t="s">
        <v>40</v>
      </c>
    </row>
    <row r="8" spans="2:5">
      <c r="B8" s="15" t="s">
        <v>17</v>
      </c>
      <c r="D8" s="25">
        <v>21110401</v>
      </c>
      <c r="E8" s="2" t="s">
        <v>40</v>
      </c>
    </row>
    <row r="9" spans="2:5">
      <c r="B9" s="15" t="s">
        <v>18</v>
      </c>
      <c r="D9" s="25">
        <v>21110402</v>
      </c>
      <c r="E9" s="2" t="s">
        <v>41</v>
      </c>
    </row>
    <row r="10" spans="2:5">
      <c r="B10" s="15" t="s">
        <v>19</v>
      </c>
      <c r="D10" s="25">
        <v>21110403</v>
      </c>
      <c r="E10" s="2" t="s">
        <v>42</v>
      </c>
    </row>
    <row r="11" spans="2:5">
      <c r="B11" s="15" t="s">
        <v>20</v>
      </c>
      <c r="D11" s="25">
        <v>21110404</v>
      </c>
      <c r="E11" s="2" t="s">
        <v>43</v>
      </c>
    </row>
    <row r="12" spans="2:5">
      <c r="B12" s="15" t="s">
        <v>21</v>
      </c>
      <c r="D12" s="25">
        <v>21110405</v>
      </c>
      <c r="E12" s="2" t="s">
        <v>44</v>
      </c>
    </row>
    <row r="13" spans="2:5">
      <c r="B13" s="15" t="s">
        <v>22</v>
      </c>
      <c r="D13" s="25">
        <v>21110406</v>
      </c>
      <c r="E13" s="2" t="s">
        <v>45</v>
      </c>
    </row>
    <row r="14" spans="2:5">
      <c r="B14" s="14"/>
      <c r="D14" s="25">
        <v>21110501</v>
      </c>
      <c r="E14" s="2" t="s">
        <v>46</v>
      </c>
    </row>
    <row r="15" spans="2:5">
      <c r="B15" s="14"/>
      <c r="D15" s="25">
        <v>21111001</v>
      </c>
      <c r="E15" s="2" t="s">
        <v>47</v>
      </c>
    </row>
    <row r="16" spans="2:5">
      <c r="B16" s="14"/>
      <c r="D16" s="25">
        <v>21120101</v>
      </c>
      <c r="E16" s="2" t="s">
        <v>48</v>
      </c>
    </row>
    <row r="17" spans="2:5">
      <c r="B17" s="14"/>
      <c r="D17" s="25">
        <v>21120102</v>
      </c>
      <c r="E17" s="2" t="s">
        <v>41</v>
      </c>
    </row>
    <row r="18" spans="2:5">
      <c r="D18" s="25">
        <v>21120103</v>
      </c>
      <c r="E18" s="2" t="s">
        <v>44</v>
      </c>
    </row>
    <row r="19" spans="2:5">
      <c r="D19" s="25">
        <v>21120104</v>
      </c>
      <c r="E19" s="2" t="s">
        <v>49</v>
      </c>
    </row>
    <row r="20" spans="2:5">
      <c r="D20" s="25">
        <v>21120105</v>
      </c>
      <c r="E20" s="2" t="s">
        <v>50</v>
      </c>
    </row>
    <row r="21" spans="2:5">
      <c r="D21" s="25">
        <v>21120106</v>
      </c>
      <c r="E21" s="2" t="s">
        <v>51</v>
      </c>
    </row>
    <row r="22" spans="2:5">
      <c r="D22" s="25">
        <v>21120107</v>
      </c>
      <c r="E22" s="2" t="s">
        <v>52</v>
      </c>
    </row>
    <row r="23" spans="2:5">
      <c r="D23" s="25">
        <v>21120202</v>
      </c>
      <c r="E23" s="2" t="s">
        <v>53</v>
      </c>
    </row>
    <row r="24" spans="2:5">
      <c r="D24" s="25">
        <v>21120203</v>
      </c>
      <c r="E24" s="2" t="s">
        <v>54</v>
      </c>
    </row>
    <row r="25" spans="2:5">
      <c r="D25" s="25">
        <v>21120301</v>
      </c>
      <c r="E25" s="2" t="s">
        <v>55</v>
      </c>
    </row>
    <row r="26" spans="2:5">
      <c r="D26" s="25">
        <v>21120401</v>
      </c>
      <c r="E26" s="2" t="s">
        <v>56</v>
      </c>
    </row>
    <row r="27" spans="2:5">
      <c r="D27" s="25">
        <v>21122001</v>
      </c>
      <c r="E27" s="2" t="s">
        <v>57</v>
      </c>
    </row>
    <row r="28" spans="2:5">
      <c r="D28" s="25">
        <v>25110101</v>
      </c>
      <c r="E28" s="2" t="s">
        <v>58</v>
      </c>
    </row>
    <row r="29" spans="2:5">
      <c r="D29" s="25">
        <v>25110201</v>
      </c>
      <c r="E29" s="25" t="s">
        <v>59</v>
      </c>
    </row>
    <row r="30" spans="2:5">
      <c r="D30" s="25">
        <v>25110202</v>
      </c>
      <c r="E30" s="25" t="s">
        <v>60</v>
      </c>
    </row>
    <row r="31" spans="2:5">
      <c r="D31" s="25">
        <v>25110203</v>
      </c>
      <c r="E31" s="25" t="s">
        <v>61</v>
      </c>
    </row>
    <row r="32" spans="2:5">
      <c r="D32" s="25">
        <v>25110301</v>
      </c>
      <c r="E32" s="25" t="s">
        <v>62</v>
      </c>
    </row>
    <row r="33" spans="4:5">
      <c r="D33" s="25">
        <v>25110302</v>
      </c>
      <c r="E33" s="25" t="s">
        <v>63</v>
      </c>
    </row>
    <row r="34" spans="4:5">
      <c r="D34" s="25">
        <v>25110401</v>
      </c>
      <c r="E34" s="25" t="s">
        <v>64</v>
      </c>
    </row>
    <row r="35" spans="4:5">
      <c r="D35" s="25">
        <v>25110402</v>
      </c>
      <c r="E35" s="25" t="s">
        <v>65</v>
      </c>
    </row>
    <row r="36" spans="4:5">
      <c r="D36" s="25">
        <v>25110403</v>
      </c>
      <c r="E36" s="25" t="s">
        <v>66</v>
      </c>
    </row>
    <row r="37" spans="4:5">
      <c r="D37" s="25">
        <v>25110404</v>
      </c>
      <c r="E37" s="25" t="s">
        <v>67</v>
      </c>
    </row>
    <row r="38" spans="4:5">
      <c r="D38" s="25">
        <v>25110405</v>
      </c>
      <c r="E38" s="25" t="s">
        <v>68</v>
      </c>
    </row>
    <row r="39" spans="4:5">
      <c r="D39" s="25">
        <v>25110501</v>
      </c>
      <c r="E39" s="25" t="s">
        <v>69</v>
      </c>
    </row>
    <row r="40" spans="4:5">
      <c r="D40" s="25">
        <v>25110503</v>
      </c>
      <c r="E40" s="25" t="s">
        <v>70</v>
      </c>
    </row>
    <row r="41" spans="4:5">
      <c r="D41" s="25">
        <v>25110601</v>
      </c>
      <c r="E41" s="25" t="s">
        <v>71</v>
      </c>
    </row>
    <row r="42" spans="4:5">
      <c r="D42" s="25">
        <v>25110603</v>
      </c>
      <c r="E42" s="25" t="s">
        <v>72</v>
      </c>
    </row>
    <row r="43" spans="4:5">
      <c r="D43" s="25">
        <v>25110701</v>
      </c>
      <c r="E43" s="25" t="s">
        <v>73</v>
      </c>
    </row>
    <row r="44" spans="4:5">
      <c r="D44" s="25">
        <v>25110702</v>
      </c>
      <c r="E44" s="25" t="s">
        <v>74</v>
      </c>
    </row>
    <row r="45" spans="4:5">
      <c r="D45" s="25">
        <v>25110801</v>
      </c>
      <c r="E45" s="25" t="s">
        <v>75</v>
      </c>
    </row>
    <row r="46" spans="4:5">
      <c r="D46" s="25">
        <v>25110802</v>
      </c>
      <c r="E46" s="25" t="s">
        <v>76</v>
      </c>
    </row>
    <row r="47" spans="4:5">
      <c r="D47" s="25">
        <v>25110901</v>
      </c>
      <c r="E47" s="25" t="s">
        <v>77</v>
      </c>
    </row>
    <row r="48" spans="4:5">
      <c r="D48" s="25">
        <v>25111001</v>
      </c>
      <c r="E48" s="25" t="s">
        <v>78</v>
      </c>
    </row>
    <row r="49" spans="4:5">
      <c r="D49" s="25">
        <v>25111101</v>
      </c>
      <c r="E49" s="25" t="s">
        <v>79</v>
      </c>
    </row>
    <row r="50" spans="4:5">
      <c r="D50" s="25">
        <v>25112001</v>
      </c>
      <c r="E50" s="25" t="s">
        <v>80</v>
      </c>
    </row>
    <row r="51" spans="4:5">
      <c r="D51" s="25">
        <v>25210101</v>
      </c>
      <c r="E51" s="25" t="s">
        <v>81</v>
      </c>
    </row>
    <row r="52" spans="4:5">
      <c r="D52" s="25">
        <v>25210201</v>
      </c>
      <c r="E52" s="25" t="s">
        <v>82</v>
      </c>
    </row>
    <row r="53" spans="4:5">
      <c r="D53" s="25">
        <v>25210401</v>
      </c>
      <c r="E53" s="25" t="s">
        <v>70</v>
      </c>
    </row>
    <row r="54" spans="4:5">
      <c r="D54" s="25">
        <v>25210501</v>
      </c>
      <c r="E54" s="25" t="s">
        <v>77</v>
      </c>
    </row>
    <row r="55" spans="4:5">
      <c r="D55" s="25">
        <v>25210702</v>
      </c>
      <c r="E55" s="25" t="s">
        <v>83</v>
      </c>
    </row>
    <row r="56" spans="4:5">
      <c r="D56" s="25">
        <v>25210801</v>
      </c>
      <c r="E56" s="25" t="s">
        <v>58</v>
      </c>
    </row>
    <row r="57" spans="4:5">
      <c r="D57" s="25">
        <v>25210901</v>
      </c>
      <c r="E57" s="25" t="s">
        <v>84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0"/>
  <sheetViews>
    <sheetView showGridLines="0" topLeftCell="A7" zoomScaleNormal="100" workbookViewId="0">
      <selection activeCell="C8" sqref="C8"/>
    </sheetView>
  </sheetViews>
  <sheetFormatPr defaultRowHeight="14.25"/>
  <cols>
    <col min="1" max="1" width="2.5" customWidth="1"/>
    <col min="2" max="2" width="34.375" customWidth="1"/>
    <col min="3" max="3" width="25.25" customWidth="1"/>
    <col min="4" max="4" width="8" customWidth="1"/>
    <col min="5" max="5" width="35.5" customWidth="1"/>
    <col min="6" max="7" width="20.125" customWidth="1"/>
    <col min="8" max="8" width="25.375" customWidth="1"/>
    <col min="9" max="9" width="14" bestFit="1" customWidth="1"/>
    <col min="10" max="10" width="13.625" bestFit="1" customWidth="1"/>
  </cols>
  <sheetData>
    <row r="1" spans="2:8" ht="27" customHeight="1">
      <c r="B1" s="6"/>
      <c r="C1" s="6"/>
      <c r="D1" s="38" t="s">
        <v>5</v>
      </c>
      <c r="E1" s="38"/>
      <c r="F1" s="38"/>
      <c r="G1" s="38"/>
      <c r="H1" s="38"/>
    </row>
    <row r="2" spans="2:8">
      <c r="B2" s="3"/>
      <c r="C2" s="3"/>
      <c r="D2" s="3"/>
      <c r="E2" s="3"/>
      <c r="F2" s="3"/>
      <c r="G2" s="3"/>
      <c r="H2" s="3"/>
    </row>
    <row r="3" spans="2:8" ht="30.75" customHeight="1">
      <c r="B3" s="3"/>
      <c r="C3" s="3"/>
      <c r="D3" s="3"/>
      <c r="E3" s="3"/>
      <c r="F3" s="3"/>
      <c r="G3" s="3"/>
      <c r="H3" s="3"/>
    </row>
    <row r="4" spans="2:8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8">
      <c r="B5" s="3"/>
      <c r="C5" s="3"/>
      <c r="D5" s="3"/>
      <c r="E5" s="3"/>
      <c r="F5" s="3"/>
      <c r="G5" s="3"/>
      <c r="H5" s="3"/>
    </row>
    <row r="6" spans="2:8">
      <c r="B6" s="2" t="s">
        <v>6</v>
      </c>
      <c r="C6" s="24" t="s">
        <v>11</v>
      </c>
      <c r="H6" s="3"/>
    </row>
    <row r="7" spans="2:8" ht="21" customHeight="1">
      <c r="B7" s="2" t="s">
        <v>3</v>
      </c>
      <c r="C7" s="2"/>
      <c r="H7" s="3"/>
    </row>
    <row r="8" spans="2:8" ht="22.5" customHeight="1">
      <c r="B8" s="2" t="s">
        <v>2</v>
      </c>
      <c r="C8" s="2"/>
      <c r="H8" s="3"/>
    </row>
    <row r="9" spans="2:8" ht="22.5" customHeight="1">
      <c r="B9" s="3"/>
      <c r="H9" s="3"/>
    </row>
    <row r="10" spans="2:8" ht="22.5" customHeight="1">
      <c r="B10" s="3"/>
      <c r="H10" s="3"/>
    </row>
    <row r="11" spans="2:8" ht="18" customHeight="1">
      <c r="C11" s="3"/>
      <c r="D11" s="3"/>
      <c r="F11" s="18"/>
      <c r="G11" s="11" t="s">
        <v>10</v>
      </c>
      <c r="H11" s="12">
        <v>0</v>
      </c>
    </row>
    <row r="12" spans="2:8" ht="15">
      <c r="D12" s="3"/>
      <c r="F12" s="10"/>
      <c r="G12" s="10"/>
      <c r="H12" s="10"/>
    </row>
    <row r="13" spans="2:8" ht="15">
      <c r="D13" s="5"/>
      <c r="F13" s="18"/>
      <c r="G13" s="11" t="s">
        <v>4</v>
      </c>
      <c r="H13" s="12">
        <v>0</v>
      </c>
    </row>
    <row r="14" spans="2:8">
      <c r="D14" s="5"/>
      <c r="E14" s="8"/>
      <c r="F14" s="8"/>
      <c r="G14" s="8"/>
      <c r="H14" s="7"/>
    </row>
    <row r="15" spans="2:8" ht="15">
      <c r="D15" s="5"/>
      <c r="E15" s="8"/>
      <c r="F15" s="37" t="s">
        <v>31</v>
      </c>
      <c r="G15" s="37"/>
      <c r="H15" s="12">
        <v>0</v>
      </c>
    </row>
    <row r="16" spans="2:8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20"/>
      <c r="G19" s="20"/>
      <c r="H19" s="4">
        <v>0</v>
      </c>
    </row>
    <row r="20" spans="2:10" ht="20.100000000000001" customHeight="1">
      <c r="B20" s="1"/>
      <c r="C20" s="28"/>
      <c r="D20" s="28"/>
      <c r="E20" s="1"/>
      <c r="F20" s="20"/>
      <c r="G20" s="20"/>
      <c r="H20" s="4">
        <v>0</v>
      </c>
      <c r="J20" s="17"/>
    </row>
    <row r="21" spans="2:10" ht="20.100000000000001" customHeight="1">
      <c r="B21" s="1"/>
      <c r="C21" s="28"/>
      <c r="D21" s="28"/>
      <c r="E21" s="1"/>
      <c r="F21" s="20"/>
      <c r="G21" s="20"/>
      <c r="H21" s="4">
        <v>0</v>
      </c>
    </row>
    <row r="22" spans="2:10" ht="20.100000000000001" customHeight="1">
      <c r="B22" s="1"/>
      <c r="C22" s="28"/>
      <c r="D22" s="28"/>
      <c r="E22" s="1"/>
      <c r="F22" s="20"/>
      <c r="G22" s="20"/>
      <c r="H22" s="4">
        <v>0</v>
      </c>
      <c r="I22" s="17"/>
      <c r="J22" s="17"/>
    </row>
    <row r="23" spans="2:10" ht="20.100000000000001" customHeight="1">
      <c r="B23" s="1"/>
      <c r="C23" s="28"/>
      <c r="D23" s="28"/>
      <c r="E23" s="1"/>
      <c r="F23" s="20"/>
      <c r="G23" s="20"/>
      <c r="H23" s="4">
        <v>0</v>
      </c>
    </row>
    <row r="24" spans="2:10" ht="20.100000000000001" customHeight="1">
      <c r="B24" s="1"/>
      <c r="C24" s="28"/>
      <c r="D24" s="28"/>
      <c r="E24" s="1"/>
      <c r="F24" s="20"/>
      <c r="G24" s="20"/>
      <c r="H24" s="4">
        <v>0</v>
      </c>
    </row>
    <row r="25" spans="2:10" ht="20.100000000000001" customHeight="1">
      <c r="B25" s="1"/>
      <c r="C25" s="28"/>
      <c r="D25" s="28"/>
      <c r="E25" s="1"/>
      <c r="F25" s="20"/>
      <c r="G25" s="20"/>
      <c r="H25" s="4">
        <v>0</v>
      </c>
    </row>
    <row r="26" spans="2:10" ht="20.100000000000001" customHeight="1">
      <c r="B26" s="1"/>
      <c r="C26" s="28"/>
      <c r="D26" s="28"/>
      <c r="E26" s="1"/>
      <c r="F26" s="20"/>
      <c r="G26" s="20"/>
      <c r="H26" s="4">
        <v>0</v>
      </c>
    </row>
    <row r="27" spans="2:10" ht="20.100000000000001" customHeight="1">
      <c r="B27" s="1"/>
      <c r="C27" s="28"/>
      <c r="D27" s="28"/>
      <c r="E27" s="1"/>
      <c r="F27" s="2"/>
      <c r="G27" s="2"/>
      <c r="H27" s="4">
        <v>0</v>
      </c>
    </row>
    <row r="28" spans="2:10" ht="20.100000000000001" customHeight="1">
      <c r="B28" s="13"/>
      <c r="C28" s="13"/>
      <c r="D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B36" s="29"/>
      <c r="C36" s="29"/>
      <c r="F36" s="36" t="s">
        <v>34</v>
      </c>
      <c r="G36" s="36"/>
      <c r="H36" s="21">
        <f>IFERROR(H34/H11,0)</f>
        <v>0</v>
      </c>
    </row>
    <row r="37" spans="2:8">
      <c r="B37" s="29"/>
      <c r="C37" s="29"/>
    </row>
    <row r="39" spans="2:8">
      <c r="B39" s="29" t="s">
        <v>9</v>
      </c>
      <c r="C39" s="29"/>
    </row>
    <row r="40" spans="2:8">
      <c r="B40" s="29" t="s">
        <v>8</v>
      </c>
      <c r="C40" s="29"/>
    </row>
  </sheetData>
  <mergeCells count="24">
    <mergeCell ref="B37:C37"/>
    <mergeCell ref="B39:C39"/>
    <mergeCell ref="B40:C40"/>
    <mergeCell ref="F36:G36"/>
    <mergeCell ref="C25:D25"/>
    <mergeCell ref="C26:D26"/>
    <mergeCell ref="D1:H1"/>
    <mergeCell ref="E4:H4"/>
    <mergeCell ref="C17:D17"/>
    <mergeCell ref="B18:H18"/>
    <mergeCell ref="C19:D19"/>
    <mergeCell ref="C20:D20"/>
    <mergeCell ref="F15:G15"/>
    <mergeCell ref="C21:D21"/>
    <mergeCell ref="C22:D22"/>
    <mergeCell ref="C23:D23"/>
    <mergeCell ref="C24:D24"/>
    <mergeCell ref="C27:D27"/>
    <mergeCell ref="B36:C36"/>
    <mergeCell ref="F28:G28"/>
    <mergeCell ref="F30:G30"/>
    <mergeCell ref="F31:G31"/>
    <mergeCell ref="F34:G34"/>
    <mergeCell ref="F35:G35"/>
  </mergeCells>
  <conditionalFormatting sqref="H30">
    <cfRule type="cellIs" dxfId="23" priority="2" operator="lessThan">
      <formula>-0.01</formula>
    </cfRule>
  </conditionalFormatting>
  <conditionalFormatting sqref="H35">
    <cfRule type="cellIs" dxfId="22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Lista!$E$1:$E$28</xm:f>
          </x14:formula1>
          <xm:sqref>C8</xm:sqref>
        </x14:dataValidation>
        <x14:dataValidation type="list" allowBlank="1" showInputMessage="1" showErrorMessage="1">
          <x14:formula1>
            <xm:f>Lista!$B$2:$B$13</xm:f>
          </x14:formula1>
          <xm:sqref>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zoomScaleNormal="100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6" width="19.5" customWidth="1"/>
    <col min="7" max="7" width="21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12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23">
        <f>Janeiro!H34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C28" s="13"/>
      <c r="D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4:C44"/>
    <mergeCell ref="B45:C45"/>
    <mergeCell ref="B41:C41"/>
    <mergeCell ref="B42:C42"/>
    <mergeCell ref="E4:H4"/>
    <mergeCell ref="C21:D21"/>
    <mergeCell ref="C22:D22"/>
    <mergeCell ref="C23:D23"/>
    <mergeCell ref="C24:D24"/>
    <mergeCell ref="C25:D25"/>
    <mergeCell ref="C26:D26"/>
    <mergeCell ref="C27:D27"/>
    <mergeCell ref="F15:G15"/>
    <mergeCell ref="F28:G28"/>
    <mergeCell ref="F30:G30"/>
    <mergeCell ref="F31:G31"/>
    <mergeCell ref="F34:G34"/>
    <mergeCell ref="F35:G35"/>
    <mergeCell ref="F36:G36"/>
    <mergeCell ref="D1:H1"/>
    <mergeCell ref="B18:H18"/>
    <mergeCell ref="C17:D17"/>
    <mergeCell ref="C19:D19"/>
    <mergeCell ref="C20:D20"/>
  </mergeCells>
  <conditionalFormatting sqref="H30">
    <cfRule type="cellIs" dxfId="21" priority="2" operator="lessThan">
      <formula>-0.01</formula>
    </cfRule>
  </conditionalFormatting>
  <conditionalFormatting sqref="H35">
    <cfRule type="cellIs" dxfId="20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Lista!$B$2:$B$13</xm:f>
          </x14:formula1>
          <xm:sqref>C6</xm:sqref>
        </x14:dataValidation>
        <x14:dataValidation type="list" allowBlank="1" showInputMessage="1" showErrorMessage="1">
          <x14:formula1>
            <xm:f>Lista!$E$1:$E$28</xm:f>
          </x14:formula1>
          <xm:sqref>C8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zoomScaleNormal="100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7" width="20.25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13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12">
        <f>Fevereiro!H34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C28" s="13"/>
      <c r="D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5:C45"/>
    <mergeCell ref="C20:D20"/>
    <mergeCell ref="C21:D21"/>
    <mergeCell ref="C22:D22"/>
    <mergeCell ref="C23:D23"/>
    <mergeCell ref="C24:D24"/>
    <mergeCell ref="C25:D25"/>
    <mergeCell ref="C26:D26"/>
    <mergeCell ref="C27:D27"/>
    <mergeCell ref="B41:C41"/>
    <mergeCell ref="B42:C42"/>
    <mergeCell ref="B44:C44"/>
    <mergeCell ref="D1:H1"/>
    <mergeCell ref="E4:H4"/>
    <mergeCell ref="F15:G15"/>
    <mergeCell ref="C17:D17"/>
    <mergeCell ref="B18:H18"/>
    <mergeCell ref="F35:G35"/>
    <mergeCell ref="F36:G36"/>
    <mergeCell ref="C19:D19"/>
    <mergeCell ref="F28:G28"/>
    <mergeCell ref="F30:G30"/>
    <mergeCell ref="F31:G31"/>
    <mergeCell ref="F34:G34"/>
  </mergeCells>
  <conditionalFormatting sqref="H30">
    <cfRule type="cellIs" dxfId="19" priority="2" operator="lessThan">
      <formula>-0.01</formula>
    </cfRule>
  </conditionalFormatting>
  <conditionalFormatting sqref="H35">
    <cfRule type="cellIs" dxfId="18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Lista!$E$1:$E$28</xm:f>
          </x14:formula1>
          <xm:sqref>C8</xm:sqref>
        </x14:dataValidation>
        <x14:dataValidation type="list" allowBlank="1" showInputMessage="1" showErrorMessage="1">
          <x14:formula1>
            <xm:f>Lista!$B$2:$B$13</xm:f>
          </x14:formula1>
          <xm:sqref>C6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topLeftCell="A8" zoomScale="85" zoomScaleNormal="85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7" width="19.5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14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12">
        <f>Março!H34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C28" s="13"/>
      <c r="D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5:C45"/>
    <mergeCell ref="C20:D20"/>
    <mergeCell ref="C21:D21"/>
    <mergeCell ref="C22:D22"/>
    <mergeCell ref="C23:D23"/>
    <mergeCell ref="C24:D24"/>
    <mergeCell ref="C25:D25"/>
    <mergeCell ref="C26:D26"/>
    <mergeCell ref="C27:D27"/>
    <mergeCell ref="B41:C41"/>
    <mergeCell ref="B42:C42"/>
    <mergeCell ref="B44:C44"/>
    <mergeCell ref="D1:H1"/>
    <mergeCell ref="E4:H4"/>
    <mergeCell ref="F15:G15"/>
    <mergeCell ref="C17:D17"/>
    <mergeCell ref="B18:H18"/>
    <mergeCell ref="F35:G35"/>
    <mergeCell ref="F36:G36"/>
    <mergeCell ref="C19:D19"/>
    <mergeCell ref="F28:G28"/>
    <mergeCell ref="F30:G30"/>
    <mergeCell ref="F31:G31"/>
    <mergeCell ref="F34:G34"/>
  </mergeCells>
  <conditionalFormatting sqref="H30">
    <cfRule type="cellIs" dxfId="17" priority="2" operator="lessThan">
      <formula>-0.01</formula>
    </cfRule>
  </conditionalFormatting>
  <conditionalFormatting sqref="H35">
    <cfRule type="cellIs" dxfId="16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Lista!$B$2:$B$13</xm:f>
          </x14:formula1>
          <xm:sqref>C6</xm:sqref>
        </x14:dataValidation>
        <x14:dataValidation type="list" allowBlank="1" showInputMessage="1" showErrorMessage="1">
          <x14:formula1>
            <xm:f>Lista!$E$1:$E$28</xm:f>
          </x14:formula1>
          <xm:sqref>C8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zoomScaleNormal="100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7" width="19.5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15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12">
        <f>Abril!H34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C28" s="13"/>
      <c r="D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5:C45"/>
    <mergeCell ref="C20:D20"/>
    <mergeCell ref="C21:D21"/>
    <mergeCell ref="C22:D22"/>
    <mergeCell ref="C23:D23"/>
    <mergeCell ref="C24:D24"/>
    <mergeCell ref="C25:D25"/>
    <mergeCell ref="C26:D26"/>
    <mergeCell ref="C27:D27"/>
    <mergeCell ref="B41:C41"/>
    <mergeCell ref="B42:C42"/>
    <mergeCell ref="B44:C44"/>
    <mergeCell ref="D1:H1"/>
    <mergeCell ref="E4:H4"/>
    <mergeCell ref="F15:G15"/>
    <mergeCell ref="C17:D17"/>
    <mergeCell ref="B18:H18"/>
    <mergeCell ref="F35:G35"/>
    <mergeCell ref="F36:G36"/>
    <mergeCell ref="C19:D19"/>
    <mergeCell ref="F28:G28"/>
    <mergeCell ref="F30:G30"/>
    <mergeCell ref="F31:G31"/>
    <mergeCell ref="F34:G34"/>
  </mergeCells>
  <conditionalFormatting sqref="H30">
    <cfRule type="cellIs" dxfId="15" priority="2" operator="lessThan">
      <formula>-0.01</formula>
    </cfRule>
  </conditionalFormatting>
  <conditionalFormatting sqref="H35">
    <cfRule type="cellIs" dxfId="14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Lista!$E$1:$E$28</xm:f>
          </x14:formula1>
          <xm:sqref>C8</xm:sqref>
        </x14:dataValidation>
        <x14:dataValidation type="list" allowBlank="1" showInputMessage="1" showErrorMessage="1">
          <x14:formula1>
            <xm:f>Lista!$B$2:$B$13</xm:f>
          </x14:formula1>
          <xm:sqref>C6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zoomScaleNormal="100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7" width="19.5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16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12">
        <f>Maio!H34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C28" s="13"/>
      <c r="D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5:C45"/>
    <mergeCell ref="C20:D20"/>
    <mergeCell ref="C21:D21"/>
    <mergeCell ref="C22:D22"/>
    <mergeCell ref="C23:D23"/>
    <mergeCell ref="C24:D24"/>
    <mergeCell ref="C25:D25"/>
    <mergeCell ref="C26:D26"/>
    <mergeCell ref="C27:D27"/>
    <mergeCell ref="B41:C41"/>
    <mergeCell ref="B42:C42"/>
    <mergeCell ref="B44:C44"/>
    <mergeCell ref="D1:H1"/>
    <mergeCell ref="E4:H4"/>
    <mergeCell ref="F15:G15"/>
    <mergeCell ref="C17:D17"/>
    <mergeCell ref="B18:H18"/>
    <mergeCell ref="F35:G35"/>
    <mergeCell ref="F36:G36"/>
    <mergeCell ref="C19:D19"/>
    <mergeCell ref="F28:G28"/>
    <mergeCell ref="F30:G30"/>
    <mergeCell ref="F31:G31"/>
    <mergeCell ref="F34:G34"/>
  </mergeCells>
  <conditionalFormatting sqref="H30">
    <cfRule type="cellIs" dxfId="13" priority="2" operator="lessThan">
      <formula>-0.01</formula>
    </cfRule>
  </conditionalFormatting>
  <conditionalFormatting sqref="H35">
    <cfRule type="cellIs" dxfId="12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Lista!$B$2:$B$13</xm:f>
          </x14:formula1>
          <xm:sqref>C6</xm:sqref>
        </x14:dataValidation>
        <x14:dataValidation type="list" allowBlank="1" showInputMessage="1" showErrorMessage="1">
          <x14:formula1>
            <xm:f>Lista!$E$1:$E$28</xm:f>
          </x14:formula1>
          <xm:sqref>C8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zoomScaleNormal="100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7" width="19.5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17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12">
        <f>Junho!H34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C28" s="13"/>
      <c r="D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5:C45"/>
    <mergeCell ref="C20:D20"/>
    <mergeCell ref="C21:D21"/>
    <mergeCell ref="C22:D22"/>
    <mergeCell ref="C23:D23"/>
    <mergeCell ref="C24:D24"/>
    <mergeCell ref="C25:D25"/>
    <mergeCell ref="C26:D26"/>
    <mergeCell ref="C27:D27"/>
    <mergeCell ref="B41:C41"/>
    <mergeCell ref="B42:C42"/>
    <mergeCell ref="B44:C44"/>
    <mergeCell ref="D1:H1"/>
    <mergeCell ref="E4:H4"/>
    <mergeCell ref="F15:G15"/>
    <mergeCell ref="C17:D17"/>
    <mergeCell ref="B18:H18"/>
    <mergeCell ref="F35:G35"/>
    <mergeCell ref="F36:G36"/>
    <mergeCell ref="C19:D19"/>
    <mergeCell ref="F28:G28"/>
    <mergeCell ref="F30:G30"/>
    <mergeCell ref="F31:G31"/>
    <mergeCell ref="F34:G34"/>
  </mergeCells>
  <conditionalFormatting sqref="H30">
    <cfRule type="cellIs" dxfId="11" priority="2" operator="lessThan">
      <formula>-0.01</formula>
    </cfRule>
  </conditionalFormatting>
  <conditionalFormatting sqref="H35">
    <cfRule type="cellIs" dxfId="10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Lista!$E$1:$E$28</xm:f>
          </x14:formula1>
          <xm:sqref>C8</xm:sqref>
        </x14:dataValidation>
        <x14:dataValidation type="list" allowBlank="1" showInputMessage="1" showErrorMessage="1">
          <x14:formula1>
            <xm:f>Lista!$B$2:$B$13</xm:f>
          </x14:formula1>
          <xm:sqref>C6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zoomScaleNormal="100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7" width="19.5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18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12">
        <f>Julho!H34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C28" s="13"/>
      <c r="D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5:C45"/>
    <mergeCell ref="C20:D20"/>
    <mergeCell ref="C21:D21"/>
    <mergeCell ref="C22:D22"/>
    <mergeCell ref="C23:D23"/>
    <mergeCell ref="C24:D24"/>
    <mergeCell ref="C25:D25"/>
    <mergeCell ref="C26:D26"/>
    <mergeCell ref="C27:D27"/>
    <mergeCell ref="B41:C41"/>
    <mergeCell ref="B42:C42"/>
    <mergeCell ref="B44:C44"/>
    <mergeCell ref="D1:H1"/>
    <mergeCell ref="E4:H4"/>
    <mergeCell ref="F15:G15"/>
    <mergeCell ref="C17:D17"/>
    <mergeCell ref="B18:H18"/>
    <mergeCell ref="F35:G35"/>
    <mergeCell ref="F36:G36"/>
    <mergeCell ref="C19:D19"/>
    <mergeCell ref="F28:G28"/>
    <mergeCell ref="F30:G30"/>
    <mergeCell ref="F31:G31"/>
    <mergeCell ref="F34:G34"/>
  </mergeCells>
  <conditionalFormatting sqref="H30">
    <cfRule type="cellIs" dxfId="9" priority="2" operator="lessThan">
      <formula>-0.01</formula>
    </cfRule>
  </conditionalFormatting>
  <conditionalFormatting sqref="H35">
    <cfRule type="cellIs" dxfId="8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Lista!$B$2:$B$13</xm:f>
          </x14:formula1>
          <xm:sqref>C6</xm:sqref>
        </x14:dataValidation>
        <x14:dataValidation type="list" allowBlank="1" showInputMessage="1" showErrorMessage="1">
          <x14:formula1>
            <xm:f>Lista!$E$1:$E$28</xm:f>
          </x14:formula1>
          <xm:sqref>C8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zoomScaleNormal="100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7" width="19.5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19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12">
        <f>Agosto!H34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C28" s="13"/>
      <c r="D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5:C45"/>
    <mergeCell ref="C20:D20"/>
    <mergeCell ref="C21:D21"/>
    <mergeCell ref="C22:D22"/>
    <mergeCell ref="C23:D23"/>
    <mergeCell ref="C24:D24"/>
    <mergeCell ref="C25:D25"/>
    <mergeCell ref="C26:D26"/>
    <mergeCell ref="C27:D27"/>
    <mergeCell ref="B41:C41"/>
    <mergeCell ref="B42:C42"/>
    <mergeCell ref="B44:C44"/>
    <mergeCell ref="D1:H1"/>
    <mergeCell ref="E4:H4"/>
    <mergeCell ref="F15:G15"/>
    <mergeCell ref="C17:D17"/>
    <mergeCell ref="B18:H18"/>
    <mergeCell ref="F35:G35"/>
    <mergeCell ref="F36:G36"/>
    <mergeCell ref="C19:D19"/>
    <mergeCell ref="F28:G28"/>
    <mergeCell ref="F30:G30"/>
    <mergeCell ref="F31:G31"/>
    <mergeCell ref="F34:G34"/>
  </mergeCells>
  <conditionalFormatting sqref="H30">
    <cfRule type="cellIs" dxfId="7" priority="2" operator="lessThan">
      <formula>-0.01</formula>
    </cfRule>
  </conditionalFormatting>
  <conditionalFormatting sqref="H35">
    <cfRule type="cellIs" dxfId="6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Lista!$E$1:$E$28</xm:f>
          </x14:formula1>
          <xm:sqref>C8</xm:sqref>
        </x14:dataValidation>
        <x14:dataValidation type="list" allowBlank="1" showInputMessage="1" showErrorMessage="1">
          <x14:formula1>
            <xm:f>Lista!$B$2:$B$13</xm:f>
          </x14:formula1>
          <xm:sqref>C6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zoomScaleNormal="100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7" width="19.5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20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12">
        <f>Setembro!H34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C28" s="13"/>
      <c r="D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5:C45"/>
    <mergeCell ref="C20:D20"/>
    <mergeCell ref="C21:D21"/>
    <mergeCell ref="C22:D22"/>
    <mergeCell ref="C23:D23"/>
    <mergeCell ref="C24:D24"/>
    <mergeCell ref="C25:D25"/>
    <mergeCell ref="C26:D26"/>
    <mergeCell ref="C27:D27"/>
    <mergeCell ref="B41:C41"/>
    <mergeCell ref="B42:C42"/>
    <mergeCell ref="B44:C44"/>
    <mergeCell ref="D1:H1"/>
    <mergeCell ref="E4:H4"/>
    <mergeCell ref="F15:G15"/>
    <mergeCell ref="C17:D17"/>
    <mergeCell ref="B18:H18"/>
    <mergeCell ref="F35:G35"/>
    <mergeCell ref="F36:G36"/>
    <mergeCell ref="C19:D19"/>
    <mergeCell ref="F28:G28"/>
    <mergeCell ref="F30:G30"/>
    <mergeCell ref="F31:G31"/>
    <mergeCell ref="F34:G34"/>
  </mergeCells>
  <conditionalFormatting sqref="H30">
    <cfRule type="cellIs" dxfId="5" priority="2" operator="lessThan">
      <formula>-0.01</formula>
    </cfRule>
  </conditionalFormatting>
  <conditionalFormatting sqref="H35">
    <cfRule type="cellIs" dxfId="4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Lista!$B$2:$B$13</xm:f>
          </x14:formula1>
          <xm:sqref>C6</xm:sqref>
        </x14:dataValidation>
        <x14:dataValidation type="list" allowBlank="1" showInputMessage="1" showErrorMessage="1">
          <x14:formula1>
            <xm:f>Lista!$E$1:$E$28</xm:f>
          </x14:formula1>
          <xm:sqref>C8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zoomScaleNormal="100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6" width="19.5" customWidth="1"/>
    <col min="7" max="7" width="21.625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21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12">
        <f>Outubro!H34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C28" s="13"/>
      <c r="D28" s="13"/>
      <c r="F28" s="40" t="s">
        <v>33</v>
      </c>
      <c r="G28" s="40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5:C45"/>
    <mergeCell ref="C20:D20"/>
    <mergeCell ref="C21:D21"/>
    <mergeCell ref="C22:D22"/>
    <mergeCell ref="C23:D23"/>
    <mergeCell ref="C24:D24"/>
    <mergeCell ref="C25:D25"/>
    <mergeCell ref="C26:D26"/>
    <mergeCell ref="C27:D27"/>
    <mergeCell ref="B41:C41"/>
    <mergeCell ref="B42:C42"/>
    <mergeCell ref="B44:C44"/>
    <mergeCell ref="D1:H1"/>
    <mergeCell ref="E4:H4"/>
    <mergeCell ref="F15:G15"/>
    <mergeCell ref="C17:D17"/>
    <mergeCell ref="B18:H18"/>
    <mergeCell ref="F35:G35"/>
    <mergeCell ref="F36:G36"/>
    <mergeCell ref="C19:D19"/>
    <mergeCell ref="F28:G28"/>
    <mergeCell ref="F30:G30"/>
    <mergeCell ref="F31:G31"/>
    <mergeCell ref="F34:G34"/>
  </mergeCells>
  <conditionalFormatting sqref="H30">
    <cfRule type="cellIs" dxfId="3" priority="2" operator="lessThan">
      <formula>-0.01</formula>
    </cfRule>
  </conditionalFormatting>
  <conditionalFormatting sqref="H35">
    <cfRule type="cellIs" dxfId="2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Lista!$E$1:$E$28</xm:f>
          </x14:formula1>
          <xm:sqref>C8</xm:sqref>
        </x14:dataValidation>
        <x14:dataValidation type="list" allowBlank="1" showInputMessage="1" showErrorMessage="1">
          <x14:formula1>
            <xm:f>Lista!$B$2:$B$13</xm:f>
          </x14:formula1>
          <xm:sqref>C6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"/>
  <sheetViews>
    <sheetView showGridLines="0" zoomScaleNormal="100" workbookViewId="0">
      <selection activeCell="B6" sqref="B6"/>
    </sheetView>
  </sheetViews>
  <sheetFormatPr defaultRowHeight="14.25"/>
  <cols>
    <col min="1" max="1" width="2.5" customWidth="1"/>
    <col min="2" max="2" width="34.375" customWidth="1"/>
    <col min="3" max="3" width="17.5" customWidth="1"/>
    <col min="4" max="4" width="8" customWidth="1"/>
    <col min="5" max="5" width="35.5" customWidth="1"/>
    <col min="6" max="6" width="19.5" customWidth="1"/>
    <col min="7" max="7" width="21.375" customWidth="1"/>
    <col min="8" max="8" width="25.375" customWidth="1"/>
    <col min="9" max="9" width="14" bestFit="1" customWidth="1"/>
    <col min="10" max="10" width="13.625" bestFit="1" customWidth="1"/>
  </cols>
  <sheetData>
    <row r="1" spans="2:9" ht="27" customHeight="1">
      <c r="B1" s="6"/>
      <c r="C1" s="6"/>
      <c r="D1" s="38" t="s">
        <v>5</v>
      </c>
      <c r="E1" s="38"/>
      <c r="F1" s="38"/>
      <c r="G1" s="38"/>
      <c r="H1" s="38"/>
    </row>
    <row r="2" spans="2:9">
      <c r="B2" s="3"/>
      <c r="C2" s="3"/>
      <c r="D2" s="3"/>
      <c r="E2" s="3"/>
      <c r="F2" s="3"/>
      <c r="G2" s="3"/>
      <c r="H2" s="3"/>
    </row>
    <row r="3" spans="2:9" ht="30.75" customHeight="1">
      <c r="B3" s="3"/>
      <c r="C3" s="3"/>
      <c r="D3" s="3"/>
      <c r="E3" s="3"/>
      <c r="F3" s="3"/>
      <c r="G3" s="3"/>
      <c r="H3" s="3"/>
    </row>
    <row r="4" spans="2:9" ht="30.75" customHeight="1">
      <c r="B4" s="3"/>
      <c r="C4" s="3"/>
      <c r="D4" s="3"/>
      <c r="E4" s="39" t="str">
        <f ca="1">"Itapevi, "&amp;TEXT(TODAY(),"dd ""de"" mmmm ""de"" aaaa")</f>
        <v>Itapevi, 10 de abril de 2026</v>
      </c>
      <c r="F4" s="39"/>
      <c r="G4" s="39"/>
      <c r="H4" s="39"/>
    </row>
    <row r="5" spans="2:9">
      <c r="B5" s="3"/>
      <c r="C5" s="3"/>
      <c r="D5" s="3"/>
      <c r="E5" s="3"/>
      <c r="F5" s="3"/>
      <c r="G5" s="3"/>
      <c r="H5" s="3"/>
    </row>
    <row r="6" spans="2:9">
      <c r="B6" s="2" t="s">
        <v>6</v>
      </c>
      <c r="C6" s="24" t="s">
        <v>22</v>
      </c>
      <c r="H6" s="3"/>
    </row>
    <row r="7" spans="2:9" ht="21" customHeight="1">
      <c r="B7" s="2" t="s">
        <v>3</v>
      </c>
      <c r="C7" s="2"/>
      <c r="H7" s="3"/>
    </row>
    <row r="8" spans="2:9" ht="22.5" customHeight="1">
      <c r="B8" s="2" t="s">
        <v>2</v>
      </c>
      <c r="C8" s="2"/>
      <c r="H8" s="3"/>
    </row>
    <row r="9" spans="2:9" ht="22.5" customHeight="1">
      <c r="B9" s="3"/>
      <c r="H9" s="3"/>
    </row>
    <row r="10" spans="2:9" ht="22.5" customHeight="1">
      <c r="B10" s="3"/>
      <c r="H10" s="3"/>
    </row>
    <row r="11" spans="2:9" ht="18" customHeight="1">
      <c r="C11" s="3"/>
      <c r="D11" s="3"/>
      <c r="F11" s="18"/>
      <c r="G11" s="11" t="s">
        <v>10</v>
      </c>
      <c r="H11" s="12">
        <v>0</v>
      </c>
    </row>
    <row r="12" spans="2:9" ht="15">
      <c r="D12" s="3"/>
      <c r="F12" s="10"/>
      <c r="G12" s="10"/>
      <c r="H12" s="10"/>
    </row>
    <row r="13" spans="2:9" ht="15">
      <c r="D13" s="5"/>
      <c r="F13" s="18"/>
      <c r="G13" s="11" t="s">
        <v>4</v>
      </c>
      <c r="H13" s="12">
        <v>0</v>
      </c>
    </row>
    <row r="14" spans="2:9">
      <c r="D14" s="5"/>
      <c r="E14" s="8"/>
      <c r="F14" s="8"/>
      <c r="G14" s="8"/>
      <c r="H14" s="7"/>
    </row>
    <row r="15" spans="2:9" ht="15">
      <c r="D15" s="5"/>
      <c r="E15" s="8"/>
      <c r="F15" s="37" t="s">
        <v>31</v>
      </c>
      <c r="G15" s="37"/>
      <c r="H15" s="12">
        <f>Novembro!H34</f>
        <v>0</v>
      </c>
      <c r="I15" s="17"/>
    </row>
    <row r="16" spans="2:9">
      <c r="D16" s="5"/>
      <c r="E16" s="8"/>
      <c r="F16" s="8"/>
      <c r="G16" s="8"/>
      <c r="H16" s="7"/>
    </row>
    <row r="17" spans="2:10" ht="15">
      <c r="B17" s="9" t="s">
        <v>7</v>
      </c>
      <c r="C17" s="40" t="s">
        <v>0</v>
      </c>
      <c r="D17" s="40"/>
      <c r="E17" s="9" t="s">
        <v>1</v>
      </c>
      <c r="F17" s="9" t="s">
        <v>29</v>
      </c>
      <c r="G17" s="9" t="s">
        <v>28</v>
      </c>
      <c r="H17" s="9" t="s">
        <v>30</v>
      </c>
    </row>
    <row r="18" spans="2:10" ht="11.25" customHeight="1">
      <c r="B18" s="41"/>
      <c r="C18" s="42"/>
      <c r="D18" s="42"/>
      <c r="E18" s="42"/>
      <c r="F18" s="42"/>
      <c r="G18" s="42"/>
      <c r="H18" s="42"/>
    </row>
    <row r="19" spans="2:10" ht="20.100000000000001" customHeight="1">
      <c r="B19" s="1"/>
      <c r="C19" s="28"/>
      <c r="D19" s="28"/>
      <c r="E19" s="1"/>
      <c r="F19" s="19"/>
      <c r="G19" s="19"/>
      <c r="H19" s="4">
        <v>0</v>
      </c>
    </row>
    <row r="20" spans="2:10" ht="20.100000000000001" customHeight="1">
      <c r="B20" s="1"/>
      <c r="C20" s="28"/>
      <c r="D20" s="28"/>
      <c r="E20" s="1"/>
      <c r="F20" s="19"/>
      <c r="G20" s="19"/>
      <c r="H20" s="4">
        <v>0</v>
      </c>
    </row>
    <row r="21" spans="2:10" ht="20.100000000000001" customHeight="1">
      <c r="B21" s="1"/>
      <c r="C21" s="28"/>
      <c r="D21" s="28"/>
      <c r="E21" s="1"/>
      <c r="F21" s="19"/>
      <c r="G21" s="19"/>
      <c r="H21" s="4">
        <v>0</v>
      </c>
    </row>
    <row r="22" spans="2:10" ht="20.100000000000001" customHeight="1">
      <c r="B22" s="1"/>
      <c r="C22" s="28"/>
      <c r="D22" s="28"/>
      <c r="E22" s="1"/>
      <c r="F22" s="19"/>
      <c r="G22" s="19"/>
      <c r="H22" s="4">
        <v>0</v>
      </c>
      <c r="I22" s="17"/>
    </row>
    <row r="23" spans="2:10" ht="20.100000000000001" customHeight="1">
      <c r="B23" s="1"/>
      <c r="C23" s="28"/>
      <c r="D23" s="28"/>
      <c r="E23" s="1"/>
      <c r="F23" s="19"/>
      <c r="G23" s="19"/>
      <c r="H23" s="4">
        <v>0</v>
      </c>
      <c r="J23" s="17"/>
    </row>
    <row r="24" spans="2:10" ht="20.100000000000001" customHeight="1">
      <c r="B24" s="1"/>
      <c r="C24" s="28"/>
      <c r="D24" s="28"/>
      <c r="E24" s="1"/>
      <c r="F24" s="19"/>
      <c r="G24" s="19"/>
      <c r="H24" s="4">
        <v>0</v>
      </c>
      <c r="J24" s="22"/>
    </row>
    <row r="25" spans="2:10" ht="20.100000000000001" customHeight="1">
      <c r="B25" s="1"/>
      <c r="C25" s="28"/>
      <c r="D25" s="28"/>
      <c r="E25" s="1"/>
      <c r="F25" s="19"/>
      <c r="G25" s="19"/>
      <c r="H25" s="4">
        <v>0</v>
      </c>
    </row>
    <row r="26" spans="2:10" ht="20.100000000000001" customHeight="1">
      <c r="B26" s="1"/>
      <c r="C26" s="28"/>
      <c r="D26" s="28"/>
      <c r="E26" s="1"/>
      <c r="F26" s="19"/>
      <c r="G26" s="19"/>
      <c r="H26" s="4">
        <v>0</v>
      </c>
    </row>
    <row r="27" spans="2:10" ht="20.100000000000001" customHeight="1">
      <c r="B27" s="1"/>
      <c r="C27" s="28"/>
      <c r="D27" s="28"/>
      <c r="E27" s="1"/>
      <c r="F27" s="1"/>
      <c r="G27" s="1"/>
      <c r="H27" s="4">
        <v>0</v>
      </c>
    </row>
    <row r="28" spans="2:10" ht="20.100000000000001" customHeight="1">
      <c r="B28" s="13"/>
      <c r="F28" s="30" t="s">
        <v>33</v>
      </c>
      <c r="G28" s="31"/>
      <c r="H28" s="16">
        <f>SUM(H19:H27)</f>
        <v>0</v>
      </c>
    </row>
    <row r="30" spans="2:10" ht="15">
      <c r="F30" s="32" t="s">
        <v>23</v>
      </c>
      <c r="G30" s="33"/>
      <c r="H30" s="16">
        <f>IF(H13=0,0,H13-H28)</f>
        <v>0</v>
      </c>
    </row>
    <row r="31" spans="2:10" ht="15">
      <c r="F31" s="34" t="s">
        <v>24</v>
      </c>
      <c r="G31" s="35"/>
      <c r="H31" s="21">
        <f>IF(H13=0,0,H28/H13)</f>
        <v>0</v>
      </c>
    </row>
    <row r="34" spans="2:8" ht="15">
      <c r="F34" s="36" t="s">
        <v>32</v>
      </c>
      <c r="G34" s="36"/>
      <c r="H34" s="16">
        <f>H15+H28</f>
        <v>0</v>
      </c>
    </row>
    <row r="35" spans="2:8" ht="15">
      <c r="F35" s="36" t="s">
        <v>25</v>
      </c>
      <c r="G35" s="36"/>
      <c r="H35" s="16">
        <f>H11-H34</f>
        <v>0</v>
      </c>
    </row>
    <row r="36" spans="2:8" ht="15">
      <c r="F36" s="36" t="s">
        <v>34</v>
      </c>
      <c r="G36" s="36"/>
      <c r="H36" s="21">
        <f>IFERROR(H34/H11,0)</f>
        <v>0</v>
      </c>
    </row>
    <row r="39" spans="2:8" ht="36" customHeight="1"/>
    <row r="41" spans="2:8">
      <c r="B41" s="29"/>
      <c r="C41" s="29"/>
    </row>
    <row r="42" spans="2:8">
      <c r="B42" s="29"/>
      <c r="C42" s="29"/>
    </row>
    <row r="44" spans="2:8">
      <c r="B44" s="29" t="s">
        <v>9</v>
      </c>
      <c r="C44" s="29"/>
    </row>
    <row r="45" spans="2:8">
      <c r="B45" s="29" t="s">
        <v>8</v>
      </c>
      <c r="C45" s="29"/>
    </row>
  </sheetData>
  <mergeCells count="24">
    <mergeCell ref="B45:C45"/>
    <mergeCell ref="C20:D20"/>
    <mergeCell ref="C21:D21"/>
    <mergeCell ref="C22:D22"/>
    <mergeCell ref="C23:D23"/>
    <mergeCell ref="C24:D24"/>
    <mergeCell ref="C25:D25"/>
    <mergeCell ref="C26:D26"/>
    <mergeCell ref="C27:D27"/>
    <mergeCell ref="B41:C41"/>
    <mergeCell ref="B42:C42"/>
    <mergeCell ref="B44:C44"/>
    <mergeCell ref="D1:H1"/>
    <mergeCell ref="E4:H4"/>
    <mergeCell ref="F15:G15"/>
    <mergeCell ref="C17:D17"/>
    <mergeCell ref="B18:H18"/>
    <mergeCell ref="F35:G35"/>
    <mergeCell ref="F36:G36"/>
    <mergeCell ref="C19:D19"/>
    <mergeCell ref="F28:G28"/>
    <mergeCell ref="F30:G30"/>
    <mergeCell ref="F31:G31"/>
    <mergeCell ref="F34:G34"/>
  </mergeCells>
  <conditionalFormatting sqref="H30">
    <cfRule type="cellIs" dxfId="1" priority="2" operator="lessThan">
      <formula>-0.01</formula>
    </cfRule>
  </conditionalFormatting>
  <conditionalFormatting sqref="H35">
    <cfRule type="cellIs" dxfId="0" priority="1" operator="lessThan">
      <formula>-0.01</formula>
    </cfRule>
  </conditionalFormatting>
  <pageMargins left="0.511811024" right="0.511811024" top="0.78740157499999996" bottom="0.78740157499999996" header="0.31496062000000002" footer="0.31496062000000002"/>
  <pageSetup paperSize="9" scale="7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Lista!$B$2:$B$13</xm:f>
          </x14:formula1>
          <xm:sqref>C6</xm:sqref>
        </x14:dataValidation>
        <x14:dataValidation type="list" allowBlank="1" showInputMessage="1" showErrorMessage="1">
          <x14:formula1>
            <xm:f>Lista!$E$1:$E$28</xm:f>
          </x14:formula1>
          <xm:sqref>C8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Lista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Rocha dos Anjos</dc:creator>
  <cp:lastModifiedBy>Widson Rodrigues de Araujo</cp:lastModifiedBy>
  <cp:lastPrinted>2026-01-25T19:28:12Z</cp:lastPrinted>
  <dcterms:created xsi:type="dcterms:W3CDTF">2026-01-25T18:20:39Z</dcterms:created>
  <dcterms:modified xsi:type="dcterms:W3CDTF">2026-04-10T19:24:36Z</dcterms:modified>
</cp:coreProperties>
</file>