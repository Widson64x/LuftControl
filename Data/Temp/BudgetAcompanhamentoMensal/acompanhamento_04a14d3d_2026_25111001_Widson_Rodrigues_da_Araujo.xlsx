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035" tabRatio="813" firstSheet="0" activeTab="0" autoFilterDateGrouping="1"/>
  </bookViews>
  <sheets>
    <sheet name="Lista" sheetId="1" state="visible" r:id="rId1"/>
    <sheet name="Janeiro" sheetId="2" state="visible" r:id="rId2"/>
    <sheet name="Fevereiro" sheetId="3" state="visible" r:id="rId3"/>
    <sheet name="Março" sheetId="4" state="visible" r:id="rId4"/>
    <sheet name="Abril" sheetId="5" state="visible" r:id="rId5"/>
    <sheet name="Maio" sheetId="6" state="visible" r:id="rId6"/>
    <sheet name="Junho" sheetId="7" state="visible" r:id="rId7"/>
    <sheet name="Julho" sheetId="8" state="visible" r:id="rId8"/>
    <sheet name="Agosto" sheetId="9" state="visible" r:id="rId9"/>
    <sheet name="Setembro" sheetId="10" state="visible" r:id="rId10"/>
    <sheet name="Outubro" sheetId="11" state="visible" r:id="rId11"/>
    <sheet name="Novembro" sheetId="12" state="visible" r:id="rId12"/>
    <sheet name="Dezembro" sheetId="13" state="visible" r:id="rId13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dd/mm/yyyy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5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1" pivotButton="0" quotePrefix="0" xfId="1"/>
    <xf numFmtId="17" fontId="0" fillId="0" borderId="0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1"/>
    <xf numFmtId="17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7" fontId="2" fillId="0" borderId="1" applyAlignment="1" pivotButton="0" quotePrefix="0" xfId="0">
      <alignment horizontal="center"/>
    </xf>
    <xf numFmtId="164" fontId="2" fillId="0" borderId="1" pivotButton="0" quotePrefix="0" xfId="1"/>
    <xf numFmtId="0" fontId="0" fillId="0" borderId="3" pivotButton="0" quotePrefix="0" xfId="0"/>
    <xf numFmtId="49" fontId="0" fillId="0" borderId="0" pivotButton="0" quotePrefix="0" xfId="0"/>
    <xf numFmtId="49" fontId="0" fillId="0" borderId="1" pivotButton="0" quotePrefix="0" xfId="0"/>
    <xf numFmtId="164" fontId="2" fillId="0" borderId="1" pivotButton="0" quotePrefix="1" xfId="0"/>
    <xf numFmtId="164" fontId="0" fillId="0" borderId="0" pivotButton="0" quotePrefix="0" xfId="0"/>
    <xf numFmtId="17" fontId="2" fillId="0" borderId="0" applyAlignment="1" pivotButton="0" quotePrefix="0" xfId="0">
      <alignment horizontal="center"/>
    </xf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10" fontId="2" fillId="0" borderId="1" pivotButton="0" quotePrefix="1" xfId="2"/>
    <xf numFmtId="10" fontId="0" fillId="0" borderId="0" pivotButton="0" quotePrefix="0" xfId="2"/>
    <xf numFmtId="164" fontId="2" fillId="0" borderId="1" pivotButton="0" quotePrefix="1" xfId="1"/>
    <xf numFmtId="49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9" fontId="2" fillId="0" borderId="4" applyAlignment="1" pivotButton="0" quotePrefix="0" xfId="2">
      <alignment horizontal="left"/>
    </xf>
    <xf numFmtId="9" fontId="2" fillId="0" borderId="5" applyAlignment="1" pivotButton="0" quotePrefix="0" xfId="2">
      <alignment horizontal="left"/>
    </xf>
    <xf numFmtId="0" fontId="2" fillId="0" borderId="1" applyAlignment="1" pivotButton="0" quotePrefix="0" xfId="0">
      <alignment horizontal="left"/>
    </xf>
    <xf numFmtId="17" fontId="2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1" pivotButton="0" quotePrefix="0" xfId="1"/>
    <xf numFmtId="164" fontId="0" fillId="0" borderId="0" pivotButton="0" quotePrefix="0" xfId="1"/>
    <xf numFmtId="0" fontId="0" fillId="0" borderId="5" pivotButton="0" quotePrefix="0" xfId="0"/>
    <xf numFmtId="165" fontId="0" fillId="0" borderId="1" applyAlignment="1" pivotButton="0" quotePrefix="0" xfId="0">
      <alignment horizontal="center"/>
    </xf>
    <xf numFmtId="4" fontId="0" fillId="0" borderId="1" pivotButton="0" quotePrefix="0" xfId="1"/>
    <xf numFmtId="4" fontId="2" fillId="0" borderId="1" pivotButton="0" quotePrefix="1" xfId="0"/>
    <xf numFmtId="9" fontId="2" fillId="0" borderId="1" applyAlignment="1" pivotButton="0" quotePrefix="0" xfId="2">
      <alignment horizontal="left"/>
    </xf>
    <xf numFmtId="4" fontId="2" fillId="0" borderId="1" pivotButton="0" quotePrefix="1" xfId="1"/>
    <xf numFmtId="164" fontId="0" fillId="0" borderId="0" pivotButton="0" quotePrefix="0" xfId="0"/>
    <xf numFmtId="165" fontId="0" fillId="0" borderId="1" pivotButton="0" quotePrefix="0" xfId="0"/>
  </cellXfs>
  <cellStyles count="3">
    <cellStyle name="Normal" xfId="0" builtinId="0"/>
    <cellStyle name="Moeda" xfId="1" builtinId="4"/>
    <cellStyle name="Porcentagem" xfId="2" builtinId="5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99"/>
  <sheetViews>
    <sheetView showGridLines="0" tabSelected="1" workbookViewId="0">
      <selection activeCell="E26" sqref="E26"/>
    </sheetView>
  </sheetViews>
  <sheetFormatPr baseColWidth="8" defaultRowHeight="14.25"/>
  <cols>
    <col width="26.5" bestFit="1" customWidth="1" style="42" min="4" max="4"/>
    <col width="43.5" bestFit="1" customWidth="1" style="42" min="5" max="5"/>
  </cols>
  <sheetData>
    <row r="1" ht="15" customHeight="1">
      <c r="B1" s="40" t="inlineStr">
        <is>
          <t>Mês</t>
        </is>
      </c>
      <c r="D1" s="40" t="inlineStr">
        <is>
          <t>Código Centro de Custo</t>
        </is>
      </c>
      <c r="E1" s="40" t="inlineStr">
        <is>
          <t>Centro de Custos</t>
        </is>
      </c>
    </row>
    <row r="2">
      <c r="B2" s="15" t="inlineStr">
        <is>
          <t>Jan/2026</t>
        </is>
      </c>
      <c r="D2" s="28" t="n">
        <v>25111001</v>
      </c>
      <c r="E2" s="28" t="inlineStr">
        <is>
          <t>TI - DIVISAO DE NEGOCIO</t>
        </is>
      </c>
    </row>
    <row r="3">
      <c r="B3" s="15" t="inlineStr">
        <is>
          <t>Fev/2026</t>
        </is>
      </c>
      <c r="D3" s="28" t="n"/>
      <c r="E3" s="28" t="n"/>
    </row>
    <row r="4">
      <c r="B4" s="15" t="inlineStr">
        <is>
          <t>Mar/2026</t>
        </is>
      </c>
      <c r="D4" s="28" t="n"/>
      <c r="E4" s="28" t="n"/>
    </row>
    <row r="5">
      <c r="B5" s="15" t="inlineStr">
        <is>
          <t>Abr/2026</t>
        </is>
      </c>
      <c r="D5" s="28" t="n"/>
      <c r="E5" s="28" t="n"/>
    </row>
    <row r="6">
      <c r="B6" s="15" t="inlineStr">
        <is>
          <t>Mai/2026</t>
        </is>
      </c>
      <c r="D6" s="28" t="n"/>
      <c r="E6" s="28" t="n"/>
    </row>
    <row r="7">
      <c r="B7" s="15" t="inlineStr">
        <is>
          <t>Jun/2026</t>
        </is>
      </c>
      <c r="D7" s="28" t="n"/>
      <c r="E7" s="28" t="n"/>
    </row>
    <row r="8">
      <c r="B8" s="15" t="inlineStr">
        <is>
          <t>Jul/2026</t>
        </is>
      </c>
      <c r="D8" s="28" t="n"/>
      <c r="E8" s="28" t="n"/>
    </row>
    <row r="9">
      <c r="B9" s="15" t="inlineStr">
        <is>
          <t>Ago/2026</t>
        </is>
      </c>
      <c r="D9" s="28" t="n"/>
      <c r="E9" s="28" t="n"/>
    </row>
    <row r="10">
      <c r="B10" s="15" t="inlineStr">
        <is>
          <t>Set/2026</t>
        </is>
      </c>
      <c r="D10" s="28" t="n"/>
      <c r="E10" s="28" t="n"/>
    </row>
    <row r="11">
      <c r="B11" s="15" t="inlineStr">
        <is>
          <t>Out/2026</t>
        </is>
      </c>
      <c r="D11" s="28" t="n"/>
      <c r="E11" s="28" t="n"/>
    </row>
    <row r="12">
      <c r="B12" s="15" t="inlineStr">
        <is>
          <t>Nov/2026</t>
        </is>
      </c>
      <c r="D12" s="28" t="n"/>
      <c r="E12" s="28" t="n"/>
    </row>
    <row r="13">
      <c r="B13" s="15" t="inlineStr">
        <is>
          <t>Dez/2026</t>
        </is>
      </c>
      <c r="D13" s="28" t="n"/>
      <c r="E13" s="28" t="n"/>
    </row>
    <row r="14">
      <c r="B14" s="14" t="n"/>
      <c r="D14" s="28" t="n"/>
      <c r="E14" s="28" t="n"/>
    </row>
    <row r="15">
      <c r="B15" s="14" t="n"/>
      <c r="D15" s="28" t="n"/>
      <c r="E15" s="28" t="n"/>
    </row>
    <row r="16">
      <c r="B16" s="14" t="n"/>
      <c r="D16" s="28" t="n"/>
      <c r="E16" s="28" t="n"/>
    </row>
    <row r="17">
      <c r="B17" s="14" t="n"/>
      <c r="D17" s="28" t="n"/>
      <c r="E17" s="28" t="n"/>
    </row>
    <row r="18">
      <c r="D18" s="28" t="n"/>
      <c r="E18" s="28" t="n"/>
    </row>
    <row r="19">
      <c r="D19" s="28" t="n"/>
      <c r="E19" s="28" t="n"/>
    </row>
    <row r="20">
      <c r="D20" s="28" t="n"/>
      <c r="E20" s="28" t="n"/>
    </row>
    <row r="21">
      <c r="D21" s="28" t="n"/>
      <c r="E21" s="28" t="n"/>
    </row>
    <row r="22">
      <c r="D22" s="28" t="n"/>
      <c r="E22" s="28" t="n"/>
    </row>
    <row r="23">
      <c r="D23" s="28" t="n"/>
      <c r="E23" s="28" t="n"/>
    </row>
    <row r="24">
      <c r="D24" s="28" t="n"/>
      <c r="E24" s="28" t="n"/>
    </row>
    <row r="25">
      <c r="D25" s="28" t="n"/>
      <c r="E25" s="28" t="n"/>
    </row>
    <row r="26">
      <c r="D26" s="28" t="n"/>
      <c r="E26" s="28" t="n"/>
    </row>
    <row r="27">
      <c r="D27" s="28" t="n"/>
      <c r="E27" s="28" t="n"/>
    </row>
    <row r="28">
      <c r="D28" s="28" t="n"/>
      <c r="E28" s="28" t="n"/>
    </row>
    <row r="29">
      <c r="D29" s="28" t="n"/>
      <c r="E29" s="28" t="n"/>
    </row>
    <row r="30">
      <c r="D30" s="28" t="n"/>
      <c r="E30" s="28" t="n"/>
    </row>
    <row r="31">
      <c r="D31" s="28" t="n"/>
      <c r="E31" s="28" t="n"/>
    </row>
    <row r="32">
      <c r="D32" s="28" t="n"/>
      <c r="E32" s="28" t="n"/>
    </row>
    <row r="33">
      <c r="D33" s="28" t="n"/>
      <c r="E33" s="28" t="n"/>
    </row>
    <row r="34">
      <c r="D34" s="28" t="n"/>
      <c r="E34" s="28" t="n"/>
    </row>
    <row r="35">
      <c r="D35" s="28" t="n"/>
      <c r="E35" s="28" t="n"/>
    </row>
    <row r="36">
      <c r="D36" s="28" t="n"/>
      <c r="E36" s="28" t="n"/>
    </row>
    <row r="37">
      <c r="D37" s="28" t="n"/>
      <c r="E37" s="28" t="n"/>
    </row>
    <row r="38">
      <c r="D38" s="28" t="n"/>
      <c r="E38" s="28" t="n"/>
    </row>
    <row r="39">
      <c r="D39" s="28" t="n"/>
      <c r="E39" s="28" t="n"/>
    </row>
    <row r="40">
      <c r="D40" s="28" t="n"/>
      <c r="E40" s="28" t="n"/>
    </row>
    <row r="41">
      <c r="D41" s="28" t="n"/>
      <c r="E41" s="28" t="n"/>
    </row>
    <row r="42">
      <c r="D42" s="28" t="n"/>
      <c r="E42" s="28" t="n"/>
    </row>
    <row r="43">
      <c r="D43" s="28" t="n"/>
      <c r="E43" s="28" t="n"/>
    </row>
    <row r="44">
      <c r="D44" s="28" t="n"/>
      <c r="E44" s="28" t="n"/>
    </row>
    <row r="45">
      <c r="D45" s="28" t="n"/>
      <c r="E45" s="28" t="n"/>
    </row>
    <row r="46">
      <c r="D46" s="28" t="n"/>
      <c r="E46" s="28" t="n"/>
    </row>
    <row r="47">
      <c r="D47" s="28" t="n"/>
      <c r="E47" s="28" t="n"/>
    </row>
    <row r="48">
      <c r="D48" s="28" t="n"/>
      <c r="E48" s="28" t="n"/>
    </row>
    <row r="49">
      <c r="D49" s="28" t="n"/>
      <c r="E49" s="28" t="n"/>
    </row>
    <row r="50">
      <c r="D50" s="28" t="n"/>
      <c r="E50" s="28" t="n"/>
    </row>
    <row r="51">
      <c r="D51" s="28" t="n"/>
      <c r="E51" s="28" t="n"/>
    </row>
    <row r="52">
      <c r="D52" s="28" t="n"/>
      <c r="E52" s="28" t="n"/>
    </row>
    <row r="53">
      <c r="D53" s="28" t="n"/>
      <c r="E53" s="28" t="n"/>
    </row>
    <row r="54">
      <c r="D54" s="28" t="n"/>
      <c r="E54" s="28" t="n"/>
    </row>
    <row r="55">
      <c r="D55" s="28" t="n"/>
      <c r="E55" s="28" t="n"/>
    </row>
    <row r="56">
      <c r="D56" s="28" t="n"/>
      <c r="E56" s="28" t="n"/>
    </row>
    <row r="57">
      <c r="D57" s="28" t="n"/>
      <c r="E57" s="28" t="n"/>
    </row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7"/>
  <sheetViews>
    <sheetView showGridLines="0" topLeftCell="A7" zoomScaleNormal="100" workbookViewId="0">
      <selection activeCell="C8" sqref="C8"/>
    </sheetView>
  </sheetViews>
  <sheetFormatPr baseColWidth="8" defaultRowHeight="14.25"/>
  <cols>
    <col width="2.5" customWidth="1" min="1" max="1"/>
    <col width="34.375" customWidth="1" min="2" max="2"/>
    <col width="25.25" customWidth="1" min="3" max="3"/>
    <col width="8" customWidth="1" min="4" max="4"/>
    <col width="35.5" customWidth="1" min="5" max="5"/>
    <col width="20.1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Jan/2026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268847.7701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 t="n">
        <v>0</v>
      </c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6.03.01.02.02.79 - ASSESSORIA OPERACIONAL</t>
        </is>
      </c>
      <c r="C19" s="28" t="inlineStr">
        <is>
          <t>CRISTIANO AGOSTINHO DA SILVA - ME</t>
        </is>
      </c>
      <c r="D19" s="45" t="n"/>
      <c r="E19" s="1" t="inlineStr">
        <is>
          <t>ASSESSORIA OPERACIONAL / SUPORTE 1.07</t>
        </is>
      </c>
      <c r="F19" s="46" t="n">
        <v>46028</v>
      </c>
      <c r="G19" s="46" t="n">
        <v>46029</v>
      </c>
      <c r="H19" s="47" t="n">
        <v>14019.64</v>
      </c>
    </row>
    <row r="20" ht="20.1" customHeight="1">
      <c r="B20" s="1" t="inlineStr">
        <is>
          <t>6.03.01.02.02.79 - ASSESSORIA OPERACIONAL</t>
        </is>
      </c>
      <c r="C20" s="28" t="inlineStr">
        <is>
          <t>F.P. ROSA SERVICOS DE INFORMATICA</t>
        </is>
      </c>
      <c r="D20" s="45" t="n"/>
      <c r="E20" s="1" t="inlineStr">
        <is>
          <t>ASSESSORIA ELABORACAO PROGRAMA 1.04</t>
        </is>
      </c>
      <c r="F20" s="46" t="n">
        <v>46029</v>
      </c>
      <c r="G20" s="46" t="n">
        <v>46029</v>
      </c>
      <c r="H20" s="47" t="n">
        <v>13025</v>
      </c>
    </row>
    <row r="21" ht="20.1" customHeight="1">
      <c r="B21" s="1" t="inlineStr">
        <is>
          <t>6.03.01.02.02.79 - ASSESSORIA OPERACIONAL</t>
        </is>
      </c>
      <c r="C21" s="28" t="inlineStr">
        <is>
          <t>GS SERVICOS DE INFORMATICA EIRELI - ME</t>
        </is>
      </c>
      <c r="D21" s="45" t="n"/>
      <c r="E21" s="1" t="inlineStr">
        <is>
          <t>ASSESSORIA OPERACIONAL 17.02</t>
        </is>
      </c>
      <c r="F21" s="46" t="n">
        <v>46029</v>
      </c>
      <c r="G21" s="46" t="n">
        <v>46029</v>
      </c>
      <c r="H21" s="47" t="n">
        <v>21000</v>
      </c>
    </row>
    <row r="22" ht="20.1" customHeight="1">
      <c r="B22" s="1" t="inlineStr">
        <is>
          <t>6.03.01.02.02.51 - INTERNET/COMUNICACOES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46" t="n">
        <v>46000</v>
      </c>
      <c r="G22" s="46" t="n">
        <v>46031</v>
      </c>
      <c r="H22" s="47" t="n">
        <v>1390.37</v>
      </c>
    </row>
    <row r="23" ht="20.1" customHeight="1">
      <c r="B23" s="1" t="inlineStr">
        <is>
          <t>6.03.01.02.02.51 - INTERNET/COMUNICACOES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46" t="n">
        <v>46000</v>
      </c>
      <c r="G23" s="46" t="n">
        <v>46031</v>
      </c>
      <c r="H23" s="47" t="n">
        <v>1390.37</v>
      </c>
    </row>
    <row r="24" ht="20.1" customHeight="1">
      <c r="B24" s="1" t="inlineStr">
        <is>
          <t>6.03.01.02.02.51 - INTERNET/COMUNICACOES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46" t="n">
        <v>46000</v>
      </c>
      <c r="G24" s="46" t="n">
        <v>46031</v>
      </c>
      <c r="H24" s="47" t="n">
        <v>1716.58</v>
      </c>
    </row>
    <row r="25" ht="20.1" customHeight="1">
      <c r="B25" s="1" t="inlineStr">
        <is>
          <t>6.03.01.02.02.52 - TELEFONES</t>
        </is>
      </c>
      <c r="C25" s="28" t="inlineStr">
        <is>
          <t>TELECOMUNICACOES DE SAO PAULO S.A. -TELEFONICA</t>
        </is>
      </c>
      <c r="D25" s="45" t="n"/>
      <c r="E25" s="1" t="inlineStr">
        <is>
          <t>SERV. TELEFONIA FIXA 31.01</t>
        </is>
      </c>
      <c r="F25" s="46" t="n">
        <v>46010</v>
      </c>
      <c r="G25" s="46" t="n">
        <v>46031</v>
      </c>
      <c r="H25" s="47" t="n">
        <v>6121.87</v>
      </c>
    </row>
    <row r="26" ht="20.1" customHeight="1">
      <c r="B26" s="1" t="inlineStr">
        <is>
          <t>6.03.01.02.02.52 - TELEFONES</t>
        </is>
      </c>
      <c r="C26" s="28" t="inlineStr">
        <is>
          <t>TELECOMUNICACOES DE SAO PAULO S.A. -TELEFONICA</t>
        </is>
      </c>
      <c r="D26" s="45" t="n"/>
      <c r="E26" s="1" t="inlineStr">
        <is>
          <t>SERV. TELEFONIA FIXA 31.01</t>
        </is>
      </c>
      <c r="F26" s="46" t="n">
        <v>46010</v>
      </c>
      <c r="G26" s="46" t="n">
        <v>46031</v>
      </c>
      <c r="H26" s="47" t="n">
        <v>4468.67</v>
      </c>
    </row>
    <row r="27" ht="20.1" customHeight="1">
      <c r="B27" s="1" t="inlineStr">
        <is>
          <t>6.03.01.02.02.01 - ALUGUEIS DE EQUIPAMENTOS</t>
        </is>
      </c>
      <c r="C27" s="28" t="inlineStr">
        <is>
          <t>BRASILSITE TELECOMUNICACOES LTDA.</t>
        </is>
      </c>
      <c r="D27" s="45" t="n"/>
      <c r="E27" s="1" t="inlineStr">
        <is>
          <t>SERV. ALUGUEL EQUIPAMENTO 3.04</t>
        </is>
      </c>
      <c r="F27" s="46" t="n">
        <v>46035</v>
      </c>
      <c r="G27" s="46" t="n">
        <v>46036</v>
      </c>
      <c r="H27" s="47" t="n">
        <v>919.75</v>
      </c>
    </row>
    <row r="28" ht="20.1" customHeight="1">
      <c r="B28" s="1" t="inlineStr">
        <is>
          <t>6.03.01.02.02.01 - ALUGUEIS DE EQUIPAMENTOS</t>
        </is>
      </c>
      <c r="C28" s="28" t="inlineStr">
        <is>
          <t>BRASILSITE TELECOMUNICACOES LTDA.</t>
        </is>
      </c>
      <c r="D28" s="45" t="n"/>
      <c r="E28" s="1" t="inlineStr">
        <is>
          <t>SERV. ALUGUEL EQUIPAMENTO 3.04</t>
        </is>
      </c>
      <c r="F28" s="46" t="n">
        <v>46035</v>
      </c>
      <c r="G28" s="46" t="n">
        <v>46036</v>
      </c>
      <c r="H28" s="47" t="n">
        <v>1785.7</v>
      </c>
    </row>
    <row r="29" ht="20.1" customHeight="1">
      <c r="B29" s="1" t="inlineStr">
        <is>
          <t>6.03.01.02.02.51 - INTERNET/COMUNICACOES</t>
        </is>
      </c>
      <c r="C29" s="28" t="inlineStr">
        <is>
          <t>BRASILSITE TELECOMUNICACOES LTDA.</t>
        </is>
      </c>
      <c r="D29" s="45" t="n"/>
      <c r="E29" s="1" t="inlineStr">
        <is>
          <t>SERV. DE INTERNET 31.01</t>
        </is>
      </c>
      <c r="F29" s="46" t="n">
        <v>46035</v>
      </c>
      <c r="G29" s="46" t="n">
        <v>46036</v>
      </c>
      <c r="H29" s="47" t="n">
        <v>149.73</v>
      </c>
    </row>
    <row r="30" ht="20.1" customHeight="1">
      <c r="B30" s="1" t="inlineStr">
        <is>
          <t>6.03.01.02.02.51 - INTERNET/COMUNICACOES</t>
        </is>
      </c>
      <c r="C30" s="28" t="inlineStr">
        <is>
          <t>BRASILSITE TELECOMUNICACOES LTDA.</t>
        </is>
      </c>
      <c r="D30" s="45" t="n"/>
      <c r="E30" s="1" t="inlineStr">
        <is>
          <t>SERV. DE INTERNET 31.01</t>
        </is>
      </c>
      <c r="F30" s="46" t="n">
        <v>46035</v>
      </c>
      <c r="G30" s="46" t="n">
        <v>46036</v>
      </c>
      <c r="H30" s="47" t="n">
        <v>290.7</v>
      </c>
    </row>
    <row r="31" ht="20.1" customHeight="1">
      <c r="B31" s="1" t="inlineStr">
        <is>
          <t>6.03.01.02.02.31 - MANUTEN. SISTEMAS  INFORMATICA</t>
        </is>
      </c>
      <c r="C31" s="28" t="inlineStr">
        <is>
          <t>TECNOSPEED S/A</t>
        </is>
      </c>
      <c r="D31" s="45" t="n"/>
      <c r="E31" s="1" t="inlineStr">
        <is>
          <t>SERVICO LICENCA PROGRAMA 1.05</t>
        </is>
      </c>
      <c r="F31" s="46" t="n">
        <v>46035</v>
      </c>
      <c r="G31" s="46" t="n">
        <v>46037</v>
      </c>
      <c r="H31" s="47" t="n">
        <v>252.44</v>
      </c>
    </row>
    <row r="32" ht="20.1" customHeight="1">
      <c r="B32" s="1" t="inlineStr">
        <is>
          <t>6.03.01.02.02.77 - ASSESSORIA E SERVICO INFORMATICA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46" t="n">
        <v>46035</v>
      </c>
      <c r="G32" s="46" t="n">
        <v>46037</v>
      </c>
      <c r="H32" s="47" t="n">
        <v>143.28</v>
      </c>
    </row>
    <row r="33" ht="20.1" customHeight="1">
      <c r="B33" s="1" t="inlineStr">
        <is>
          <t>6.03.01.02.02.31 - MANUTEN. SISTEMAS  INFORMATICA</t>
        </is>
      </c>
      <c r="C33" s="28" t="inlineStr">
        <is>
          <t>DESK MANAGER SOFTWARE LTDA</t>
        </is>
      </c>
      <c r="D33" s="45" t="n"/>
      <c r="E33" s="1" t="inlineStr">
        <is>
          <t>SERVICO LICENCA PROGRAMA 1.05</t>
        </is>
      </c>
      <c r="F33" s="46" t="n">
        <v>46036</v>
      </c>
      <c r="G33" s="46" t="n">
        <v>46037</v>
      </c>
      <c r="H33" s="47" t="n">
        <v>1382</v>
      </c>
    </row>
    <row r="34" ht="20.1" customHeight="1">
      <c r="B34" s="1" t="inlineStr">
        <is>
          <t>6.03.01.02.02.77 - ASSESSORIA E SERVICO INFORMATICA</t>
        </is>
      </c>
      <c r="C34" s="28" t="inlineStr">
        <is>
          <t>C&amp;C COMPUTACAO E COMUNIC. INFORMATICA LT</t>
        </is>
      </c>
      <c r="D34" s="45" t="n"/>
      <c r="E34" s="1" t="inlineStr">
        <is>
          <t>PROCESSAMENTO DADOS 1.03</t>
        </is>
      </c>
      <c r="F34" s="46" t="n">
        <v>46035</v>
      </c>
      <c r="G34" s="46" t="n">
        <v>46038</v>
      </c>
      <c r="H34" s="47" t="n">
        <v>39828.76</v>
      </c>
    </row>
    <row r="35" ht="20.1" customHeight="1">
      <c r="B35" s="1" t="inlineStr">
        <is>
          <t>6.03.01.02.02.31 - MANUTEN. SISTEMAS  INFORMATICA</t>
        </is>
      </c>
      <c r="C35" s="28" t="inlineStr">
        <is>
          <t>DESK MANAGER SOFTWARE LTDA</t>
        </is>
      </c>
      <c r="D35" s="45" t="n"/>
      <c r="E35" s="1" t="inlineStr">
        <is>
          <t>SERVICO LICENCA PROGRAMA 1.05</t>
        </is>
      </c>
      <c r="F35" s="46" t="n">
        <v>46036</v>
      </c>
      <c r="G35" s="46" t="n">
        <v>46038</v>
      </c>
      <c r="H35" s="47" t="n">
        <v>1382</v>
      </c>
    </row>
    <row r="36" ht="20.1" customHeight="1">
      <c r="B36" s="1" t="inlineStr">
        <is>
          <t>6.03.01.02.02.31 - MANUTEN. SISTEMAS  INFORMATICA</t>
        </is>
      </c>
      <c r="C36" s="28" t="inlineStr">
        <is>
          <t>INGRAM MICRO BRASIL LTDA</t>
        </is>
      </c>
      <c r="D36" s="45" t="n"/>
      <c r="E36" s="1" t="inlineStr">
        <is>
          <t>SERVICO LICENCA PROGRAMA 1.05</t>
        </is>
      </c>
      <c r="F36" s="46" t="n">
        <v>46036</v>
      </c>
      <c r="G36" s="46" t="n">
        <v>46038</v>
      </c>
      <c r="H36" s="47" t="n">
        <v>8682.1</v>
      </c>
    </row>
    <row r="37" ht="20.1" customHeight="1">
      <c r="B37" s="1" t="inlineStr">
        <is>
          <t>6.03.01.02.02.31 - MANUTEN. SISTEMAS  INFORMATICA</t>
        </is>
      </c>
      <c r="C37" s="28" t="inlineStr">
        <is>
          <t>SENIOR SISTEMAS S/A</t>
        </is>
      </c>
      <c r="D37" s="45" t="n"/>
      <c r="E37" s="1" t="inlineStr">
        <is>
          <t>SERV. MANUT SISTEMA INFOR 1.07</t>
        </is>
      </c>
      <c r="F37" s="46" t="n">
        <v>46036</v>
      </c>
      <c r="G37" s="46" t="n">
        <v>46038</v>
      </c>
      <c r="H37" s="47" t="n">
        <v>15123.81</v>
      </c>
    </row>
    <row r="38" ht="20.1" customHeight="1">
      <c r="B38" s="1" t="inlineStr">
        <is>
          <t>6.03.01.02.02.31 - MANUTEN. SISTEMAS  INFORMATICA</t>
        </is>
      </c>
      <c r="C38" s="28" t="inlineStr">
        <is>
          <t>WEFIT TECNOLOGIA ESTRATEGICA LTDA</t>
        </is>
      </c>
      <c r="D38" s="45" t="n"/>
      <c r="E38" s="1" t="inlineStr">
        <is>
          <t>SERV. ELAB/ATUAL PROGRAMA 1.04</t>
        </is>
      </c>
      <c r="F38" s="46" t="n">
        <v>46036</v>
      </c>
      <c r="G38" s="46" t="n">
        <v>46038</v>
      </c>
      <c r="H38" s="47" t="n">
        <v>28932.7</v>
      </c>
    </row>
    <row r="39" ht="20.1" customHeight="1">
      <c r="B39" s="1" t="inlineStr">
        <is>
          <t>6.03.01.02.02.77 - ASSESSORIA E SERVICO INFORMATICA</t>
        </is>
      </c>
      <c r="C39" s="28" t="inlineStr">
        <is>
          <t>PERIPHERART ELET. IND. E COMERCIO LTDA</t>
        </is>
      </c>
      <c r="D39" s="45" t="n"/>
      <c r="E39" s="1" t="inlineStr">
        <is>
          <t>ASSESSORIA INFORMATICA 14.06</t>
        </is>
      </c>
      <c r="F39" s="46" t="n">
        <v>46036</v>
      </c>
      <c r="G39" s="46" t="n">
        <v>46038</v>
      </c>
      <c r="H39" s="47" t="n">
        <v>2500</v>
      </c>
    </row>
    <row r="40" ht="20.1" customHeight="1">
      <c r="B40" s="1" t="inlineStr">
        <is>
          <t>6.03.01.02.02.77 - ASSESSORIA E SERVICO INFORMATICA</t>
        </is>
      </c>
      <c r="C40" s="28" t="inlineStr">
        <is>
          <t>SKAC PROCESSAMENTO DE DADOS LTDA - ME</t>
        </is>
      </c>
      <c r="D40" s="45" t="n"/>
      <c r="E40" s="1" t="inlineStr">
        <is>
          <t>PROCESSAMENTO DADOS 1.03</t>
        </is>
      </c>
      <c r="F40" s="46" t="n">
        <v>46036</v>
      </c>
      <c r="G40" s="46" t="n">
        <v>46038</v>
      </c>
      <c r="H40" s="47" t="n">
        <v>3600</v>
      </c>
    </row>
    <row r="41" ht="20.1" customHeight="1">
      <c r="B41" s="1" t="inlineStr">
        <is>
          <t>6.03.01.02.02.77 - ASSESSORIA E SERVICO INFORMATICA</t>
        </is>
      </c>
      <c r="C41" s="28" t="inlineStr">
        <is>
          <t>SKAC PROCESSAMENTO DE DADOS LTDA - ME</t>
        </is>
      </c>
      <c r="D41" s="45" t="n"/>
      <c r="E41" s="1" t="inlineStr">
        <is>
          <t>PROCESSAMENTO DADOS 1.03</t>
        </is>
      </c>
      <c r="F41" s="46" t="n">
        <v>46036</v>
      </c>
      <c r="G41" s="46" t="n">
        <v>46038</v>
      </c>
      <c r="H41" s="47" t="n">
        <v>7500</v>
      </c>
    </row>
    <row r="42" ht="20.1" customHeight="1">
      <c r="B42" s="1" t="inlineStr">
        <is>
          <t>6.03.01.02.02.77 - ASSESSORIA E SERVICO INFORMATICA</t>
        </is>
      </c>
      <c r="C42" s="28" t="inlineStr">
        <is>
          <t>SPHERE IT SERVICOS LTDA</t>
        </is>
      </c>
      <c r="D42" s="45" t="n"/>
      <c r="E42" s="1" t="inlineStr">
        <is>
          <t>SERV. ASSESS DE INFOR 1.06</t>
        </is>
      </c>
      <c r="F42" s="46" t="n">
        <v>46036</v>
      </c>
      <c r="G42" s="46" t="n">
        <v>46038</v>
      </c>
      <c r="H42" s="47" t="n">
        <v>33776.13</v>
      </c>
    </row>
    <row r="43" ht="20.1" customHeight="1">
      <c r="B43" s="1" t="inlineStr">
        <is>
          <t>6.03.01.02.02.77 - ASSESSORIA E SERVICO INFORMATICA</t>
        </is>
      </c>
      <c r="C43" s="28" t="inlineStr">
        <is>
          <t>SPHERE IT SERVICOS LTDA</t>
        </is>
      </c>
      <c r="D43" s="45" t="n"/>
      <c r="E43" s="1" t="inlineStr">
        <is>
          <t>SERV. ASSESS DE INFOR 1.06</t>
        </is>
      </c>
      <c r="F43" s="46" t="n">
        <v>46036</v>
      </c>
      <c r="G43" s="46" t="n">
        <v>46038</v>
      </c>
      <c r="H43" s="47" t="n">
        <v>19418</v>
      </c>
    </row>
    <row r="44" ht="20.1" customHeight="1">
      <c r="B44" s="1" t="inlineStr">
        <is>
          <t>6.03.01.02.02.51 - INTERNET/COMUNICACOES</t>
        </is>
      </c>
      <c r="C44" s="28" t="inlineStr">
        <is>
          <t>RENATO L SILVA TELECOMUNICACOES ME</t>
        </is>
      </c>
      <c r="D44" s="45" t="n"/>
      <c r="E44" s="1" t="inlineStr">
        <is>
          <t>SERV. LINK INTERNET 01.04</t>
        </is>
      </c>
      <c r="F44" s="46" t="n">
        <v>46036</v>
      </c>
      <c r="G44" s="46" t="n">
        <v>46041</v>
      </c>
      <c r="H44" s="47" t="n">
        <v>900</v>
      </c>
    </row>
    <row r="45" ht="20.1" customHeight="1">
      <c r="B45" s="1" t="inlineStr">
        <is>
          <t>6.03.01.02.02.51 - INTERNET/COMUNICACOES</t>
        </is>
      </c>
      <c r="C45" s="28" t="inlineStr">
        <is>
          <t>RODOVIA SOLUCOES TECNOLOGICAS LTDA</t>
        </is>
      </c>
      <c r="D45" s="45" t="n"/>
      <c r="E45" s="1" t="inlineStr">
        <is>
          <t>SUPORTE TECNICO T.I. 1.07</t>
        </is>
      </c>
      <c r="F45" s="46" t="n">
        <v>46036</v>
      </c>
      <c r="G45" s="46" t="n">
        <v>46041</v>
      </c>
      <c r="H45" s="47" t="n">
        <v>2878.2</v>
      </c>
    </row>
    <row r="46" ht="20.1" customHeight="1">
      <c r="B46" s="1" t="inlineStr">
        <is>
          <t>6.03.01.02.02.31 - MANUTEN. SISTEMAS  INFORMATICA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46" t="n">
        <v>46037</v>
      </c>
      <c r="G46" s="46" t="n">
        <v>46041</v>
      </c>
      <c r="H46" s="47" t="n">
        <v>2069</v>
      </c>
    </row>
    <row r="47" ht="20.1" customHeight="1">
      <c r="B47" s="1" t="inlineStr">
        <is>
          <t>6.03.01.02.02.51 - INTERNET/COMUNICACOES</t>
        </is>
      </c>
      <c r="C47" s="28" t="inlineStr">
        <is>
          <t>VOGEL SOLUCOES EM TELECOMUNICACOES E INFORMATICA S.A.</t>
        </is>
      </c>
      <c r="D47" s="45" t="n"/>
      <c r="E47" s="1" t="inlineStr">
        <is>
          <t>SERV. LINK INTERNET 01.04</t>
        </is>
      </c>
      <c r="F47" s="46" t="n">
        <v>46037</v>
      </c>
      <c r="G47" s="46" t="n">
        <v>46041</v>
      </c>
      <c r="H47" s="47" t="n">
        <v>361.09</v>
      </c>
    </row>
    <row r="48" ht="20.1" customHeight="1">
      <c r="B48" s="1" t="inlineStr">
        <is>
          <t>6.03.01.02.02.51 - INTERNET/COMUNICACOES</t>
        </is>
      </c>
      <c r="C48" s="28" t="inlineStr">
        <is>
          <t>VOGEL SOLUCOES EM TELECOMUNICACOES E INFORMATICA S.A.</t>
        </is>
      </c>
      <c r="D48" s="45" t="n"/>
      <c r="E48" s="1" t="inlineStr">
        <is>
          <t>SERV. LINK INTERNET 01.04</t>
        </is>
      </c>
      <c r="F48" s="46" t="n">
        <v>46037</v>
      </c>
      <c r="G48" s="46" t="n">
        <v>46041</v>
      </c>
      <c r="H48" s="47" t="n">
        <v>1390.37</v>
      </c>
    </row>
    <row r="49" ht="20.1" customHeight="1">
      <c r="B49" s="1" t="inlineStr">
        <is>
          <t>6.03.01.02.02.51 - INTERNET/COMUNICACOES</t>
        </is>
      </c>
      <c r="C49" s="28" t="inlineStr">
        <is>
          <t>VOGEL SOLUCOES EM TELECOMUNICACOES E INFORMATICA S.A.</t>
        </is>
      </c>
      <c r="D49" s="45" t="n"/>
      <c r="E49" s="1" t="inlineStr">
        <is>
          <t>SERV. LINK INTERNET 01.04</t>
        </is>
      </c>
      <c r="F49" s="46" t="n">
        <v>46037</v>
      </c>
      <c r="G49" s="46" t="n">
        <v>46041</v>
      </c>
      <c r="H49" s="47" t="n">
        <v>1716.58</v>
      </c>
    </row>
    <row r="50" ht="20.1" customHeight="1">
      <c r="B50" s="1" t="inlineStr">
        <is>
          <t>6.03.01.02.02.51 - INTERNET/COMUNICACOES</t>
        </is>
      </c>
      <c r="C50" s="28" t="inlineStr">
        <is>
          <t>VOGEL SOLUCOES EM TELECOMUNICACOES E INFORMATICA S.A.</t>
        </is>
      </c>
      <c r="D50" s="45" t="n"/>
      <c r="E50" s="1" t="inlineStr">
        <is>
          <t>SERV. LINK INTERNET 01.04</t>
        </is>
      </c>
      <c r="F50" s="46" t="n">
        <v>46037</v>
      </c>
      <c r="G50" s="46" t="n">
        <v>46041</v>
      </c>
      <c r="H50" s="47" t="n">
        <v>689.14</v>
      </c>
    </row>
    <row r="51" ht="20.1" customHeight="1">
      <c r="B51" s="1" t="inlineStr">
        <is>
          <t>6.03.01.02.02.51 - INTERNET/COMUNICACOES</t>
        </is>
      </c>
      <c r="C51" s="28" t="inlineStr">
        <is>
          <t>VOGEL SOLUCOES EM TELECOMUNICACOES E INFORMATICA S.A.</t>
        </is>
      </c>
      <c r="D51" s="45" t="n"/>
      <c r="E51" s="1" t="inlineStr">
        <is>
          <t>SERV. LINK INTERNET 01.04</t>
        </is>
      </c>
      <c r="F51" s="46" t="n">
        <v>46041</v>
      </c>
      <c r="G51" s="46" t="n">
        <v>46041</v>
      </c>
      <c r="H51" s="47" t="n">
        <v>361.09</v>
      </c>
    </row>
    <row r="52" ht="20.1" customHeight="1">
      <c r="B52" s="1" t="inlineStr">
        <is>
          <t>6.03.01.02.02.51 - INTERNET/COMUNICACOES</t>
        </is>
      </c>
      <c r="C52" s="28" t="inlineStr">
        <is>
          <t>VOGEL SOLUCOES EM TELECOMUNICACOES E INFORMATICA S.A.</t>
        </is>
      </c>
      <c r="D52" s="45" t="n"/>
      <c r="E52" s="1" t="inlineStr">
        <is>
          <t>SERV. LINK INTERNET 01.04</t>
        </is>
      </c>
      <c r="F52" s="46" t="n">
        <v>46041</v>
      </c>
      <c r="G52" s="46" t="n">
        <v>46041</v>
      </c>
      <c r="H52" s="47" t="n">
        <v>689.14</v>
      </c>
    </row>
    <row r="53" ht="20.1" customHeight="1">
      <c r="B53" s="1" t="inlineStr">
        <is>
          <t>6.03.01.02.02.31 - MANUTEN. SISTEMAS  INFORMATICA</t>
        </is>
      </c>
      <c r="C53" s="28" t="inlineStr">
        <is>
          <t>WEFIT TECNOLOGIA ESTRATEGICA LTDA</t>
        </is>
      </c>
      <c r="D53" s="45" t="n"/>
      <c r="E53" s="1" t="inlineStr">
        <is>
          <t>SERV. ELAB/ATUAL PROGRAMA 1.04</t>
        </is>
      </c>
      <c r="F53" s="46" t="n">
        <v>46037</v>
      </c>
      <c r="G53" s="46" t="n">
        <v>46042</v>
      </c>
      <c r="H53" s="47" t="n">
        <v>2069</v>
      </c>
    </row>
    <row r="54" ht="20.1" customHeight="1">
      <c r="B54" s="1" t="inlineStr">
        <is>
          <t>6.03.01.02.02.51 - INTERNET/COMUNICACOES</t>
        </is>
      </c>
      <c r="C54" s="28" t="inlineStr">
        <is>
          <t>LINQ TELECOMUNICACOES LTDA</t>
        </is>
      </c>
      <c r="D54" s="45" t="n"/>
      <c r="E54" s="1" t="inlineStr">
        <is>
          <t>SERV. LINK INTERNET 01.04</t>
        </is>
      </c>
      <c r="F54" s="46" t="n">
        <v>46041</v>
      </c>
      <c r="G54" s="46" t="n">
        <v>46042</v>
      </c>
      <c r="H54" s="47" t="n">
        <v>90</v>
      </c>
    </row>
    <row r="55" ht="20.1" customHeight="1">
      <c r="B55" s="1" t="inlineStr">
        <is>
          <t>6.03.01.02.02.51 - INTERNET/COMUNICACOES</t>
        </is>
      </c>
      <c r="C55" s="28" t="inlineStr">
        <is>
          <t>LINQ TELECOMUNICACOES LTDA</t>
        </is>
      </c>
      <c r="D55" s="45" t="n"/>
      <c r="E55" s="1" t="inlineStr">
        <is>
          <t>SERV. LINK INTERNET 01.04</t>
        </is>
      </c>
      <c r="F55" s="46" t="n">
        <v>46041</v>
      </c>
      <c r="G55" s="46" t="n">
        <v>46042</v>
      </c>
      <c r="H55" s="47" t="n">
        <v>469.25</v>
      </c>
    </row>
    <row r="56" ht="20.1" customHeight="1">
      <c r="B56" s="1" t="inlineStr">
        <is>
          <t>6.03.01.02.02.51 - INTERNET/COMUNICACOES</t>
        </is>
      </c>
      <c r="C56" s="28" t="inlineStr">
        <is>
          <t>CENTURY TECNOLOGIA DA INFORMACAO E SERVICOS LTDA</t>
        </is>
      </c>
      <c r="D56" s="45" t="n"/>
      <c r="E56" s="1" t="inlineStr">
        <is>
          <t>SERV. LINK INTERNET 01.04</t>
        </is>
      </c>
      <c r="F56" s="46" t="n">
        <v>46042</v>
      </c>
      <c r="G56" s="46" t="n">
        <v>46042</v>
      </c>
      <c r="H56" s="47" t="n">
        <v>116.51</v>
      </c>
    </row>
    <row r="57" ht="20.1" customHeight="1">
      <c r="B57" s="1" t="inlineStr">
        <is>
          <t>6.03.01.02.02.51 - INTERNET/COMUNICACOES</t>
        </is>
      </c>
      <c r="C57" s="28" t="inlineStr">
        <is>
          <t>CENTURY TECNOLOGIA DA INFORMACAO E SERVICOS LTDA</t>
        </is>
      </c>
      <c r="D57" s="45" t="n"/>
      <c r="E57" s="1" t="inlineStr">
        <is>
          <t>SERV. LINK INTERNET 01.04</t>
        </is>
      </c>
      <c r="F57" s="46" t="n">
        <v>46042</v>
      </c>
      <c r="G57" s="46" t="n">
        <v>46042</v>
      </c>
      <c r="H57" s="47" t="n">
        <v>271.88</v>
      </c>
    </row>
    <row r="58" ht="20.1" customHeight="1">
      <c r="B58" s="1" t="inlineStr">
        <is>
          <t>6.03.01.02.02.77 - ASSESSORIA E SERVICO INFORMATICA</t>
        </is>
      </c>
      <c r="C58" s="28" t="inlineStr">
        <is>
          <t>SPHERE IT SERVICOS LTDA</t>
        </is>
      </c>
      <c r="D58" s="45" t="n"/>
      <c r="E58" s="1" t="inlineStr">
        <is>
          <t>SERV. ASSESS DE INFOR 1.06</t>
        </is>
      </c>
      <c r="F58" s="46" t="n">
        <v>46041</v>
      </c>
      <c r="G58" s="46" t="n">
        <v>46043</v>
      </c>
      <c r="H58" s="47" t="n">
        <v>32266.08</v>
      </c>
    </row>
    <row r="59" ht="20.1" customHeight="1">
      <c r="B59" s="1" t="inlineStr">
        <is>
          <t>6.03.01.02.02.51 - INTERNET/COMUNICACOES</t>
        </is>
      </c>
      <c r="C59" s="28" t="inlineStr">
        <is>
          <t>VOGEL SOLUCOES EM TELECOMUNICACOES E INFORMATICA S.A.</t>
        </is>
      </c>
      <c r="D59" s="45" t="n"/>
      <c r="E59" s="1" t="inlineStr">
        <is>
          <t>SERV. LINK INTERNET 01.04</t>
        </is>
      </c>
      <c r="F59" s="46" t="n">
        <v>46041</v>
      </c>
      <c r="G59" s="46" t="n">
        <v>46044</v>
      </c>
      <c r="H59" s="47" t="n">
        <v>514.47</v>
      </c>
    </row>
    <row r="60" ht="20.1" customHeight="1">
      <c r="B60" s="1" t="inlineStr">
        <is>
          <t>6.03.01.02.02.51 - INTERNET/COMUNICACOES</t>
        </is>
      </c>
      <c r="C60" s="28" t="inlineStr">
        <is>
          <t>VOGEL SOLUCOES EM TELECOMUNICACOES E INFORMATICA S.A.</t>
        </is>
      </c>
      <c r="D60" s="45" t="n"/>
      <c r="E60" s="1" t="inlineStr">
        <is>
          <t>SERV. LINK INTERNET 01.04</t>
        </is>
      </c>
      <c r="F60" s="46" t="n">
        <v>46041</v>
      </c>
      <c r="G60" s="46" t="n">
        <v>46044</v>
      </c>
      <c r="H60" s="47" t="n">
        <v>393.15</v>
      </c>
    </row>
    <row r="61" ht="20.1" customHeight="1">
      <c r="B61" s="1" t="inlineStr">
        <is>
          <t>6.03.01.05.01.02 - JUROS PAGOS</t>
        </is>
      </c>
      <c r="C61" s="28" t="inlineStr">
        <is>
          <t>VOGEL SOLUCOES EM TELECOMUNICACOES E INFORMATICA S.A.</t>
        </is>
      </c>
      <c r="D61" s="45" t="n"/>
      <c r="E61" s="1" t="inlineStr">
        <is>
          <t>SERVICO DESPESAS COM JUROS PAGO 10.01</t>
        </is>
      </c>
      <c r="F61" s="46" t="n">
        <v>46041</v>
      </c>
      <c r="G61" s="46" t="n">
        <v>46044</v>
      </c>
      <c r="H61" s="47" t="n">
        <v>36.22</v>
      </c>
    </row>
    <row r="62" ht="20.1" customHeight="1">
      <c r="B62" s="1" t="inlineStr">
        <is>
          <t>6.03.01.02.02.51 - INTERNET/COMUNICACOES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46" t="n">
        <v>46044</v>
      </c>
      <c r="G62" s="46" t="n">
        <v>46044</v>
      </c>
      <c r="H62" s="47" t="n">
        <v>1390.37</v>
      </c>
    </row>
    <row r="63" ht="20.1" customHeight="1">
      <c r="B63" s="1" t="inlineStr">
        <is>
          <t>6.03.01.02.02.51 - INTERNET/COMUNICACOES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46" t="n">
        <v>46044</v>
      </c>
      <c r="G63" s="46" t="n">
        <v>46044</v>
      </c>
      <c r="H63" s="47" t="n">
        <v>1716.58</v>
      </c>
    </row>
    <row r="64" ht="20.1" customHeight="1">
      <c r="B64" s="1" t="inlineStr">
        <is>
          <t>6.03.01.02.02.51 - INTERNET/COMUNICACOES</t>
        </is>
      </c>
      <c r="C64" s="28" t="inlineStr">
        <is>
          <t>WS-NET INTERNET E DADOS LTDA</t>
        </is>
      </c>
      <c r="D64" s="45" t="n"/>
      <c r="E64" s="1" t="inlineStr">
        <is>
          <t>SERV. DE INTERNET 1.07</t>
        </is>
      </c>
      <c r="F64" s="46" t="n">
        <v>46042</v>
      </c>
      <c r="G64" s="46" t="n">
        <v>46045</v>
      </c>
      <c r="H64" s="47" t="n">
        <v>22.5</v>
      </c>
    </row>
    <row r="65" ht="20.1" customHeight="1">
      <c r="B65" s="1" t="inlineStr">
        <is>
          <t>6.03.01.02.02.51 - INTERNET/COMUNICACOES</t>
        </is>
      </c>
      <c r="C65" s="28" t="inlineStr">
        <is>
          <t>WS-NET INTERNET E DADOS LTDA</t>
        </is>
      </c>
      <c r="D65" s="45" t="n"/>
      <c r="E65" s="1" t="inlineStr">
        <is>
          <t>SERV. DE INTERNET 1.07</t>
        </is>
      </c>
      <c r="F65" s="46" t="n">
        <v>46042</v>
      </c>
      <c r="G65" s="46" t="n">
        <v>46045</v>
      </c>
      <c r="H65" s="47" t="n">
        <v>577.4</v>
      </c>
    </row>
    <row r="66" ht="20.1" customHeight="1">
      <c r="B66" s="1" t="inlineStr">
        <is>
          <t>6.03.01.02.02.13 - MANUTENCAO IMOBILIZADO</t>
        </is>
      </c>
      <c r="C66" s="28" t="inlineStr">
        <is>
          <t>EVERNEX DO BRASIL LTDA</t>
        </is>
      </c>
      <c r="D66" s="45" t="n"/>
      <c r="E66" s="1" t="inlineStr">
        <is>
          <t>SERVICO MANUTENCAO DE EQUIPAMENTO 14.01</t>
        </is>
      </c>
      <c r="F66" s="46" t="n">
        <v>46036</v>
      </c>
      <c r="G66" s="46" t="n">
        <v>46048</v>
      </c>
      <c r="H66" s="47" t="n">
        <v>5259.99</v>
      </c>
    </row>
    <row r="67" ht="20.1" customHeight="1">
      <c r="B67" s="1" t="inlineStr">
        <is>
          <t>6.03.01.02.02.51 - INTERNET/COMUNICACOES</t>
        </is>
      </c>
      <c r="C67" s="28" t="inlineStr">
        <is>
          <t>INGRAM MICRO BRASIL LTDA</t>
        </is>
      </c>
      <c r="D67" s="45" t="n"/>
      <c r="E67" s="1" t="inlineStr">
        <is>
          <t>SUPORTE TECNICO T.I. 1.07</t>
        </is>
      </c>
      <c r="F67" s="46" t="n">
        <v>46036</v>
      </c>
      <c r="G67" s="46" t="n">
        <v>46048</v>
      </c>
      <c r="H67" s="47" t="n">
        <v>528.42</v>
      </c>
    </row>
    <row r="68" ht="20.1" customHeight="1">
      <c r="B68" s="1" t="inlineStr">
        <is>
          <t>6.03.01.02.02.51 - INTERNET/COMUNICACOES</t>
        </is>
      </c>
      <c r="C68" s="28" t="inlineStr">
        <is>
          <t>ALLREDE TELECOM LTDA</t>
        </is>
      </c>
      <c r="D68" s="45" t="n"/>
      <c r="E68" s="1" t="inlineStr">
        <is>
          <t>SERV. DE INTERNET 1.07</t>
        </is>
      </c>
      <c r="F68" s="46" t="n">
        <v>46048</v>
      </c>
      <c r="G68" s="46" t="n">
        <v>46050</v>
      </c>
      <c r="H68" s="47" t="n">
        <v>205.54</v>
      </c>
    </row>
    <row r="69" ht="20.1" customHeight="1">
      <c r="B69" s="1" t="inlineStr">
        <is>
          <t>6.03.01.02.02.51 - INTERNET/COMUNICACOES</t>
        </is>
      </c>
      <c r="C69" s="28" t="inlineStr">
        <is>
          <t>ALLREDE TELECOM LTDA</t>
        </is>
      </c>
      <c r="D69" s="45" t="n"/>
      <c r="E69" s="1" t="inlineStr">
        <is>
          <t>SERV. DE INTERNET 1.07</t>
        </is>
      </c>
      <c r="F69" s="46" t="n">
        <v>46048</v>
      </c>
      <c r="G69" s="46" t="n">
        <v>46050</v>
      </c>
      <c r="H69" s="47" t="n">
        <v>205.54</v>
      </c>
    </row>
    <row r="70" ht="20.1" customHeight="1">
      <c r="B70" s="1" t="inlineStr">
        <is>
          <t>6.03.01.02.02.51 - INTERNET/COMUNICACOES</t>
        </is>
      </c>
      <c r="C70" s="28" t="inlineStr">
        <is>
          <t>ALLREDE TELECOM LTDA</t>
        </is>
      </c>
      <c r="D70" s="45" t="n"/>
      <c r="E70" s="1" t="inlineStr">
        <is>
          <t>SERV. DE INTERNET 1.07</t>
        </is>
      </c>
      <c r="F70" s="46" t="n">
        <v>46048</v>
      </c>
      <c r="G70" s="46" t="n">
        <v>46050</v>
      </c>
      <c r="H70" s="47" t="n">
        <v>143.36</v>
      </c>
    </row>
    <row r="71" ht="20.1" customHeight="1">
      <c r="B71" s="1" t="inlineStr">
        <is>
          <t>6.03.01.02.02.51 - INTERNET/COMUNICACOES</t>
        </is>
      </c>
      <c r="C71" s="28" t="inlineStr">
        <is>
          <t>ALLREDE TELECOM LTDA</t>
        </is>
      </c>
      <c r="D71" s="45" t="n"/>
      <c r="E71" s="1" t="inlineStr">
        <is>
          <t>SERV. DE INTERNET 1.07</t>
        </is>
      </c>
      <c r="F71" s="46" t="n">
        <v>46048</v>
      </c>
      <c r="G71" s="46" t="n">
        <v>46050</v>
      </c>
      <c r="H71" s="47" t="n">
        <v>143.36</v>
      </c>
    </row>
    <row r="72" ht="20.1" customHeight="1">
      <c r="B72" s="1" t="inlineStr">
        <is>
          <t>6.03.01.02.02.31 - MANUTEN. SISTEMAS  INFORMATICA</t>
        </is>
      </c>
      <c r="C72" s="28" t="inlineStr">
        <is>
          <t>WEFIT TECNOLOGIA ESTRATEGICA LTDA</t>
        </is>
      </c>
      <c r="D72" s="45" t="n"/>
      <c r="E72" s="1" t="inlineStr">
        <is>
          <t>SERV. ELAB/ATUAL PROGRAMA 1.04</t>
        </is>
      </c>
      <c r="F72" s="46" t="n">
        <v>46041</v>
      </c>
      <c r="G72" s="46" t="n">
        <v>46051</v>
      </c>
      <c r="H72" s="47" t="n">
        <v>26937</v>
      </c>
    </row>
    <row r="73" ht="20.1" customHeight="1">
      <c r="B73" s="1" t="inlineStr">
        <is>
          <t>6.03.01.02.02.77 - ASSESSORIA E SERVICO INFORMATICA</t>
        </is>
      </c>
      <c r="C73" s="28" t="inlineStr">
        <is>
          <t>SPHERE IT SERVICOS LTDA</t>
        </is>
      </c>
      <c r="D73" s="45" t="n"/>
      <c r="E73" s="1" t="inlineStr">
        <is>
          <t>SERV. ASSESS DE INFOR 1.06</t>
        </is>
      </c>
      <c r="F73" s="46" t="n">
        <v>46041</v>
      </c>
      <c r="G73" s="46" t="n">
        <v>46051</v>
      </c>
      <c r="H73" s="47" t="n">
        <v>6926.28</v>
      </c>
    </row>
    <row r="74" ht="20.1" customHeight="1">
      <c r="B74" s="1" t="inlineStr">
        <is>
          <t>6.03.01.02.02.31 - MANUTEN. SISTEMAS  INFORMATICA</t>
        </is>
      </c>
      <c r="C74" s="28" t="inlineStr">
        <is>
          <t>CURUPIRA S.A</t>
        </is>
      </c>
      <c r="D74" s="45" t="n"/>
      <c r="E74" s="1" t="inlineStr">
        <is>
          <t>SERVICO LICENCA PROGRAMA 1.05</t>
        </is>
      </c>
      <c r="F74" s="46" t="n">
        <v>46048</v>
      </c>
      <c r="G74" s="46" t="n">
        <v>46051</v>
      </c>
      <c r="H74" s="47" t="n">
        <v>3005.03</v>
      </c>
    </row>
    <row r="75" ht="20.1" customHeight="1">
      <c r="B75" s="1" t="inlineStr">
        <is>
          <t>6.03.01.02.02.51 - INTERNET/COMUNICACOES</t>
        </is>
      </c>
      <c r="C75" s="28" t="inlineStr">
        <is>
          <t>FASTSIGNAL COMERCIO E SERVICOS DE INFORMATICA LTDA - ME</t>
        </is>
      </c>
      <c r="D75" s="45" t="n"/>
      <c r="E75" s="1" t="inlineStr">
        <is>
          <t>SERV. DE INTERNET 1.07</t>
        </is>
      </c>
      <c r="F75" s="46" t="n">
        <v>46048</v>
      </c>
      <c r="G75" s="46" t="n">
        <v>46051</v>
      </c>
      <c r="H75" s="47" t="n">
        <v>1599.9</v>
      </c>
    </row>
    <row r="76" ht="20.1" customHeight="1">
      <c r="B76" s="1" t="inlineStr">
        <is>
          <t>6.03.01.02.02.51 - INTERNET/COMUNICACOES</t>
        </is>
      </c>
      <c r="C76" s="28" t="inlineStr">
        <is>
          <t>INGRAM MICRO BRASIL LTDA</t>
        </is>
      </c>
      <c r="D76" s="45" t="n"/>
      <c r="E76" s="1" t="inlineStr">
        <is>
          <t>SUPORTE TECNICO T.I. 1.07</t>
        </is>
      </c>
      <c r="F76" s="46" t="n">
        <v>46049</v>
      </c>
      <c r="G76" s="46" t="n">
        <v>46051</v>
      </c>
      <c r="H76" s="47" t="n">
        <v>2061.2</v>
      </c>
    </row>
    <row r="77" ht="20.1" customHeight="1">
      <c r="B77" s="1" t="inlineStr">
        <is>
          <t>6.03.01.02.02.51 - INTERNET/COMUNICACOES</t>
        </is>
      </c>
      <c r="C77" s="28" t="inlineStr">
        <is>
          <t>VOGEL SOLUCOES EM TELECOMUNICACOES E INFORMATICA S.A.</t>
        </is>
      </c>
      <c r="D77" s="45" t="n"/>
      <c r="E77" s="1" t="inlineStr">
        <is>
          <t>SERV. LINK INTERNET 01.04</t>
        </is>
      </c>
      <c r="F77" s="46" t="n">
        <v>46049</v>
      </c>
      <c r="G77" s="46" t="n">
        <v>46051</v>
      </c>
      <c r="H77" s="47" t="n">
        <v>460.39</v>
      </c>
    </row>
    <row r="78" ht="20.1" customHeight="1">
      <c r="B78" s="1" t="inlineStr">
        <is>
          <t>6.03.01.02.02.51 - INTERNET/COMUNICACOES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46" t="n">
        <v>46049</v>
      </c>
      <c r="G78" s="46" t="n">
        <v>46051</v>
      </c>
      <c r="H78" s="47" t="n">
        <v>749.34</v>
      </c>
    </row>
    <row r="79" ht="20.1" customHeight="1">
      <c r="B79" s="1" t="inlineStr">
        <is>
          <t>6.03.01.02.02.51 - INTERNET/COMUNICACOES</t>
        </is>
      </c>
      <c r="C79" s="28" t="inlineStr">
        <is>
          <t>ALLREDE TELECOM LTDA</t>
        </is>
      </c>
      <c r="D79" s="45" t="n"/>
      <c r="E79" s="1" t="inlineStr">
        <is>
          <t>SERV. DE INTERNET 1.07</t>
        </is>
      </c>
      <c r="F79" s="46" t="n">
        <v>46050</v>
      </c>
      <c r="G79" s="46" t="n">
        <v>46052</v>
      </c>
      <c r="H79" s="47" t="n">
        <v>143.36</v>
      </c>
    </row>
    <row r="80" ht="20.1" customHeight="1">
      <c r="B80" s="1" t="inlineStr">
        <is>
          <t>6.03.01.02.02.51 - INTERNET/COMUNICACOES</t>
        </is>
      </c>
      <c r="C80" s="28" t="inlineStr">
        <is>
          <t>ALLREDE TELECOM LTDA</t>
        </is>
      </c>
      <c r="D80" s="45" t="n"/>
      <c r="E80" s="1" t="inlineStr">
        <is>
          <t>SERV. DE INTERNET 1.07</t>
        </is>
      </c>
      <c r="F80" s="46" t="n">
        <v>46050</v>
      </c>
      <c r="G80" s="46" t="n">
        <v>46052</v>
      </c>
      <c r="H80" s="47" t="n">
        <v>143.36</v>
      </c>
    </row>
    <row r="81" ht="20.1" customHeight="1">
      <c r="B81" s="1" t="inlineStr">
        <is>
          <t>6.03.01.02.02.51 - INTERNET/COMUNICACOES</t>
        </is>
      </c>
      <c r="C81" s="28" t="inlineStr">
        <is>
          <t>ALLREDE TELECOM LTDA</t>
        </is>
      </c>
      <c r="D81" s="45" t="n"/>
      <c r="E81" s="1" t="inlineStr">
        <is>
          <t>SERV. DE INTERNET 1.07</t>
        </is>
      </c>
      <c r="F81" s="46" t="n">
        <v>46050</v>
      </c>
      <c r="G81" s="46" t="n">
        <v>46052</v>
      </c>
      <c r="H81" s="47" t="n">
        <v>205.54</v>
      </c>
    </row>
    <row r="82" ht="20.1" customHeight="1">
      <c r="B82" s="1" t="inlineStr">
        <is>
          <t>6.03.01.02.02.51 - INTERNET/COMUNICACOES</t>
        </is>
      </c>
      <c r="C82" s="28" t="inlineStr">
        <is>
          <t>ALLREDE TELECOM LTDA</t>
        </is>
      </c>
      <c r="D82" s="45" t="n"/>
      <c r="E82" s="1" t="inlineStr">
        <is>
          <t>SERV. DE INTERNET 1.07</t>
        </is>
      </c>
      <c r="F82" s="46" t="n">
        <v>46050</v>
      </c>
      <c r="G82" s="46" t="n">
        <v>46052</v>
      </c>
      <c r="H82" s="47" t="n">
        <v>143.36</v>
      </c>
    </row>
    <row r="83" ht="20.1" customHeight="1">
      <c r="B83" s="1" t="inlineStr">
        <is>
          <t>6.03.01.02.02.51 - INTERNET/COMUNICACOES</t>
        </is>
      </c>
      <c r="C83" s="28" t="inlineStr">
        <is>
          <t>ALLREDE TELECOM LTDA</t>
        </is>
      </c>
      <c r="D83" s="45" t="n"/>
      <c r="E83" s="1" t="inlineStr">
        <is>
          <t>SERV. DE INTERNET 1.07</t>
        </is>
      </c>
      <c r="F83" s="46" t="n">
        <v>46050</v>
      </c>
      <c r="G83" s="46" t="n">
        <v>46052</v>
      </c>
      <c r="H83" s="47" t="n">
        <v>205.54</v>
      </c>
    </row>
    <row r="84" ht="20.1" customHeight="1">
      <c r="B84" s="1" t="inlineStr">
        <is>
          <t>6.03.01.02.02.51 - INTERNET/COMUNICACOES</t>
        </is>
      </c>
      <c r="C84" s="28" t="inlineStr">
        <is>
          <t>ALLREDE TELECOM LTDA</t>
        </is>
      </c>
      <c r="D84" s="45" t="n"/>
      <c r="E84" s="1" t="inlineStr">
        <is>
          <t>SERV. DE INTERNET 1.07</t>
        </is>
      </c>
      <c r="F84" s="46" t="n">
        <v>46050</v>
      </c>
      <c r="G84" s="46" t="n">
        <v>46052</v>
      </c>
      <c r="H84" s="47" t="n">
        <v>205.54</v>
      </c>
    </row>
    <row r="85" ht="20.1" customHeight="1">
      <c r="B85" s="1" t="inlineStr">
        <is>
          <t>6.03.01.02.02.51 - INTERNET/COMUNICACOES</t>
        </is>
      </c>
      <c r="C85" s="28" t="inlineStr">
        <is>
          <t>ALLREDE TELECOM LTDA</t>
        </is>
      </c>
      <c r="D85" s="45" t="n"/>
      <c r="E85" s="1" t="inlineStr">
        <is>
          <t>SERV. DE INTERNET 1.07</t>
        </is>
      </c>
      <c r="F85" s="46" t="n">
        <v>46050</v>
      </c>
      <c r="G85" s="46" t="n">
        <v>46052</v>
      </c>
      <c r="H85" s="47" t="n">
        <v>205.54</v>
      </c>
    </row>
    <row r="86" ht="20.1" customHeight="1">
      <c r="B86" s="1" t="inlineStr">
        <is>
          <t>6.03.01.02.02.51 - INTERNET/COMUNICACOES</t>
        </is>
      </c>
      <c r="C86" s="28" t="inlineStr">
        <is>
          <t>ALLREDE TELECOM LTDA</t>
        </is>
      </c>
      <c r="D86" s="45" t="n"/>
      <c r="E86" s="1" t="inlineStr">
        <is>
          <t>SERV. DE INTERNET 1.07</t>
        </is>
      </c>
      <c r="F86" s="46" t="n">
        <v>46050</v>
      </c>
      <c r="G86" s="46" t="n">
        <v>46052</v>
      </c>
      <c r="H86" s="47" t="n">
        <v>205.54</v>
      </c>
    </row>
    <row r="87" ht="20.1" customHeight="1">
      <c r="B87" s="1" t="inlineStr">
        <is>
          <t>6.03.01.02.02.51 - INTERNET/COMUNICACOES</t>
        </is>
      </c>
      <c r="C87" s="28" t="inlineStr">
        <is>
          <t>ALLREDE TELECOM LTDA</t>
        </is>
      </c>
      <c r="D87" s="45" t="n"/>
      <c r="E87" s="1" t="inlineStr">
        <is>
          <t>SERV. DE INTERNET 1.07</t>
        </is>
      </c>
      <c r="F87" s="46" t="n">
        <v>46050</v>
      </c>
      <c r="G87" s="46" t="n">
        <v>46052</v>
      </c>
      <c r="H87" s="47" t="n">
        <v>205.54</v>
      </c>
    </row>
    <row r="88" ht="20.1" customHeight="1">
      <c r="B88" s="1" t="inlineStr">
        <is>
          <t>6.03.01.02.02.51 - INTERNET/COMUNICACOES</t>
        </is>
      </c>
      <c r="C88" s="28" t="inlineStr">
        <is>
          <t>ALLREDE TELECOM LTDA</t>
        </is>
      </c>
      <c r="D88" s="45" t="n"/>
      <c r="E88" s="1" t="inlineStr">
        <is>
          <t>SERV. DE INTERNET 1.07</t>
        </is>
      </c>
      <c r="F88" s="46" t="n">
        <v>46050</v>
      </c>
      <c r="G88" s="46" t="n">
        <v>46052</v>
      </c>
      <c r="H88" s="47" t="n">
        <v>143.36</v>
      </c>
    </row>
    <row r="89" ht="20.1" customHeight="1">
      <c r="B89" s="1" t="inlineStr">
        <is>
          <t>6.03.01.02.02.51 - INTERNET/COMUNICACOES</t>
        </is>
      </c>
      <c r="C89" s="28" t="inlineStr">
        <is>
          <t>ALLREDE TELECOM LTDA</t>
        </is>
      </c>
      <c r="D89" s="45" t="n"/>
      <c r="E89" s="1" t="inlineStr">
        <is>
          <t>SERV. DE INTERNET 1.07</t>
        </is>
      </c>
      <c r="F89" s="46" t="n">
        <v>46050</v>
      </c>
      <c r="G89" s="46" t="n">
        <v>46052</v>
      </c>
      <c r="H89" s="47" t="n">
        <v>143.36</v>
      </c>
    </row>
    <row r="90" ht="20.1" customHeight="1">
      <c r="B90" s="1" t="inlineStr">
        <is>
          <t>6.03.01.02.02.51 - INTERNET/COMUNICACOES</t>
        </is>
      </c>
      <c r="C90" s="28" t="inlineStr">
        <is>
          <t>ALLREDE TELECOM LTDA</t>
        </is>
      </c>
      <c r="D90" s="45" t="n"/>
      <c r="E90" s="1" t="inlineStr">
        <is>
          <t>SERV. DE INTERNET 1.07</t>
        </is>
      </c>
      <c r="F90" s="46" t="n">
        <v>46050</v>
      </c>
      <c r="G90" s="46" t="n">
        <v>46052</v>
      </c>
      <c r="H90" s="47" t="n">
        <v>143.36</v>
      </c>
    </row>
    <row r="91" ht="20.1" customHeight="1">
      <c r="B91" s="1" t="inlineStr">
        <is>
          <t>6.03.01.02.02.51 - INTERNET/COMUNICACOES</t>
        </is>
      </c>
      <c r="C91" s="28" t="inlineStr">
        <is>
          <t>CENTURY TELECOM LTDA</t>
        </is>
      </c>
      <c r="D91" s="45" t="n"/>
      <c r="E91" s="1" t="inlineStr">
        <is>
          <t>SERV. LINK INTERNET 01.04</t>
        </is>
      </c>
      <c r="F91" s="46" t="n">
        <v>46051</v>
      </c>
      <c r="G91" s="46" t="n">
        <v>46052</v>
      </c>
      <c r="H91" s="47" t="n">
        <v>116.51</v>
      </c>
    </row>
    <row r="92" ht="20.1" customHeight="1">
      <c r="B92" s="1" t="inlineStr">
        <is>
          <t>6.03.01.02.02.51 - INTERNET/COMUNICACOES</t>
        </is>
      </c>
      <c r="C92" s="28" t="inlineStr">
        <is>
          <t>CENTURY TELECOM LTDA</t>
        </is>
      </c>
      <c r="D92" s="45" t="n"/>
      <c r="E92" s="1" t="inlineStr">
        <is>
          <t>SERV. LINK INTERNET 01.04</t>
        </is>
      </c>
      <c r="F92" s="46" t="n">
        <v>46051</v>
      </c>
      <c r="G92" s="46" t="n">
        <v>46052</v>
      </c>
      <c r="H92" s="47" t="n">
        <v>271.88</v>
      </c>
    </row>
    <row r="93" ht="20.1" customHeight="1">
      <c r="B93" s="1" t="inlineStr">
        <is>
          <t>6.03.01.02.02.77 - ASSESSORIA E SERVICO INFORMATICA</t>
        </is>
      </c>
      <c r="C93" s="28" t="inlineStr">
        <is>
          <t>BRFIBRA TELECOMUNICACOES LTDA</t>
        </is>
      </c>
      <c r="D93" s="45" t="n"/>
      <c r="E93" s="1" t="inlineStr">
        <is>
          <t>PROCESSAMENTO DADOS 1.03</t>
        </is>
      </c>
      <c r="F93" s="46" t="n">
        <v>46055</v>
      </c>
      <c r="G93" s="46" t="n">
        <v>46053</v>
      </c>
      <c r="H93" s="47" t="n">
        <v>1000</v>
      </c>
    </row>
    <row r="94" ht="20.1" customHeight="1">
      <c r="B94" s="1" t="inlineStr">
        <is>
          <t>6.03.01.02.02.77 - ASSESSORIA E SERVICO INFORMATICA</t>
        </is>
      </c>
      <c r="C94" s="28" t="inlineStr">
        <is>
          <t>BRFIBRA TELECOMUNICACOES LTDA</t>
        </is>
      </c>
      <c r="D94" s="45" t="n"/>
      <c r="E94" s="1" t="inlineStr">
        <is>
          <t>PROCESSAMENTO DADOS 1.03</t>
        </is>
      </c>
      <c r="F94" s="46" t="n">
        <v>46055</v>
      </c>
      <c r="G94" s="46" t="n">
        <v>46053</v>
      </c>
      <c r="H94" s="47" t="n">
        <v>1000</v>
      </c>
    </row>
    <row r="95" ht="20.1" customHeight="1">
      <c r="B95" s="13" t="n"/>
      <c r="C95" s="13" t="n"/>
      <c r="D95" s="13" t="n"/>
      <c r="F95" s="40" t="inlineStr">
        <is>
          <t>TOTAL DO MÊS</t>
        </is>
      </c>
      <c r="G95" s="45" t="n"/>
      <c r="H95" s="48">
        <f>SUM(H19:H94)</f>
        <v/>
      </c>
    </row>
    <row r="96"/>
    <row r="97" ht="15" customHeight="1">
      <c r="F97" s="36" t="inlineStr">
        <is>
          <t>SALDO DO BUDGET MENSAL</t>
        </is>
      </c>
      <c r="G97" s="45" t="n"/>
      <c r="H97" s="48">
        <f>IF(H13=0,0,H13-H95)</f>
        <v/>
      </c>
    </row>
    <row r="98" ht="15" customHeight="1">
      <c r="F98" s="49" t="inlineStr">
        <is>
          <t>%BUDGET CONSUMIDO / MÊS</t>
        </is>
      </c>
      <c r="G98" s="45" t="n"/>
      <c r="H98" s="21">
        <f>IF(H13=0,0,H95/H13)</f>
        <v/>
      </c>
    </row>
    <row r="99"/>
    <row r="100"/>
    <row r="101" ht="15" customHeight="1">
      <c r="F101" s="36" t="inlineStr">
        <is>
          <t>CONSUMO ACUMULADO ATUAL</t>
        </is>
      </c>
      <c r="G101" s="45" t="n"/>
      <c r="H101" s="48">
        <f>H15+H95</f>
        <v/>
      </c>
    </row>
    <row r="102" ht="15" customHeight="1">
      <c r="F102" s="36" t="inlineStr">
        <is>
          <t>SALDO DO BUDGET ACUMULADO</t>
        </is>
      </c>
      <c r="G102" s="45" t="n"/>
      <c r="H102" s="48">
        <f>H11-H101</f>
        <v/>
      </c>
    </row>
    <row r="103" ht="15" customHeight="1">
      <c r="B103" s="29" t="n"/>
      <c r="F103" s="36" t="inlineStr">
        <is>
          <t>% BUDGET CONSUMIDO / ANO</t>
        </is>
      </c>
      <c r="G103" s="45" t="n"/>
      <c r="H103" s="21">
        <f>IFERROR(H101/H11,0)</f>
        <v/>
      </c>
    </row>
    <row r="104">
      <c r="B104" s="29" t="n"/>
    </row>
    <row r="105"/>
    <row r="106">
      <c r="B106" s="29" t="inlineStr">
        <is>
          <t>Aprovador:</t>
        </is>
      </c>
    </row>
    <row r="107">
      <c r="B107" s="29" t="inlineStr">
        <is>
          <t>Data:</t>
        </is>
      </c>
    </row>
  </sheetData>
  <mergeCells count="91">
    <mergeCell ref="C62:D62"/>
    <mergeCell ref="F103:G103"/>
    <mergeCell ref="C89:D89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C67:D67"/>
    <mergeCell ref="B104:C104"/>
    <mergeCell ref="C19:D19"/>
    <mergeCell ref="F98:G98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C20:D20"/>
    <mergeCell ref="C29:D29"/>
    <mergeCell ref="C85:D85"/>
    <mergeCell ref="C94:D94"/>
    <mergeCell ref="C65:D65"/>
    <mergeCell ref="B107:C107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F95:G9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6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Fev/2026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277235.1601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50">
        <f>'Janeiro'!H101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6.03.01.02.02.31 - MANUTEN. SISTEMAS  INFORMATICA</t>
        </is>
      </c>
      <c r="C19" s="28" t="inlineStr">
        <is>
          <t>IB SOFTWARE E SOLUCOES PARA LOGISTICA LTDA</t>
        </is>
      </c>
      <c r="D19" s="45" t="n"/>
      <c r="E19" s="1" t="inlineStr">
        <is>
          <t>SERV. MANUT SISTEMA INFOR 1.07</t>
        </is>
      </c>
      <c r="F19" s="52" t="n">
        <v>46055</v>
      </c>
      <c r="G19" s="52" t="n">
        <v>46055</v>
      </c>
      <c r="H19" s="47" t="n">
        <v>4635</v>
      </c>
    </row>
    <row r="20" ht="20.1" customHeight="1">
      <c r="B20" s="1" t="inlineStr">
        <is>
          <t>6.03.01.02.02.51 - INTERNET/COMUNICACOES</t>
        </is>
      </c>
      <c r="C20" s="28" t="inlineStr">
        <is>
          <t>BRFIBRA TELECOMUNICACOES LTDA</t>
        </is>
      </c>
      <c r="D20" s="45" t="n"/>
      <c r="E20" s="1" t="inlineStr">
        <is>
          <t>SERV. LINK INTERNET 01.04</t>
        </is>
      </c>
      <c r="F20" s="52" t="n">
        <v>46055</v>
      </c>
      <c r="G20" s="52" t="n">
        <v>46055</v>
      </c>
      <c r="H20" s="47" t="n">
        <v>1000</v>
      </c>
    </row>
    <row r="21" ht="20.1" customHeight="1">
      <c r="B21" s="1" t="inlineStr">
        <is>
          <t>6.03.01.02.02.51 - INTERNET/COMUNICACOES</t>
        </is>
      </c>
      <c r="C21" s="28" t="inlineStr">
        <is>
          <t>BRFIBRA TELECOMUNICACOES LTDA</t>
        </is>
      </c>
      <c r="D21" s="45" t="n"/>
      <c r="E21" s="1" t="inlineStr">
        <is>
          <t>SERV. LINK INTERNET 01.04</t>
        </is>
      </c>
      <c r="F21" s="52" t="n">
        <v>46055</v>
      </c>
      <c r="G21" s="52" t="n">
        <v>46055</v>
      </c>
      <c r="H21" s="47" t="n">
        <v>1000</v>
      </c>
    </row>
    <row r="22" ht="20.1" customHeight="1">
      <c r="B22" s="1" t="inlineStr">
        <is>
          <t>6.03.01.02.02.51 - INTERNET/COMUNICACOES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52" t="n">
        <v>46057</v>
      </c>
      <c r="G22" s="52" t="n">
        <v>46057</v>
      </c>
      <c r="H22" s="47" t="n">
        <v>856.03</v>
      </c>
    </row>
    <row r="23" ht="20.1" customHeight="1">
      <c r="B23" s="1" t="inlineStr">
        <is>
          <t>6.03.01.02.02.51 - INTERNET/COMUNICACOES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52" t="n">
        <v>46057</v>
      </c>
      <c r="G23" s="52" t="n">
        <v>46057</v>
      </c>
      <c r="H23" s="47" t="n">
        <v>1716.58</v>
      </c>
    </row>
    <row r="24" ht="20.1" customHeight="1">
      <c r="B24" s="1" t="inlineStr">
        <is>
          <t>6.03.01.02.02.51 - INTERNET/COMUNICACOES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52" t="n">
        <v>46057</v>
      </c>
      <c r="G24" s="52" t="n">
        <v>46057</v>
      </c>
      <c r="H24" s="47" t="n">
        <v>534.34</v>
      </c>
    </row>
    <row r="25" ht="20.1" customHeight="1">
      <c r="B25" s="1" t="inlineStr">
        <is>
          <t>6.03.01.02.02.51 - INTERNET/COMUNICACOES</t>
        </is>
      </c>
      <c r="C25" s="28" t="inlineStr">
        <is>
          <t>WS-NET INTERNET E DADOS LTDA</t>
        </is>
      </c>
      <c r="D25" s="45" t="n"/>
      <c r="E25" s="1" t="inlineStr">
        <is>
          <t>SERV. DE INTERNET 1.07</t>
        </is>
      </c>
      <c r="F25" s="52" t="n">
        <v>46055</v>
      </c>
      <c r="G25" s="52" t="n">
        <v>46058</v>
      </c>
      <c r="H25" s="47" t="n">
        <v>577.4</v>
      </c>
    </row>
    <row r="26" ht="20.1" customHeight="1">
      <c r="B26" s="1" t="inlineStr">
        <is>
          <t>6.03.01.02.02.51 - INTERNET/COMUNICACOES</t>
        </is>
      </c>
      <c r="C26" s="28" t="inlineStr">
        <is>
          <t>WS-NET INTERNET E DADOS LTDA</t>
        </is>
      </c>
      <c r="D26" s="45" t="n"/>
      <c r="E26" s="1" t="inlineStr">
        <is>
          <t>SERV. DE INTERNET 1.07</t>
        </is>
      </c>
      <c r="F26" s="52" t="n">
        <v>46055</v>
      </c>
      <c r="G26" s="52" t="n">
        <v>46058</v>
      </c>
      <c r="H26" s="47" t="n">
        <v>22.5</v>
      </c>
    </row>
    <row r="27" ht="20.1" customHeight="1">
      <c r="B27" s="1" t="inlineStr">
        <is>
          <t>6.03.01.02.02.31 - MANUTEN. SISTEMAS  INFORMATICA</t>
        </is>
      </c>
      <c r="C27" s="28" t="inlineStr">
        <is>
          <t>IB SOFTWARE E SOLUCOES PARA LOGISTICA LTDA</t>
        </is>
      </c>
      <c r="D27" s="45" t="n"/>
      <c r="E27" s="1" t="inlineStr">
        <is>
          <t>SERV. MANUT SISTEMA INFOR 1.07</t>
        </is>
      </c>
      <c r="F27" s="52" t="n">
        <v>46059</v>
      </c>
      <c r="G27" s="52" t="n">
        <v>46062</v>
      </c>
      <c r="H27" s="47" t="n">
        <v>4635</v>
      </c>
    </row>
    <row r="28" ht="20.1" customHeight="1">
      <c r="B28" s="1" t="inlineStr">
        <is>
          <t>6.03.01.02.02.51 - INTERNET/COMUNICACOES</t>
        </is>
      </c>
      <c r="C28" s="28" t="inlineStr">
        <is>
          <t>DIRECT WIFI TELECOM LTDA</t>
        </is>
      </c>
      <c r="D28" s="45" t="n"/>
      <c r="E28" s="1" t="inlineStr">
        <is>
          <t>SERV. LINK INTERNET 01.04</t>
        </is>
      </c>
      <c r="F28" s="52" t="n">
        <v>46064</v>
      </c>
      <c r="G28" s="52" t="n">
        <v>46064</v>
      </c>
      <c r="H28" s="47" t="n">
        <v>600</v>
      </c>
    </row>
    <row r="29" ht="20.1" customHeight="1">
      <c r="B29" s="1" t="inlineStr">
        <is>
          <t>6.03.01.02.02.31 - MANUTEN. SISTEMAS  INFORMATICA</t>
        </is>
      </c>
      <c r="C29" s="28" t="inlineStr">
        <is>
          <t>E-MITH TECNOLOGIA E SERVICOS DE INFORMATICA EIRELI - EPP</t>
        </is>
      </c>
      <c r="D29" s="45" t="n"/>
      <c r="E29" s="1" t="inlineStr">
        <is>
          <t>SERVICO LICENCA PROGRAMA 1.05</t>
        </is>
      </c>
      <c r="F29" s="52" t="n">
        <v>46058</v>
      </c>
      <c r="G29" s="52" t="n">
        <v>46065</v>
      </c>
      <c r="H29" s="47" t="n">
        <v>43999.7</v>
      </c>
    </row>
    <row r="30" ht="20.1" customHeight="1">
      <c r="B30" s="1" t="inlineStr">
        <is>
          <t>1.04.04.01.01.01 - CONSTR. EM ANDAMENTO</t>
        </is>
      </c>
      <c r="C30" s="28" t="inlineStr">
        <is>
          <t>DAYCOVAL LEASING - BANCO MULTIPLO S.A</t>
        </is>
      </c>
      <c r="D30" s="45" t="n"/>
      <c r="E30" s="1" t="inlineStr">
        <is>
          <t>CONSTR. EM ANDAMENTO LEASING</t>
        </is>
      </c>
      <c r="F30" s="52" t="n">
        <v>46063</v>
      </c>
      <c r="G30" s="52" t="n">
        <v>46065</v>
      </c>
      <c r="H30" s="47" t="n">
        <v>10341.69</v>
      </c>
    </row>
    <row r="31" ht="20.1" customHeight="1">
      <c r="B31" s="1" t="inlineStr">
        <is>
          <t>1.04.04.01.01.01 - CONSTR. EM ANDAMENTO</t>
        </is>
      </c>
      <c r="C31" s="28" t="inlineStr">
        <is>
          <t>DAYCOVAL LEASING - BANCO MULTIPLO S.A</t>
        </is>
      </c>
      <c r="D31" s="45" t="n"/>
      <c r="E31" s="1" t="inlineStr">
        <is>
          <t>CONSTR. EM ANDAMENTO LEASING</t>
        </is>
      </c>
      <c r="F31" s="52" t="n">
        <v>46063</v>
      </c>
      <c r="G31" s="52" t="n">
        <v>46065</v>
      </c>
      <c r="H31" s="47" t="n">
        <v>10341.69</v>
      </c>
    </row>
    <row r="32" ht="20.1" customHeight="1">
      <c r="B32" s="1" t="inlineStr">
        <is>
          <t>6.03.01.02.02.34 - MATERIAL PROCES. DADOS</t>
        </is>
      </c>
      <c r="C32" s="28" t="inlineStr">
        <is>
          <t>ESPACIAL SUPRIMENTOS DE ESCRITORIO E INFORMATICA LTDA</t>
        </is>
      </c>
      <c r="D32" s="45" t="n"/>
      <c r="E32" s="1" t="inlineStr">
        <is>
          <t>TECLADO USB</t>
        </is>
      </c>
      <c r="F32" s="52" t="n">
        <v>46043</v>
      </c>
      <c r="G32" s="52" t="n">
        <v>46066</v>
      </c>
      <c r="H32" s="47" t="n">
        <v>1668.4</v>
      </c>
    </row>
    <row r="33" ht="20.1" customHeight="1">
      <c r="B33" s="1" t="inlineStr">
        <is>
          <t>6.03.01.02.02.34 - MATERIAL PROCES. DADOS</t>
        </is>
      </c>
      <c r="C33" s="28" t="inlineStr">
        <is>
          <t>ESPACIAL SUPRIMENTOS DE ESCRITORIO E INFORMATICA LTDA</t>
        </is>
      </c>
      <c r="D33" s="45" t="n"/>
      <c r="E33" s="1" t="inlineStr">
        <is>
          <t>MOUSE USB LOGITECH</t>
        </is>
      </c>
      <c r="F33" s="52" t="n">
        <v>46043</v>
      </c>
      <c r="G33" s="52" t="n">
        <v>46066</v>
      </c>
      <c r="H33" s="47" t="n">
        <v>795</v>
      </c>
    </row>
    <row r="34" ht="20.1" customHeight="1">
      <c r="B34" s="1" t="inlineStr">
        <is>
          <t>6.03.01.02.02.31 - MANUTEN. SISTEMAS  INFORMATICA</t>
        </is>
      </c>
      <c r="C34" s="28" t="inlineStr">
        <is>
          <t>TECNOSPEED S/A</t>
        </is>
      </c>
      <c r="D34" s="45" t="n"/>
      <c r="E34" s="1" t="inlineStr">
        <is>
          <t>SERVICO LICENCA PROGRAMA 1.05</t>
        </is>
      </c>
      <c r="F34" s="52" t="n">
        <v>46064</v>
      </c>
      <c r="G34" s="52" t="n">
        <v>46066</v>
      </c>
      <c r="H34" s="47" t="n">
        <v>252.44</v>
      </c>
    </row>
    <row r="35" ht="20.1" customHeight="1">
      <c r="B35" s="1" t="inlineStr">
        <is>
          <t>6.03.01.02.02.51 - INTERNET/COMUNICACOES</t>
        </is>
      </c>
      <c r="C35" s="28" t="inlineStr">
        <is>
          <t>HELIO B MARTINS JUNIOR</t>
        </is>
      </c>
      <c r="D35" s="45" t="n"/>
      <c r="E35" s="1" t="inlineStr">
        <is>
          <t>SERV. LINK INTERNET 01.04</t>
        </is>
      </c>
      <c r="F35" s="52" t="n">
        <v>46064</v>
      </c>
      <c r="G35" s="52" t="n">
        <v>46066</v>
      </c>
      <c r="H35" s="47" t="n">
        <v>600</v>
      </c>
    </row>
    <row r="36" ht="20.1" customHeight="1">
      <c r="B36" s="1" t="inlineStr">
        <is>
          <t>6.03.01.02.02.77 - ASSESSORIA E SERVICO INFORMATICA</t>
        </is>
      </c>
      <c r="C36" s="28" t="inlineStr">
        <is>
          <t>BRFIBRA TELECOMUNICACOES LTDA</t>
        </is>
      </c>
      <c r="D36" s="45" t="n"/>
      <c r="E36" s="1" t="inlineStr">
        <is>
          <t>PROCESSAMENTO DADOS 1.03</t>
        </is>
      </c>
      <c r="F36" s="52" t="n">
        <v>46064</v>
      </c>
      <c r="G36" s="52" t="n">
        <v>46066</v>
      </c>
      <c r="H36" s="47" t="n">
        <v>900</v>
      </c>
    </row>
    <row r="37" ht="20.1" customHeight="1">
      <c r="B37" s="1" t="inlineStr">
        <is>
          <t>6.03.01.02.02.77 - ASSESSORIA E SERVICO INFORMATICA</t>
        </is>
      </c>
      <c r="C37" s="28" t="inlineStr">
        <is>
          <t>SAUTER TECNOLOGIA E SERVICOS LTDA</t>
        </is>
      </c>
      <c r="D37" s="45" t="n"/>
      <c r="E37" s="1" t="inlineStr">
        <is>
          <t>PROCESSAMENTO DADOS 1.03</t>
        </is>
      </c>
      <c r="F37" s="52" t="n">
        <v>46064</v>
      </c>
      <c r="G37" s="52" t="n">
        <v>46066</v>
      </c>
      <c r="H37" s="47" t="n">
        <v>148.41</v>
      </c>
    </row>
    <row r="38" ht="20.1" customHeight="1">
      <c r="B38" s="1" t="inlineStr">
        <is>
          <t>6.03.01.02.02.01 - ALUGUEIS DE EQUIPAMENTOS</t>
        </is>
      </c>
      <c r="C38" s="28" t="inlineStr">
        <is>
          <t>BRASILSITE TELECOMUNICACOES LTDA.</t>
        </is>
      </c>
      <c r="D38" s="45" t="n"/>
      <c r="E38" s="1" t="inlineStr">
        <is>
          <t>SERV. ALUGUEL EQUIPAMENTO 3.04</t>
        </is>
      </c>
      <c r="F38" s="52" t="n">
        <v>46064</v>
      </c>
      <c r="G38" s="52" t="n">
        <v>46071</v>
      </c>
      <c r="H38" s="47" t="n">
        <v>919.75</v>
      </c>
    </row>
    <row r="39" ht="20.1" customHeight="1">
      <c r="B39" s="1" t="inlineStr">
        <is>
          <t>6.03.01.02.02.01 - ALUGUEIS DE EQUIPAMENTOS</t>
        </is>
      </c>
      <c r="C39" s="28" t="inlineStr">
        <is>
          <t>BRASILSITE TELECOMUNICACOES LTDA.</t>
        </is>
      </c>
      <c r="D39" s="45" t="n"/>
      <c r="E39" s="1" t="inlineStr">
        <is>
          <t>SERV. ALUGUEL EQUIPAMENTO 3.04</t>
        </is>
      </c>
      <c r="F39" s="52" t="n">
        <v>46064</v>
      </c>
      <c r="G39" s="52" t="n">
        <v>46071</v>
      </c>
      <c r="H39" s="47" t="n">
        <v>1785.7</v>
      </c>
    </row>
    <row r="40" ht="20.1" customHeight="1">
      <c r="B40" s="1" t="inlineStr">
        <is>
          <t>6.03.01.02.02.51 - INTERNET/COMUNICACOES</t>
        </is>
      </c>
      <c r="C40" s="28" t="inlineStr">
        <is>
          <t>RENATO L SILVA TELECOMUNICACOES ME</t>
        </is>
      </c>
      <c r="D40" s="45" t="n"/>
      <c r="E40" s="1" t="inlineStr">
        <is>
          <t>SERV. LINK INTERNET 01.04</t>
        </is>
      </c>
      <c r="F40" s="52" t="n">
        <v>46064</v>
      </c>
      <c r="G40" s="52" t="n">
        <v>46071</v>
      </c>
      <c r="H40" s="47" t="n">
        <v>900</v>
      </c>
    </row>
    <row r="41" ht="20.1" customHeight="1">
      <c r="B41" s="1" t="inlineStr">
        <is>
          <t>6.03.01.02.02.31 - MANUTEN. SISTEMAS  INFORMATICA</t>
        </is>
      </c>
      <c r="C41" s="28" t="inlineStr">
        <is>
          <t>DESK MANAGER SOFTWARE LTDA</t>
        </is>
      </c>
      <c r="D41" s="45" t="n"/>
      <c r="E41" s="1" t="inlineStr">
        <is>
          <t>SERVICO LICENCA PROGRAMA 1.05</t>
        </is>
      </c>
      <c r="F41" s="52" t="n">
        <v>46071</v>
      </c>
      <c r="G41" s="52" t="n">
        <v>46071</v>
      </c>
      <c r="H41" s="47" t="n">
        <v>1382</v>
      </c>
    </row>
    <row r="42" ht="20.1" customHeight="1">
      <c r="B42" s="1" t="inlineStr">
        <is>
          <t>6.03.01.02.02.51 - INTERNET/COMUNICACOES</t>
        </is>
      </c>
      <c r="C42" s="28" t="inlineStr">
        <is>
          <t>RODOVIA SOLUCOES TECNOLOGICAS LTDA</t>
        </is>
      </c>
      <c r="D42" s="45" t="n"/>
      <c r="E42" s="1" t="inlineStr">
        <is>
          <t>SUPORTE TECNICO T.I. 1.07</t>
        </is>
      </c>
      <c r="F42" s="52" t="n">
        <v>46062</v>
      </c>
      <c r="G42" s="52" t="n">
        <v>46072</v>
      </c>
      <c r="H42" s="47" t="n">
        <v>2767.5</v>
      </c>
    </row>
    <row r="43" ht="20.1" customHeight="1">
      <c r="B43" s="1" t="inlineStr">
        <is>
          <t>6.03.01.02.02.31 - MANUTEN. SISTEMAS  INFORMATICA</t>
        </is>
      </c>
      <c r="C43" s="28" t="inlineStr">
        <is>
          <t>INGRAM MICRO BRASIL LTDA</t>
        </is>
      </c>
      <c r="D43" s="45" t="n"/>
      <c r="E43" s="1" t="inlineStr">
        <is>
          <t>SERVICO LICENCA PROGRAMA 1.05</t>
        </is>
      </c>
      <c r="F43" s="52" t="n">
        <v>46064</v>
      </c>
      <c r="G43" s="52" t="n">
        <v>46072</v>
      </c>
      <c r="H43" s="47" t="n">
        <v>8644.299999999999</v>
      </c>
    </row>
    <row r="44" ht="20.1" customHeight="1">
      <c r="B44" s="1" t="inlineStr">
        <is>
          <t>6.03.01.02.02.31 - MANUTEN. SISTEMAS  INFORMATICA</t>
        </is>
      </c>
      <c r="C44" s="28" t="inlineStr">
        <is>
          <t>SENIOR SISTEMAS S/A</t>
        </is>
      </c>
      <c r="D44" s="45" t="n"/>
      <c r="E44" s="1" t="inlineStr">
        <is>
          <t>SERV. MANUT SISTEMA INFOR 1.07</t>
        </is>
      </c>
      <c r="F44" s="52" t="n">
        <v>46064</v>
      </c>
      <c r="G44" s="52" t="n">
        <v>46072</v>
      </c>
      <c r="H44" s="47" t="n">
        <v>15123.81</v>
      </c>
    </row>
    <row r="45" ht="20.1" customHeight="1">
      <c r="B45" s="1" t="inlineStr">
        <is>
          <t>6.03.01.02.02.31 - MANUTEN. SISTEMAS  INFORMATICA</t>
        </is>
      </c>
      <c r="C45" s="28" t="inlineStr">
        <is>
          <t>WEFIT TECNOLOGIA ESTRATEGICA LTDA</t>
        </is>
      </c>
      <c r="D45" s="45" t="n"/>
      <c r="E45" s="1" t="inlineStr">
        <is>
          <t>SERV. ELAB/ATUAL PROGRAMA 1.04</t>
        </is>
      </c>
      <c r="F45" s="52" t="n">
        <v>46064</v>
      </c>
      <c r="G45" s="52" t="n">
        <v>46072</v>
      </c>
      <c r="H45" s="47" t="n">
        <v>2069</v>
      </c>
    </row>
    <row r="46" ht="20.1" customHeight="1">
      <c r="B46" s="1" t="inlineStr">
        <is>
          <t>6.03.01.02.02.31 - MANUTEN. SISTEMAS  INFORMATICA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52" t="n">
        <v>46064</v>
      </c>
      <c r="G46" s="52" t="n">
        <v>46072</v>
      </c>
      <c r="H46" s="47" t="n">
        <v>2069</v>
      </c>
    </row>
    <row r="47" ht="20.1" customHeight="1">
      <c r="B47" s="1" t="inlineStr">
        <is>
          <t>6.03.01.02.02.31 - MANUTEN. SISTEMAS  INFORMATICA</t>
        </is>
      </c>
      <c r="C47" s="28" t="inlineStr">
        <is>
          <t>WEFIT TECNOLOGIA ESTRATEGICA LTDA</t>
        </is>
      </c>
      <c r="D47" s="45" t="n"/>
      <c r="E47" s="1" t="inlineStr">
        <is>
          <t>SERV. ELAB/ATUAL PROGRAMA 1.04</t>
        </is>
      </c>
      <c r="F47" s="52" t="n">
        <v>46064</v>
      </c>
      <c r="G47" s="52" t="n">
        <v>46072</v>
      </c>
      <c r="H47" s="47" t="n">
        <v>26937</v>
      </c>
    </row>
    <row r="48" ht="20.1" customHeight="1">
      <c r="B48" s="1" t="inlineStr">
        <is>
          <t>6.03.01.02.02.31 - MANUTEN. SISTEMAS  INFORMATICA</t>
        </is>
      </c>
      <c r="C48" s="28" t="inlineStr">
        <is>
          <t>WEFIT TECNOLOGIA ESTRATEGICA LTDA</t>
        </is>
      </c>
      <c r="D48" s="45" t="n"/>
      <c r="E48" s="1" t="inlineStr">
        <is>
          <t>SERV. ELAB/ATUAL PROGRAMA 1.04</t>
        </is>
      </c>
      <c r="F48" s="52" t="n">
        <v>46064</v>
      </c>
      <c r="G48" s="52" t="n">
        <v>46072</v>
      </c>
      <c r="H48" s="47" t="n">
        <v>28932.7</v>
      </c>
    </row>
    <row r="49" ht="20.1" customHeight="1">
      <c r="B49" s="1" t="inlineStr">
        <is>
          <t>6.03.01.02.02.77 - ASSESSORIA E SERVICO INFORMATICA</t>
        </is>
      </c>
      <c r="C49" s="28" t="inlineStr">
        <is>
          <t>BRFIBRA TELECOMUNICACOES LTDA</t>
        </is>
      </c>
      <c r="D49" s="45" t="n"/>
      <c r="E49" s="1" t="inlineStr">
        <is>
          <t>PROCESSAMENTO DADOS 1.03</t>
        </is>
      </c>
      <c r="F49" s="52" t="n">
        <v>46064</v>
      </c>
      <c r="G49" s="52" t="n">
        <v>46072</v>
      </c>
      <c r="H49" s="47" t="n">
        <v>900</v>
      </c>
    </row>
    <row r="50" ht="20.1" customHeight="1">
      <c r="B50" s="1" t="inlineStr">
        <is>
          <t>6.03.01.02.02.77 - ASSESSORIA E SERVICO INFORMATICA</t>
        </is>
      </c>
      <c r="C50" s="28" t="inlineStr">
        <is>
          <t>C&amp;C COMPUTACAO E COMUNIC. INFORMATICA LT</t>
        </is>
      </c>
      <c r="D50" s="45" t="n"/>
      <c r="E50" s="1" t="inlineStr">
        <is>
          <t>PROCESSAMENTO DADOS 1.03</t>
        </is>
      </c>
      <c r="F50" s="52" t="n">
        <v>46064</v>
      </c>
      <c r="G50" s="52" t="n">
        <v>46072</v>
      </c>
      <c r="H50" s="47" t="n">
        <v>39828.76</v>
      </c>
    </row>
    <row r="51" ht="20.1" customHeight="1">
      <c r="B51" s="1" t="inlineStr">
        <is>
          <t>6.03.01.02.02.77 - ASSESSORIA E SERVICO INFORMATICA</t>
        </is>
      </c>
      <c r="C51" s="28" t="inlineStr">
        <is>
          <t>PERIPHERART ELET. IND. E COMERCIO LTDA</t>
        </is>
      </c>
      <c r="D51" s="45" t="n"/>
      <c r="E51" s="1" t="inlineStr">
        <is>
          <t>ASSESSORIA INFORMATICA 14.06</t>
        </is>
      </c>
      <c r="F51" s="52" t="n">
        <v>46064</v>
      </c>
      <c r="G51" s="52" t="n">
        <v>46072</v>
      </c>
      <c r="H51" s="47" t="n">
        <v>2500</v>
      </c>
    </row>
    <row r="52" ht="20.1" customHeight="1">
      <c r="B52" s="1" t="inlineStr">
        <is>
          <t>6.03.01.02.02.77 - ASSESSORIA E SERVICO INFORMATICA</t>
        </is>
      </c>
      <c r="C52" s="28" t="inlineStr">
        <is>
          <t>SKAC PROCESSAMENTO DE DADOS LTDA - ME</t>
        </is>
      </c>
      <c r="D52" s="45" t="n"/>
      <c r="E52" s="1" t="inlineStr">
        <is>
          <t>PROCESSAMENTO DADOS 1.03</t>
        </is>
      </c>
      <c r="F52" s="52" t="n">
        <v>46064</v>
      </c>
      <c r="G52" s="52" t="n">
        <v>46072</v>
      </c>
      <c r="H52" s="47" t="n">
        <v>3600</v>
      </c>
    </row>
    <row r="53" ht="20.1" customHeight="1">
      <c r="B53" s="1" t="inlineStr">
        <is>
          <t>6.03.01.02.02.77 - ASSESSORIA E SERVICO INFORMATICA</t>
        </is>
      </c>
      <c r="C53" s="28" t="inlineStr">
        <is>
          <t>SKAC PROCESSAMENTO DE DADOS LTDA - ME</t>
        </is>
      </c>
      <c r="D53" s="45" t="n"/>
      <c r="E53" s="1" t="inlineStr">
        <is>
          <t>PROCESSAMENTO DADOS 1.03</t>
        </is>
      </c>
      <c r="F53" s="52" t="n">
        <v>46064</v>
      </c>
      <c r="G53" s="52" t="n">
        <v>46072</v>
      </c>
      <c r="H53" s="47" t="n">
        <v>7500</v>
      </c>
    </row>
    <row r="54" ht="20.1" customHeight="1">
      <c r="B54" s="1" t="inlineStr">
        <is>
          <t>6.03.01.02.02.77 - ASSESSORIA E SERVICO INFORMATICA</t>
        </is>
      </c>
      <c r="C54" s="28" t="inlineStr">
        <is>
          <t>SPHERE IT SERVICOS LTDA</t>
        </is>
      </c>
      <c r="D54" s="45" t="n"/>
      <c r="E54" s="1" t="inlineStr">
        <is>
          <t>SERV. ASSESS DE INFOR 1.06</t>
        </is>
      </c>
      <c r="F54" s="52" t="n">
        <v>46064</v>
      </c>
      <c r="G54" s="52" t="n">
        <v>46072</v>
      </c>
      <c r="H54" s="47" t="n">
        <v>32266.08</v>
      </c>
    </row>
    <row r="55" ht="20.1" customHeight="1">
      <c r="B55" s="1" t="inlineStr">
        <is>
          <t>6.03.01.02.02.13 - MANUTENCAO IMOBILIZADO</t>
        </is>
      </c>
      <c r="C55" s="28" t="inlineStr">
        <is>
          <t>EVERNEX DO BRASIL LTDA</t>
        </is>
      </c>
      <c r="D55" s="45" t="n"/>
      <c r="E55" s="1" t="inlineStr">
        <is>
          <t>SERVICO MANUTENCAO DE EQUIPAMENTO 14.01</t>
        </is>
      </c>
      <c r="F55" s="52" t="n">
        <v>46065</v>
      </c>
      <c r="G55" s="52" t="n">
        <v>46072</v>
      </c>
      <c r="H55" s="47" t="n">
        <v>5259.99</v>
      </c>
    </row>
    <row r="56" ht="20.1" customHeight="1">
      <c r="B56" s="1" t="inlineStr">
        <is>
          <t>6.03.01.02.02.51 - INTERNET/COMUNICACOES</t>
        </is>
      </c>
      <c r="C56" s="28" t="inlineStr">
        <is>
          <t>WS-NET INTERNET E DADOS LTDA</t>
        </is>
      </c>
      <c r="D56" s="45" t="n"/>
      <c r="E56" s="1" t="inlineStr">
        <is>
          <t>SERV. DE INTERNET 1.07</t>
        </is>
      </c>
      <c r="F56" s="52" t="n">
        <v>46072</v>
      </c>
      <c r="G56" s="52" t="n">
        <v>46072</v>
      </c>
      <c r="H56" s="47" t="n">
        <v>22.5</v>
      </c>
    </row>
    <row r="57" ht="20.1" customHeight="1">
      <c r="B57" s="1" t="inlineStr">
        <is>
          <t>6.03.01.02.02.51 - INTERNET/COMUNICACOES</t>
        </is>
      </c>
      <c r="C57" s="28" t="inlineStr">
        <is>
          <t>BRASILSITE TELECOMUNICACOES LTDA.</t>
        </is>
      </c>
      <c r="D57" s="45" t="n"/>
      <c r="E57" s="1" t="inlineStr">
        <is>
          <t>SERV. DE INTERNET 31.01</t>
        </is>
      </c>
      <c r="F57" s="52" t="n">
        <v>46064</v>
      </c>
      <c r="G57" s="52" t="n">
        <v>46073</v>
      </c>
      <c r="H57" s="47" t="n">
        <v>149.73</v>
      </c>
    </row>
    <row r="58" ht="20.1" customHeight="1">
      <c r="B58" s="1" t="inlineStr">
        <is>
          <t>6.03.01.02.02.51 - INTERNET/COMUNICACOES</t>
        </is>
      </c>
      <c r="C58" s="28" t="inlineStr">
        <is>
          <t>BRASILSITE TELECOMUNICACOES LTDA.</t>
        </is>
      </c>
      <c r="D58" s="45" t="n"/>
      <c r="E58" s="1" t="inlineStr">
        <is>
          <t>SERV. DE INTERNET 31.01</t>
        </is>
      </c>
      <c r="F58" s="52" t="n">
        <v>46064</v>
      </c>
      <c r="G58" s="52" t="n">
        <v>46073</v>
      </c>
      <c r="H58" s="47" t="n">
        <v>290.7</v>
      </c>
    </row>
    <row r="59" ht="20.1" customHeight="1">
      <c r="B59" s="1" t="inlineStr">
        <is>
          <t>6.03.01.02.02.80 - ASSESSORIA ADMINISTRATIVA</t>
        </is>
      </c>
      <c r="C59" s="28" t="inlineStr">
        <is>
          <t>IRON MOUNTAIN DO BRASIL LTDA</t>
        </is>
      </c>
      <c r="D59" s="45" t="n"/>
      <c r="E59" s="1" t="inlineStr">
        <is>
          <t>SERVICO ADMINISTRATIVO 17.02</t>
        </is>
      </c>
      <c r="F59" s="52" t="n">
        <v>46064</v>
      </c>
      <c r="G59" s="52" t="n">
        <v>46076</v>
      </c>
      <c r="H59" s="47" t="n">
        <v>10.8</v>
      </c>
    </row>
    <row r="60" ht="20.1" customHeight="1">
      <c r="B60" s="1" t="inlineStr">
        <is>
          <t>6.03.01.02.02.31 - MANUTEN. SISTEMAS  INFORMATICA</t>
        </is>
      </c>
      <c r="C60" s="28" t="inlineStr">
        <is>
          <t>PARS PRODUTOS DE PROCESSAMENTO DE DADOS LTDA</t>
        </is>
      </c>
      <c r="D60" s="45" t="n"/>
      <c r="E60" s="1" t="inlineStr">
        <is>
          <t>SERVICO LICENCA PROGRAMA 1.05</t>
        </is>
      </c>
      <c r="F60" s="52" t="n">
        <v>46072</v>
      </c>
      <c r="G60" s="52" t="n">
        <v>46076</v>
      </c>
      <c r="H60" s="47" t="n">
        <v>4599</v>
      </c>
    </row>
    <row r="61" ht="20.1" customHeight="1">
      <c r="B61" s="1" t="inlineStr">
        <is>
          <t>6.03.01.02.02.01 - ALUGUEIS DE EQUIPAMENTOS</t>
        </is>
      </c>
      <c r="C61" s="28" t="inlineStr">
        <is>
          <t>GP EMISSAO INSTANTANEA E GESTAO DE DOCUMENTOS LTDA</t>
        </is>
      </c>
      <c r="D61" s="45" t="n"/>
      <c r="E61" s="1" t="inlineStr">
        <is>
          <t>SERV. ALUGUEL EQUIPAMENTO 3.04</t>
        </is>
      </c>
      <c r="F61" s="52" t="n">
        <v>46064</v>
      </c>
      <c r="G61" s="52" t="n">
        <v>46077</v>
      </c>
      <c r="H61" s="47" t="n">
        <v>27755.98</v>
      </c>
    </row>
    <row r="62" ht="20.1" customHeight="1">
      <c r="B62" s="1" t="inlineStr">
        <is>
          <t>6.03.01.02.02.51 - INTERNET/COMUNICACOES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52" t="n">
        <v>46065</v>
      </c>
      <c r="G62" s="52" t="n">
        <v>46077</v>
      </c>
      <c r="H62" s="47" t="n">
        <v>993.09</v>
      </c>
    </row>
    <row r="63" ht="20.1" customHeight="1">
      <c r="B63" s="1" t="inlineStr">
        <is>
          <t>6.03.01.02.02.51 - INTERNET/COMUNICACOES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52" t="n">
        <v>46065</v>
      </c>
      <c r="G63" s="52" t="n">
        <v>46077</v>
      </c>
      <c r="H63" s="47" t="n">
        <v>1408.8</v>
      </c>
    </row>
    <row r="64" ht="20.1" customHeight="1">
      <c r="B64" s="1" t="inlineStr">
        <is>
          <t>6.03.01.02.02.51 - INTERNET/COMUNICACOES</t>
        </is>
      </c>
      <c r="C64" s="28" t="inlineStr">
        <is>
          <t>FASTSIGNAL COMERCIO E SERVICOS DE INFORMATICA LTDA - ME</t>
        </is>
      </c>
      <c r="D64" s="45" t="n"/>
      <c r="E64" s="1" t="inlineStr">
        <is>
          <t>SERV. DE INTERNET 1.07</t>
        </is>
      </c>
      <c r="F64" s="52" t="n">
        <v>46071</v>
      </c>
      <c r="G64" s="52" t="n">
        <v>46077</v>
      </c>
      <c r="H64" s="47" t="n">
        <v>1599.9</v>
      </c>
    </row>
    <row r="65" ht="20.1" customHeight="1">
      <c r="B65" s="1" t="inlineStr">
        <is>
          <t>6.03.01.02.02.51 - INTERNET/COMUNICACOES</t>
        </is>
      </c>
      <c r="C65" s="28" t="inlineStr">
        <is>
          <t>INGRAM MICRO BRASIL LTDA</t>
        </is>
      </c>
      <c r="D65" s="45" t="n"/>
      <c r="E65" s="1" t="inlineStr">
        <is>
          <t>SUPORTE TECNICO T.I. 1.07</t>
        </is>
      </c>
      <c r="F65" s="52" t="n">
        <v>46071</v>
      </c>
      <c r="G65" s="52" t="n">
        <v>46077</v>
      </c>
      <c r="H65" s="47" t="n">
        <v>528.42</v>
      </c>
    </row>
    <row r="66" ht="20.1" customHeight="1">
      <c r="B66" s="1" t="inlineStr">
        <is>
          <t>6.03.01.02.02.51 - INTERNET/COMUNICACOES</t>
        </is>
      </c>
      <c r="C66" s="28" t="inlineStr">
        <is>
          <t>LINQ TELECOMUNICACOES LTDA</t>
        </is>
      </c>
      <c r="D66" s="45" t="n"/>
      <c r="E66" s="1" t="inlineStr">
        <is>
          <t>SERV. LINK INTERNET 01.04</t>
        </is>
      </c>
      <c r="F66" s="52" t="n">
        <v>46071</v>
      </c>
      <c r="G66" s="52" t="n">
        <v>46077</v>
      </c>
      <c r="H66" s="47" t="n">
        <v>90</v>
      </c>
    </row>
    <row r="67" ht="20.1" customHeight="1">
      <c r="B67" s="1" t="inlineStr">
        <is>
          <t>6.03.01.02.02.51 - INTERNET/COMUNICACOES</t>
        </is>
      </c>
      <c r="C67" s="28" t="inlineStr">
        <is>
          <t>LINQ TELECOMUNICACOES LTDA</t>
        </is>
      </c>
      <c r="D67" s="45" t="n"/>
      <c r="E67" s="1" t="inlineStr">
        <is>
          <t>SERV. LINK INTERNET 01.04</t>
        </is>
      </c>
      <c r="F67" s="52" t="n">
        <v>46071</v>
      </c>
      <c r="G67" s="52" t="n">
        <v>46077</v>
      </c>
      <c r="H67" s="47" t="n">
        <v>469.25</v>
      </c>
    </row>
    <row r="68" ht="20.1" customHeight="1">
      <c r="B68" s="1" t="inlineStr">
        <is>
          <t>6.03.01.02.02.51 - INTERNET/COMUNICACOES</t>
        </is>
      </c>
      <c r="C68" s="28" t="inlineStr">
        <is>
          <t>VOGEL SOLUCOES EM TELECOMUNICACOES E INFORMATICA S.A.</t>
        </is>
      </c>
      <c r="D68" s="45" t="n"/>
      <c r="E68" s="1" t="inlineStr">
        <is>
          <t>SERV. LINK INTERNET 01.04</t>
        </is>
      </c>
      <c r="F68" s="52" t="n">
        <v>46071</v>
      </c>
      <c r="G68" s="52" t="n">
        <v>46077</v>
      </c>
      <c r="H68" s="47" t="n">
        <v>384.73</v>
      </c>
    </row>
    <row r="69" ht="20.1" customHeight="1">
      <c r="B69" s="1" t="inlineStr">
        <is>
          <t>6.03.01.02.02.51 - INTERNET/COMUNICACOES</t>
        </is>
      </c>
      <c r="C69" s="28" t="inlineStr">
        <is>
          <t>VOIPGLOBE SERVICOS DE COMUNICACAO MULTIMIDIA VIA INTERNET LT</t>
        </is>
      </c>
      <c r="D69" s="45" t="n"/>
      <c r="E69" s="1" t="inlineStr">
        <is>
          <t>SUPORTE TECNICO T.I. 1.07</t>
        </is>
      </c>
      <c r="F69" s="52" t="n">
        <v>46071</v>
      </c>
      <c r="G69" s="52" t="n">
        <v>46077</v>
      </c>
      <c r="H69" s="47" t="n">
        <v>651</v>
      </c>
    </row>
    <row r="70" ht="20.1" customHeight="1">
      <c r="B70" s="1" t="inlineStr">
        <is>
          <t>6.03.01.02.02.51 - INTERNET/COMUNICACOES</t>
        </is>
      </c>
      <c r="C70" s="28" t="inlineStr">
        <is>
          <t>VOIPGLOBE SERVICOS DE COMUNICACAO MULTIMIDIA VIA INTERNET LT</t>
        </is>
      </c>
      <c r="D70" s="45" t="n"/>
      <c r="E70" s="1" t="inlineStr">
        <is>
          <t>SUPORTE TECNICO T.I. 1.07</t>
        </is>
      </c>
      <c r="F70" s="52" t="n">
        <v>46071</v>
      </c>
      <c r="G70" s="52" t="n">
        <v>46077</v>
      </c>
      <c r="H70" s="47" t="n">
        <v>651</v>
      </c>
    </row>
    <row r="71" ht="20.1" customHeight="1">
      <c r="B71" s="1" t="inlineStr">
        <is>
          <t>6.03.01.05.01.02 - JUROS PAGOS</t>
        </is>
      </c>
      <c r="C71" s="28" t="inlineStr">
        <is>
          <t>VOGEL SOLUCOES EM TELECOMUNICACOES E INFORMATICA S.A.</t>
        </is>
      </c>
      <c r="D71" s="45" t="n"/>
      <c r="E71" s="1" t="inlineStr">
        <is>
          <t>SERVICO DESPESAS COM JUROS PAGO 10.01</t>
        </is>
      </c>
      <c r="F71" s="52" t="n">
        <v>46071</v>
      </c>
      <c r="G71" s="52" t="n">
        <v>46077</v>
      </c>
      <c r="H71" s="47" t="n">
        <v>23.43</v>
      </c>
    </row>
    <row r="72" ht="20.1" customHeight="1">
      <c r="B72" s="1" t="inlineStr">
        <is>
          <t>6.03.01.02.02.51 - INTERNET/COMUNICACOES</t>
        </is>
      </c>
      <c r="C72" s="28" t="inlineStr">
        <is>
          <t>CENTURY TELECOM LTDA</t>
        </is>
      </c>
      <c r="D72" s="45" t="n"/>
      <c r="E72" s="1" t="inlineStr">
        <is>
          <t>SERV. LINK INTERNET 01.04</t>
        </is>
      </c>
      <c r="F72" s="52" t="n">
        <v>46072</v>
      </c>
      <c r="G72" s="52" t="n">
        <v>46077</v>
      </c>
      <c r="H72" s="47" t="n">
        <v>116.51</v>
      </c>
    </row>
    <row r="73" ht="20.1" customHeight="1">
      <c r="B73" s="1" t="inlineStr">
        <is>
          <t>6.03.01.02.02.51 - INTERNET/COMUNICACOES</t>
        </is>
      </c>
      <c r="C73" s="28" t="inlineStr">
        <is>
          <t>CENTURY TELECOM LTDA</t>
        </is>
      </c>
      <c r="D73" s="45" t="n"/>
      <c r="E73" s="1" t="inlineStr">
        <is>
          <t>SERV. LINK INTERNET 01.04</t>
        </is>
      </c>
      <c r="F73" s="52" t="n">
        <v>46072</v>
      </c>
      <c r="G73" s="52" t="n">
        <v>46077</v>
      </c>
      <c r="H73" s="47" t="n">
        <v>271.88</v>
      </c>
    </row>
    <row r="74" ht="20.1" customHeight="1">
      <c r="B74" s="1" t="inlineStr">
        <is>
          <t>6.03.01.02.02.51 - INTERNET/COMUNICACOES</t>
        </is>
      </c>
      <c r="C74" s="28" t="inlineStr">
        <is>
          <t>INGRAM MICRO BRASIL LTDA</t>
        </is>
      </c>
      <c r="D74" s="45" t="n"/>
      <c r="E74" s="1" t="inlineStr">
        <is>
          <t>SUPORTE TECNICO T.I. 1.07</t>
        </is>
      </c>
      <c r="F74" s="52" t="n">
        <v>46072</v>
      </c>
      <c r="G74" s="52" t="n">
        <v>46077</v>
      </c>
      <c r="H74" s="47" t="n">
        <v>2126.92</v>
      </c>
    </row>
    <row r="75" ht="20.1" customHeight="1">
      <c r="B75" s="1" t="inlineStr">
        <is>
          <t>6.03.01.02.02.51 - INTERNET/COMUNICACOES</t>
        </is>
      </c>
      <c r="C75" s="28" t="inlineStr">
        <is>
          <t>VOIPGLOBE SERVICOS DE COMUNICACAO MULTIMIDIA VIA INTERNET LT</t>
        </is>
      </c>
      <c r="D75" s="45" t="n"/>
      <c r="E75" s="1" t="inlineStr">
        <is>
          <t>SUPORTE TECNICO T.I. 1.07</t>
        </is>
      </c>
      <c r="F75" s="52" t="n">
        <v>46072</v>
      </c>
      <c r="G75" s="52" t="n">
        <v>46077</v>
      </c>
      <c r="H75" s="47" t="n">
        <v>1162</v>
      </c>
    </row>
    <row r="76" ht="20.1" customHeight="1">
      <c r="B76" s="1" t="inlineStr">
        <is>
          <t>6.03.01.02.02.77 - ASSESSORIA E SERVICO INFORMATICA</t>
        </is>
      </c>
      <c r="C76" s="28" t="inlineStr">
        <is>
          <t>BRASILSITE TELECOMUNICACOES LTDA</t>
        </is>
      </c>
      <c r="D76" s="45" t="n"/>
      <c r="E76" s="1" t="inlineStr">
        <is>
          <t>PROCESSAMENTO DADOS 1.03</t>
        </is>
      </c>
      <c r="F76" s="52" t="n">
        <v>46072</v>
      </c>
      <c r="G76" s="52" t="n">
        <v>46077</v>
      </c>
      <c r="H76" s="47" t="n">
        <v>98.94</v>
      </c>
    </row>
    <row r="77" ht="20.1" customHeight="1">
      <c r="B77" s="1" t="inlineStr">
        <is>
          <t>6.03.01.02.02.51 - INTERNET/COMUNICACOES</t>
        </is>
      </c>
      <c r="C77" s="28" t="inlineStr">
        <is>
          <t>FASTSIGNAL COMERCIO E SERVICOS DE INFORMATICA LTDA</t>
        </is>
      </c>
      <c r="D77" s="45" t="n"/>
      <c r="E77" s="1" t="inlineStr">
        <is>
          <t>SERV. DE INTERNET 1.07</t>
        </is>
      </c>
      <c r="F77" s="52" t="n">
        <v>46073</v>
      </c>
      <c r="G77" s="52" t="n">
        <v>46077</v>
      </c>
      <c r="H77" s="47" t="n">
        <v>436.85</v>
      </c>
    </row>
    <row r="78" ht="20.1" customHeight="1">
      <c r="B78" s="1" t="inlineStr">
        <is>
          <t>6.03.01.02.02.51 - INTERNET/COMUNICACOES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52" t="n">
        <v>46073</v>
      </c>
      <c r="G78" s="52" t="n">
        <v>46077</v>
      </c>
      <c r="H78" s="47" t="n">
        <v>886.02</v>
      </c>
    </row>
    <row r="79" ht="20.1" customHeight="1">
      <c r="B79" s="1" t="inlineStr">
        <is>
          <t>6.03.01.02.02.51 - INTERNET/COMUNICACOES</t>
        </is>
      </c>
      <c r="C79" s="28" t="inlineStr">
        <is>
          <t>VOGEL SOLUCOES EM TELECOMUNICACOES E INFORMATICA S.A.</t>
        </is>
      </c>
      <c r="D79" s="45" t="n"/>
      <c r="E79" s="1" t="inlineStr">
        <is>
          <t>SERV. LINK INTERNET 01.04</t>
        </is>
      </c>
      <c r="F79" s="52" t="n">
        <v>46073</v>
      </c>
      <c r="G79" s="52" t="n">
        <v>46077</v>
      </c>
      <c r="H79" s="47" t="n">
        <v>673.45</v>
      </c>
    </row>
    <row r="80" ht="20.1" customHeight="1">
      <c r="B80" s="1" t="inlineStr">
        <is>
          <t>6.03.01.02.02.51 - INTERNET/COMUNICACOES</t>
        </is>
      </c>
      <c r="C80" s="28" t="inlineStr">
        <is>
          <t>VOGEL SOLUCOES EM TELECOMUNICACOES E INFORMATICA S.A.</t>
        </is>
      </c>
      <c r="D80" s="45" t="n"/>
      <c r="E80" s="1" t="inlineStr">
        <is>
          <t>SERV. LINK INTERNET 01.04</t>
        </is>
      </c>
      <c r="F80" s="52" t="n">
        <v>46073</v>
      </c>
      <c r="G80" s="52" t="n">
        <v>46077</v>
      </c>
      <c r="H80" s="47" t="n">
        <v>352.87</v>
      </c>
    </row>
    <row r="81" ht="20.1" customHeight="1">
      <c r="B81" s="1" t="inlineStr">
        <is>
          <t>6.03.01.02.02.51 - INTERNET/COMUNICACOES</t>
        </is>
      </c>
      <c r="C81" s="28" t="inlineStr">
        <is>
          <t>VOGEL SOLUCOES EM TELECOMUNICACOES E INFORMATICA S.A.</t>
        </is>
      </c>
      <c r="D81" s="45" t="n"/>
      <c r="E81" s="1" t="inlineStr">
        <is>
          <t>SERV. LINK INTERNET 01.04</t>
        </is>
      </c>
      <c r="F81" s="52" t="n">
        <v>46073</v>
      </c>
      <c r="G81" s="52" t="n">
        <v>46077</v>
      </c>
      <c r="H81" s="47" t="n">
        <v>200</v>
      </c>
    </row>
    <row r="82" ht="20.1" customHeight="1">
      <c r="B82" s="1" t="inlineStr">
        <is>
          <t>6.03.01.02.02.51 - INTERNET/COMUNICACOES</t>
        </is>
      </c>
      <c r="C82" s="28" t="inlineStr">
        <is>
          <t>VOGEL SOLUCOES EM TELECOMUNICACOES E INFORMATICA S.A.</t>
        </is>
      </c>
      <c r="D82" s="45" t="n"/>
      <c r="E82" s="1" t="inlineStr">
        <is>
          <t>SERV. LINK INTERNET 01.04</t>
        </is>
      </c>
      <c r="F82" s="52" t="n">
        <v>46073</v>
      </c>
      <c r="G82" s="52" t="n">
        <v>46077</v>
      </c>
      <c r="H82" s="47" t="n">
        <v>477.09</v>
      </c>
    </row>
    <row r="83" ht="20.1" customHeight="1">
      <c r="B83" s="1" t="inlineStr">
        <is>
          <t>6.03.01.02.02.31 - MANUTEN. SISTEMAS  INFORMATICA</t>
        </is>
      </c>
      <c r="C83" s="28" t="inlineStr">
        <is>
          <t>GEOLOGISTICA CONSULTORIA E DESENVOLVIMENTO DE SISTEMAS LTDA</t>
        </is>
      </c>
      <c r="D83" s="45" t="n"/>
      <c r="E83" s="1" t="inlineStr">
        <is>
          <t>SERV. MANUT SISTEMA INFOR 1.07</t>
        </is>
      </c>
      <c r="F83" s="52" t="n">
        <v>46058</v>
      </c>
      <c r="G83" s="52" t="n">
        <v>46078</v>
      </c>
      <c r="H83" s="47" t="n">
        <v>2835.5</v>
      </c>
    </row>
    <row r="84" ht="20.1" customHeight="1">
      <c r="B84" s="1" t="inlineStr">
        <is>
          <t>6.03.01.02.02.80 - ASSESSORIA ADMINISTRATIVA</t>
        </is>
      </c>
      <c r="C84" s="28" t="inlineStr">
        <is>
          <t>IRON MOUNTAIN DO BRASIL LTDA</t>
        </is>
      </c>
      <c r="D84" s="45" t="n"/>
      <c r="E84" s="1" t="inlineStr">
        <is>
          <t>SERVICO ADMINISTRATIVO 17.02</t>
        </is>
      </c>
      <c r="F84" s="52" t="n">
        <v>46065</v>
      </c>
      <c r="G84" s="52" t="n">
        <v>46078</v>
      </c>
      <c r="H84" s="47" t="n">
        <v>10.8</v>
      </c>
    </row>
    <row r="85" ht="20.1" customHeight="1">
      <c r="B85" s="1" t="inlineStr">
        <is>
          <t>6.03.01.02.02.80 - ASSESSORIA ADMINISTRATIVA</t>
        </is>
      </c>
      <c r="C85" s="28" t="inlineStr">
        <is>
          <t>IRON MOUNTAIN DO BRASIL LTDA</t>
        </is>
      </c>
      <c r="D85" s="45" t="n"/>
      <c r="E85" s="1" t="inlineStr">
        <is>
          <t>SERVICO ADMINISTRATIVO 17.02</t>
        </is>
      </c>
      <c r="F85" s="52" t="n">
        <v>46065</v>
      </c>
      <c r="G85" s="52" t="n">
        <v>46078</v>
      </c>
      <c r="H85" s="47" t="n">
        <v>10.8</v>
      </c>
    </row>
    <row r="86" ht="20.1" customHeight="1">
      <c r="B86" s="1" t="inlineStr">
        <is>
          <t>6.03.01.02.02.31 - MANUTEN. SISTEMAS  INFORMATICA</t>
        </is>
      </c>
      <c r="C86" s="28" t="inlineStr">
        <is>
          <t>DESK MANAGER SOFTWARE LTDA</t>
        </is>
      </c>
      <c r="D86" s="45" t="n"/>
      <c r="E86" s="1" t="inlineStr">
        <is>
          <t>SERVICO LICENCA PROGRAMA 1.05</t>
        </is>
      </c>
      <c r="F86" s="52" t="n">
        <v>46071</v>
      </c>
      <c r="G86" s="52" t="n">
        <v>46078</v>
      </c>
      <c r="H86" s="47" t="n">
        <v>1382</v>
      </c>
    </row>
    <row r="87" ht="20.1" customHeight="1">
      <c r="B87" s="1" t="inlineStr">
        <is>
          <t>6.03.01.02.02.51 - INTERNET/COMUNICACOES</t>
        </is>
      </c>
      <c r="C87" s="28" t="inlineStr">
        <is>
          <t>FASTSIGNAL COMERCIO E SERVICOS DE INFORMATICA LTDA - ME</t>
        </is>
      </c>
      <c r="D87" s="45" t="n"/>
      <c r="E87" s="1" t="inlineStr">
        <is>
          <t>SERV. DE INTERNET 1.07</t>
        </is>
      </c>
      <c r="F87" s="52" t="n">
        <v>46077</v>
      </c>
      <c r="G87" s="52" t="n">
        <v>46078</v>
      </c>
      <c r="H87" s="47" t="n">
        <v>1599.9</v>
      </c>
    </row>
    <row r="88" ht="20.1" customHeight="1">
      <c r="B88" s="1" t="inlineStr">
        <is>
          <t>6.03.01.02.02.51 - INTERNET/COMUNICACOES</t>
        </is>
      </c>
      <c r="C88" s="28" t="inlineStr">
        <is>
          <t>FASTSIGNAL COMERCIO E SERVICOS DE INFORMATICA LTDA</t>
        </is>
      </c>
      <c r="D88" s="45" t="n"/>
      <c r="E88" s="1" t="inlineStr">
        <is>
          <t>SERV. DE INTERNET 1.07</t>
        </is>
      </c>
      <c r="F88" s="52" t="n">
        <v>46077</v>
      </c>
      <c r="G88" s="52" t="n">
        <v>46079</v>
      </c>
      <c r="H88" s="47" t="n">
        <v>436.85</v>
      </c>
    </row>
    <row r="89" ht="20.1" customHeight="1">
      <c r="B89" s="1" t="inlineStr">
        <is>
          <t>6.03.01.02.02.51 - INTERNET/COMUNICACOES</t>
        </is>
      </c>
      <c r="C89" s="28" t="inlineStr">
        <is>
          <t>FASTSIGNAL COMERCIO E SERVICOS DE INFORMATICA LTDA</t>
        </is>
      </c>
      <c r="D89" s="45" t="n"/>
      <c r="E89" s="1" t="inlineStr">
        <is>
          <t>SERV. DE INTERNET 1.07</t>
        </is>
      </c>
      <c r="F89" s="52" t="n">
        <v>46077</v>
      </c>
      <c r="G89" s="52" t="n">
        <v>46079</v>
      </c>
      <c r="H89" s="47" t="n">
        <v>436.85</v>
      </c>
    </row>
    <row r="90" ht="20.1" customHeight="1">
      <c r="B90" s="1" t="inlineStr">
        <is>
          <t>6.03.01.02.02.77 - ASSESSORIA E SERVICO INFORMATICA</t>
        </is>
      </c>
      <c r="C90" s="28" t="inlineStr">
        <is>
          <t>BRFIBRA TELECOMUNICACOES LTDA</t>
        </is>
      </c>
      <c r="D90" s="45" t="n"/>
      <c r="E90" s="1" t="inlineStr">
        <is>
          <t>PROCESSAMENTO DADOS 1.03</t>
        </is>
      </c>
      <c r="F90" s="52" t="n">
        <v>46077</v>
      </c>
      <c r="G90" s="52" t="n">
        <v>46079</v>
      </c>
      <c r="H90" s="47" t="n">
        <v>1000</v>
      </c>
    </row>
    <row r="91" ht="20.1" customHeight="1">
      <c r="B91" s="1" t="inlineStr">
        <is>
          <t>6.03.01.02.02.77 - ASSESSORIA E SERVICO INFORMATICA</t>
        </is>
      </c>
      <c r="C91" s="28" t="inlineStr">
        <is>
          <t>BRFIBRA TELECOMUNICACOES LTDA</t>
        </is>
      </c>
      <c r="D91" s="45" t="n"/>
      <c r="E91" s="1" t="inlineStr">
        <is>
          <t>PROCESSAMENTO DADOS 1.03</t>
        </is>
      </c>
      <c r="F91" s="52" t="n">
        <v>46077</v>
      </c>
      <c r="G91" s="52" t="n">
        <v>46079</v>
      </c>
      <c r="H91" s="47" t="n">
        <v>1000</v>
      </c>
    </row>
    <row r="92" ht="20.1" customHeight="1">
      <c r="B92" s="1" t="inlineStr">
        <is>
          <t>6.03.01.02.02.51 - INTERNET/COMUNICACOES</t>
        </is>
      </c>
      <c r="C92" s="28" t="inlineStr">
        <is>
          <t>VOGEL SOLUCOES EM TELECOMUNICACOES E INFORMATICA S.A.</t>
        </is>
      </c>
      <c r="D92" s="45" t="n"/>
      <c r="E92" s="1" t="inlineStr">
        <is>
          <t>SERV. LINK INTERNET 01.04</t>
        </is>
      </c>
      <c r="F92" s="52" t="n">
        <v>46083</v>
      </c>
      <c r="G92" s="52" t="n">
        <v>46081</v>
      </c>
      <c r="H92" s="47" t="n">
        <v>132.4</v>
      </c>
    </row>
    <row r="93" ht="20.1" customHeight="1">
      <c r="B93" s="1" t="inlineStr">
        <is>
          <t>6.03.01.02.02.51 - INTERNET/COMUNICACOES</t>
        </is>
      </c>
      <c r="C93" s="28" t="inlineStr">
        <is>
          <t>VOGEL SOLUCOES EM TELECOMUNICACOES E INFORMATICA S.A.</t>
        </is>
      </c>
      <c r="D93" s="45" t="n"/>
      <c r="E93" s="1" t="inlineStr">
        <is>
          <t>SERV. LINK INTERNET 01.04</t>
        </is>
      </c>
      <c r="F93" s="52" t="n">
        <v>46083</v>
      </c>
      <c r="G93" s="52" t="n">
        <v>46081</v>
      </c>
      <c r="H93" s="47" t="n">
        <v>252.67</v>
      </c>
    </row>
    <row r="94" ht="20.1" customHeight="1">
      <c r="B94" s="13" t="n"/>
      <c r="C94" s="13" t="n"/>
      <c r="D94" s="13" t="n"/>
      <c r="F94" s="40" t="inlineStr">
        <is>
          <t>TOTAL DO MÊS</t>
        </is>
      </c>
      <c r="G94" s="45" t="n"/>
      <c r="H94" s="48">
        <f>SUM(H19:H93)</f>
        <v/>
      </c>
    </row>
    <row r="95"/>
    <row r="96" ht="15" customHeight="1">
      <c r="F96" s="36" t="inlineStr">
        <is>
          <t>SALDO DO BUDGET MENSAL</t>
        </is>
      </c>
      <c r="G96" s="45" t="n"/>
      <c r="H96" s="48">
        <f>IF(H13=0,0,H13-H94)</f>
        <v/>
      </c>
    </row>
    <row r="97" ht="15" customHeight="1">
      <c r="F97" s="49" t="inlineStr">
        <is>
          <t>%BUDGET CONSUMIDO / MÊS</t>
        </is>
      </c>
      <c r="G97" s="45" t="n"/>
      <c r="H97" s="21">
        <f>IF(H13=0,0,H94/H13)</f>
        <v/>
      </c>
    </row>
    <row r="98"/>
    <row r="99"/>
    <row r="100" ht="15" customHeight="1">
      <c r="F100" s="36" t="inlineStr">
        <is>
          <t>CONSUMO ACUMULADO ATUAL</t>
        </is>
      </c>
      <c r="G100" s="45" t="n"/>
      <c r="H100" s="48">
        <f>H15+H94</f>
        <v/>
      </c>
    </row>
    <row r="101" ht="15" customHeight="1">
      <c r="F101" s="36" t="inlineStr">
        <is>
          <t>SALDO DO BUDGET ACUMULADO</t>
        </is>
      </c>
      <c r="G101" s="45" t="n"/>
      <c r="H101" s="48">
        <f>H11-H100</f>
        <v/>
      </c>
    </row>
    <row r="102" ht="15" customHeight="1">
      <c r="F102" s="36" t="inlineStr">
        <is>
          <t>% BUDGET CONSUMIDO / ANO</t>
        </is>
      </c>
      <c r="G102" s="45" t="n"/>
      <c r="H102" s="21">
        <f>IFERROR(H100/H11,0)</f>
        <v/>
      </c>
    </row>
    <row r="103"/>
    <row r="104"/>
    <row r="105" ht="36" customHeight="1"/>
    <row r="106"/>
  </sheetData>
  <mergeCells count="90">
    <mergeCell ref="C62:D62"/>
    <mergeCell ref="C89:D89"/>
    <mergeCell ref="B102:C102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F96:G96"/>
    <mergeCell ref="C67:D67"/>
    <mergeCell ref="C19:D19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F94:G94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B105:C105"/>
    <mergeCell ref="C20:D20"/>
    <mergeCell ref="C29:D29"/>
    <mergeCell ref="C85:D85"/>
    <mergeCell ref="C65:D65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F100:G100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87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20.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319235.1601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'Fevereiro'!H100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6.03.01.02.02.60 - MANUT. EQUP. INFORMATICA</t>
        </is>
      </c>
      <c r="C19" s="28" t="inlineStr">
        <is>
          <t>HELPY SERVICOS LTDA</t>
        </is>
      </c>
      <c r="D19" s="45" t="n"/>
      <c r="E19" s="1" t="inlineStr">
        <is>
          <t>MONTAGEM/ASSIT TECNICA 14.01</t>
        </is>
      </c>
      <c r="F19" s="52" t="n">
        <v>46090</v>
      </c>
      <c r="G19" s="52" t="n">
        <v>46090</v>
      </c>
      <c r="H19" s="47" t="n">
        <v>5455.51</v>
      </c>
    </row>
    <row r="20" ht="20.1" customHeight="1">
      <c r="B20" s="1" t="inlineStr">
        <is>
          <t>6.03.01.02.02.60 - MANUT. EQUP. INFORMATICA</t>
        </is>
      </c>
      <c r="C20" s="28" t="inlineStr">
        <is>
          <t>HELPY SERVICOS LTDA</t>
        </is>
      </c>
      <c r="D20" s="45" t="n"/>
      <c r="E20" s="1" t="inlineStr">
        <is>
          <t>MONTAGEM/ASSIT TECNICA 14.01</t>
        </is>
      </c>
      <c r="F20" s="52" t="n">
        <v>46092</v>
      </c>
      <c r="G20" s="52" t="n">
        <v>46092</v>
      </c>
      <c r="H20" s="47" t="n">
        <v>5455.51</v>
      </c>
    </row>
    <row r="21" ht="20.1" customHeight="1">
      <c r="B21" s="1" t="inlineStr">
        <is>
          <t>6.03.01.02.02.68 - BRINDES E DOACOES/INDEDUTIVEL</t>
        </is>
      </c>
      <c r="C21" s="28" t="inlineStr">
        <is>
          <t>NETWORK CONNECT BRASIL COMERCIOPRODUTOS ELETRONICOS LTDA EPP</t>
        </is>
      </c>
      <c r="D21" s="45" t="n"/>
      <c r="E21" s="1" t="inlineStr">
        <is>
          <t>TV 50'</t>
        </is>
      </c>
      <c r="F21" s="52" t="n">
        <v>46093</v>
      </c>
      <c r="G21" s="52" t="n">
        <v>46093</v>
      </c>
      <c r="H21" s="47" t="n">
        <v>2699</v>
      </c>
    </row>
    <row r="22" ht="20.1" customHeight="1">
      <c r="B22" s="1" t="inlineStr">
        <is>
          <t>6.03.01.02.02.13 - MANUTENCAO IMOBILIZADO</t>
        </is>
      </c>
      <c r="C22" s="28" t="inlineStr">
        <is>
          <t>APICE SISTEMAS DE ENERGIA LTDA</t>
        </is>
      </c>
      <c r="D22" s="45" t="n"/>
      <c r="E22" s="1" t="inlineStr">
        <is>
          <t>SERVICO MANUTENCAO DE EQUIPAMENTO 14.01</t>
        </is>
      </c>
      <c r="F22" s="52" t="n">
        <v>46094</v>
      </c>
      <c r="G22" s="52" t="n">
        <v>46094</v>
      </c>
      <c r="H22" s="47" t="n">
        <v>3450.12</v>
      </c>
    </row>
    <row r="23" ht="20.1" customHeight="1">
      <c r="B23" s="1" t="inlineStr">
        <is>
          <t>6.03.01.02.02.31 - MANUTEN. SISTEMAS  INFORMATICA</t>
        </is>
      </c>
      <c r="C23" s="28" t="inlineStr">
        <is>
          <t>AXWAY SOFTWARE DO BRASIL LTDA.</t>
        </is>
      </c>
      <c r="D23" s="45" t="n"/>
      <c r="E23" s="1" t="inlineStr">
        <is>
          <t>SERV. MANUT SISTEMA INFOR 1.07</t>
        </is>
      </c>
      <c r="F23" s="52" t="n">
        <v>46097</v>
      </c>
      <c r="G23" s="52" t="n">
        <v>46097</v>
      </c>
      <c r="H23" s="47" t="n">
        <v>7765.19</v>
      </c>
    </row>
    <row r="24" ht="20.1" customHeight="1">
      <c r="B24" s="1" t="inlineStr">
        <is>
          <t>6.03.01.02.02.51 - INTERNET/COMUNICACOES</t>
        </is>
      </c>
      <c r="C24" s="28" t="inlineStr">
        <is>
          <t>RODOVIA SOLUCOES TECNOLOGICAS LTDA</t>
        </is>
      </c>
      <c r="D24" s="45" t="n"/>
      <c r="E24" s="1" t="inlineStr">
        <is>
          <t>SUPORTE TECNICO T.I. 1.07</t>
        </is>
      </c>
      <c r="F24" s="52" t="n">
        <v>46091</v>
      </c>
      <c r="G24" s="52" t="n">
        <v>46100</v>
      </c>
      <c r="H24" s="47" t="n">
        <v>2730.6</v>
      </c>
    </row>
    <row r="25" ht="20.1" customHeight="1">
      <c r="B25" s="1" t="inlineStr">
        <is>
          <t>6.03.01.02.02.13 - MANUTENCAO IMOBILIZADO</t>
        </is>
      </c>
      <c r="C25" s="28" t="inlineStr">
        <is>
          <t>APICE SISTEMAS DE ENERGIA LTDA</t>
        </is>
      </c>
      <c r="D25" s="45" t="n"/>
      <c r="E25" s="1" t="inlineStr">
        <is>
          <t>SERVICO MANUTENCAO DE EQUIPAMENTO 14.01</t>
        </is>
      </c>
      <c r="F25" s="52" t="n">
        <v>46097</v>
      </c>
      <c r="G25" s="52" t="n">
        <v>46101</v>
      </c>
      <c r="H25" s="47" t="n">
        <v>3842.45</v>
      </c>
    </row>
    <row r="26" ht="20.1" customHeight="1">
      <c r="B26" s="1" t="inlineStr">
        <is>
          <t>6.03.01.02.02.31 - MANUTEN. SISTEMAS  INFORMATICA</t>
        </is>
      </c>
      <c r="C26" s="28" t="inlineStr">
        <is>
          <t>CURUPIRA S.A</t>
        </is>
      </c>
      <c r="D26" s="45" t="n"/>
      <c r="E26" s="1" t="inlineStr">
        <is>
          <t>SERVICO LICENCA PROGRAMA 1.05</t>
        </is>
      </c>
      <c r="F26" s="52" t="n">
        <v>46097</v>
      </c>
      <c r="G26" s="52" t="n">
        <v>46104</v>
      </c>
      <c r="H26" s="47" t="n">
        <v>7.11</v>
      </c>
    </row>
    <row r="27" ht="20.1" customHeight="1">
      <c r="B27" s="1" t="inlineStr">
        <is>
          <t>6.03.01.02.02.31 - MANUTEN. SISTEMAS  INFORMATICA</t>
        </is>
      </c>
      <c r="C27" s="28" t="inlineStr">
        <is>
          <t>CURUPIRA S.A</t>
        </is>
      </c>
      <c r="D27" s="45" t="n"/>
      <c r="E27" s="1" t="inlineStr">
        <is>
          <t>SERVICO LICENCA PROGRAMA 1.05</t>
        </is>
      </c>
      <c r="F27" s="52" t="n">
        <v>46097</v>
      </c>
      <c r="G27" s="52" t="n">
        <v>46104</v>
      </c>
      <c r="H27" s="47" t="n">
        <v>2981</v>
      </c>
    </row>
    <row r="28" ht="20.1" customHeight="1">
      <c r="B28" s="1" t="inlineStr">
        <is>
          <t>6.03.01.02.02.31 - MANUTEN. SISTEMAS  INFORMATICA</t>
        </is>
      </c>
      <c r="C28" s="28" t="inlineStr">
        <is>
          <t>INGRAM MICRO BRASIL LTDA</t>
        </is>
      </c>
      <c r="D28" s="45" t="n"/>
      <c r="E28" s="1" t="inlineStr">
        <is>
          <t>SERVICO LICENCA PROGRAMA 1.05</t>
        </is>
      </c>
      <c r="F28" s="52" t="n">
        <v>46097</v>
      </c>
      <c r="G28" s="52" t="n">
        <v>46104</v>
      </c>
      <c r="H28" s="47" t="n">
        <v>8291.440000000001</v>
      </c>
    </row>
    <row r="29" ht="20.1" customHeight="1">
      <c r="B29" s="1" t="inlineStr">
        <is>
          <t>6.03.01.02.02.51 - INTERNET/COMUNICACOES</t>
        </is>
      </c>
      <c r="C29" s="28" t="inlineStr">
        <is>
          <t>INGRAM MICRO BRASIL LTDA</t>
        </is>
      </c>
      <c r="D29" s="45" t="n"/>
      <c r="E29" s="1" t="inlineStr">
        <is>
          <t>SUPORTE TECNICO T.I. 1.07</t>
        </is>
      </c>
      <c r="F29" s="52" t="n">
        <v>46097</v>
      </c>
      <c r="G29" s="52" t="n">
        <v>46104</v>
      </c>
      <c r="H29" s="47" t="n">
        <v>1990.71</v>
      </c>
    </row>
    <row r="30" ht="20.1" customHeight="1">
      <c r="B30" s="1" t="inlineStr">
        <is>
          <t>6.03.01.02.02.51 - INTERNET/COMUNICACOES</t>
        </is>
      </c>
      <c r="C30" s="28" t="inlineStr">
        <is>
          <t>VOGEL SOLUCOES EM TELECOMUNICACOES E INFORMATICA S.A.</t>
        </is>
      </c>
      <c r="D30" s="45" t="n"/>
      <c r="E30" s="1" t="inlineStr">
        <is>
          <t>SERV. LINK INTERNET 01.04</t>
        </is>
      </c>
      <c r="F30" s="52" t="n">
        <v>46097</v>
      </c>
      <c r="G30" s="52" t="n">
        <v>46104</v>
      </c>
      <c r="H30" s="47" t="n">
        <v>475.84</v>
      </c>
    </row>
    <row r="31" ht="20.1" customHeight="1">
      <c r="B31" s="1" t="inlineStr">
        <is>
          <t>6.03.01.02.02.51 - INTERNET/COMUNICACOES</t>
        </is>
      </c>
      <c r="C31" s="28" t="inlineStr">
        <is>
          <t>VOGEL SOLUCOES EM TELECOMUNICACOES E INFORMATICA S.A.</t>
        </is>
      </c>
      <c r="D31" s="45" t="n"/>
      <c r="E31" s="1" t="inlineStr">
        <is>
          <t>SERV. LINK INTERNET 01.04</t>
        </is>
      </c>
      <c r="F31" s="52" t="n">
        <v>46097</v>
      </c>
      <c r="G31" s="52" t="n">
        <v>46104</v>
      </c>
      <c r="H31" s="47" t="n">
        <v>1011.02</v>
      </c>
    </row>
    <row r="32" ht="20.1" customHeight="1">
      <c r="B32" s="1" t="inlineStr">
        <is>
          <t>6.03.01.02.02.77 - ASSESSORIA E SERVICO INFORMATICA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52" t="n">
        <v>46097</v>
      </c>
      <c r="G32" s="52" t="n">
        <v>46104</v>
      </c>
      <c r="H32" s="47" t="n">
        <v>138.09</v>
      </c>
    </row>
    <row r="33" ht="20.1" customHeight="1">
      <c r="B33" s="1" t="inlineStr">
        <is>
          <t>6.03.01.05.01.02 - JUROS PAGOS</t>
        </is>
      </c>
      <c r="C33" s="28" t="inlineStr">
        <is>
          <t>VOGEL SOLUCOES EM TELECOMUNICACOES E INFORMATICA S.A.</t>
        </is>
      </c>
      <c r="D33" s="45" t="n"/>
      <c r="E33" s="1" t="inlineStr">
        <is>
          <t>SERVICO DESPESAS COM JUROS PAGO 10.01</t>
        </is>
      </c>
      <c r="F33" s="52" t="n">
        <v>46097</v>
      </c>
      <c r="G33" s="52" t="n">
        <v>46104</v>
      </c>
      <c r="H33" s="47" t="n">
        <v>78.28</v>
      </c>
    </row>
    <row r="34" ht="20.1" customHeight="1">
      <c r="B34" s="1" t="inlineStr">
        <is>
          <t>6.03.01.02.02.54 - VIAGENS</t>
        </is>
      </c>
      <c r="C34" s="28" t="inlineStr">
        <is>
          <t>ORLEANS VIAGENS E TURISMO LTDA - ME</t>
        </is>
      </c>
      <c r="D34" s="45" t="n"/>
      <c r="E34" s="1" t="inlineStr">
        <is>
          <t>VIAGENS 9.01</t>
        </is>
      </c>
      <c r="F34" s="52" t="n">
        <v>46099</v>
      </c>
      <c r="G34" s="52" t="n">
        <v>46104</v>
      </c>
      <c r="H34" s="47" t="n">
        <v>920.29</v>
      </c>
    </row>
    <row r="35" ht="20.1" customHeight="1">
      <c r="B35" s="1" t="inlineStr">
        <is>
          <t>6.03.01.02.02.51 - INTERNET/COMUNICACOES</t>
        </is>
      </c>
      <c r="C35" s="28" t="inlineStr">
        <is>
          <t>CENTURY TELECOM LTDA</t>
        </is>
      </c>
      <c r="D35" s="45" t="n"/>
      <c r="E35" s="1" t="inlineStr">
        <is>
          <t>SERV. LINK INTERNET 01.04</t>
        </is>
      </c>
      <c r="F35" s="52" t="n">
        <v>46100</v>
      </c>
      <c r="G35" s="52" t="n">
        <v>46104</v>
      </c>
      <c r="H35" s="47" t="n">
        <v>116.51</v>
      </c>
    </row>
    <row r="36" ht="20.1" customHeight="1">
      <c r="B36" s="1" t="inlineStr">
        <is>
          <t>6.03.01.02.02.51 - INTERNET/COMUNICACOES</t>
        </is>
      </c>
      <c r="C36" s="28" t="inlineStr">
        <is>
          <t>CENTURY TELECOM LTDA</t>
        </is>
      </c>
      <c r="D36" s="45" t="n"/>
      <c r="E36" s="1" t="inlineStr">
        <is>
          <t>SERV. LINK INTERNET 01.04</t>
        </is>
      </c>
      <c r="F36" s="52" t="n">
        <v>46100</v>
      </c>
      <c r="G36" s="52" t="n">
        <v>46104</v>
      </c>
      <c r="H36" s="47" t="n">
        <v>271.88</v>
      </c>
    </row>
    <row r="37" ht="20.1" customHeight="1">
      <c r="B37" s="1" t="inlineStr">
        <is>
          <t>6.03.01.02.02.51 - INTERNET/COMUNICACOES</t>
        </is>
      </c>
      <c r="C37" s="28" t="inlineStr">
        <is>
          <t>VOIPGLOBE SERVICOS DE COMUNICACAO MULTIMIDIA VIA INTERNET LT</t>
        </is>
      </c>
      <c r="D37" s="45" t="n"/>
      <c r="E37" s="1" t="inlineStr">
        <is>
          <t>SERV. LINK INTERNET 01.04</t>
        </is>
      </c>
      <c r="F37" s="52" t="n">
        <v>46104</v>
      </c>
      <c r="G37" s="52" t="n">
        <v>46104</v>
      </c>
      <c r="H37" s="47" t="n">
        <v>651</v>
      </c>
    </row>
    <row r="38" ht="20.1" customHeight="1">
      <c r="B38" s="1" t="inlineStr">
        <is>
          <t>6.03.01.02.02.31 - MANUTEN. SISTEMAS  INFORMATICA</t>
        </is>
      </c>
      <c r="C38" s="28" t="inlineStr">
        <is>
          <t>DESK MANAGER SOFTWARE LTDA</t>
        </is>
      </c>
      <c r="D38" s="45" t="n"/>
      <c r="E38" s="1" t="inlineStr">
        <is>
          <t>SERVICO LICENCA PROGRAMA 1.05</t>
        </is>
      </c>
      <c r="F38" s="52" t="n">
        <v>46104</v>
      </c>
      <c r="G38" s="52" t="n">
        <v>46106</v>
      </c>
      <c r="H38" s="47" t="n">
        <v>1382</v>
      </c>
    </row>
    <row r="39" ht="20.1" customHeight="1">
      <c r="B39" s="1" t="inlineStr">
        <is>
          <t>6.03.01.02.02.31 - MANUTEN. SISTEMAS  INFORMATICA</t>
        </is>
      </c>
      <c r="C39" s="28" t="inlineStr">
        <is>
          <t>ISRAEL ROCHA CUSTODIO &amp; CIA LTDA</t>
        </is>
      </c>
      <c r="D39" s="45" t="n"/>
      <c r="E39" s="1" t="inlineStr">
        <is>
          <t>ANALISE DESENVOLVIMENTO SISTEMA 1.01</t>
        </is>
      </c>
      <c r="F39" s="52" t="n">
        <v>46104</v>
      </c>
      <c r="G39" s="52" t="n">
        <v>46106</v>
      </c>
      <c r="H39" s="47" t="n">
        <v>2400</v>
      </c>
    </row>
    <row r="40" ht="20.1" customHeight="1">
      <c r="B40" s="1" t="inlineStr">
        <is>
          <t>6.03.01.02.02.77 - ASSESSORIA E SERVICO INFORMATICA</t>
        </is>
      </c>
      <c r="C40" s="28" t="inlineStr">
        <is>
          <t>BRASILSITE TELECOMUNICACOES LTDA</t>
        </is>
      </c>
      <c r="D40" s="45" t="n"/>
      <c r="E40" s="1" t="inlineStr">
        <is>
          <t>PROCESSAMENTO DADOS 1.03</t>
        </is>
      </c>
      <c r="F40" s="52" t="n">
        <v>46104</v>
      </c>
      <c r="G40" s="52" t="n">
        <v>46106</v>
      </c>
      <c r="H40" s="47" t="n">
        <v>98.94</v>
      </c>
    </row>
    <row r="41" ht="20.1" customHeight="1">
      <c r="B41" s="1" t="inlineStr">
        <is>
          <t>6.03.01.02.02.51 - INTERNET/COMUNICACOES</t>
        </is>
      </c>
      <c r="C41" s="28" t="inlineStr">
        <is>
          <t>WS-NET INTERNET E DADOS LTDA</t>
        </is>
      </c>
      <c r="D41" s="45" t="n"/>
      <c r="E41" s="1" t="inlineStr">
        <is>
          <t>SERV. DE INTERNET 1.07</t>
        </is>
      </c>
      <c r="F41" s="52" t="n">
        <v>46105</v>
      </c>
      <c r="G41" s="52" t="n">
        <v>46106</v>
      </c>
      <c r="H41" s="47" t="n">
        <v>22.5</v>
      </c>
    </row>
    <row r="42" ht="20.1" customHeight="1">
      <c r="B42" s="1" t="inlineStr">
        <is>
          <t>6.03.01.02.02.51 - INTERNET/COMUNICACOES</t>
        </is>
      </c>
      <c r="C42" s="28" t="inlineStr">
        <is>
          <t>WS-NET INTERNET E DADOS LTDA</t>
        </is>
      </c>
      <c r="D42" s="45" t="n"/>
      <c r="E42" s="1" t="inlineStr">
        <is>
          <t>SERV. DE INTERNET 1.07</t>
        </is>
      </c>
      <c r="F42" s="52" t="n">
        <v>46105</v>
      </c>
      <c r="G42" s="52" t="n">
        <v>46106</v>
      </c>
      <c r="H42" s="47" t="n">
        <v>577.4</v>
      </c>
    </row>
    <row r="43" ht="20.1" customHeight="1">
      <c r="B43" s="1" t="inlineStr">
        <is>
          <t>6.03.01.02.02.77 - ASSESSORIA E SERVICO INFORMATICA</t>
        </is>
      </c>
      <c r="C43" s="28" t="inlineStr">
        <is>
          <t>BRFIBRA TELECOMUNICACOES LTDA</t>
        </is>
      </c>
      <c r="D43" s="45" t="n"/>
      <c r="E43" s="1" t="inlineStr">
        <is>
          <t>PROCESSAMENTO DADOS 1.03</t>
        </is>
      </c>
      <c r="F43" s="52" t="n">
        <v>46107</v>
      </c>
      <c r="G43" s="52" t="n">
        <v>46107</v>
      </c>
      <c r="H43" s="47" t="n">
        <v>1000</v>
      </c>
    </row>
    <row r="44" ht="20.1" customHeight="1">
      <c r="B44" s="1" t="inlineStr">
        <is>
          <t>6.03.01.02.02.77 - ASSESSORIA E SERVICO INFORMATICA</t>
        </is>
      </c>
      <c r="C44" s="28" t="inlineStr">
        <is>
          <t>BRFIBRA TELECOMUNICACOES LTDA</t>
        </is>
      </c>
      <c r="D44" s="45" t="n"/>
      <c r="E44" s="1" t="inlineStr">
        <is>
          <t>PROCESSAMENTO DADOS 1.03</t>
        </is>
      </c>
      <c r="F44" s="52" t="n">
        <v>46107</v>
      </c>
      <c r="G44" s="52" t="n">
        <v>46107</v>
      </c>
      <c r="H44" s="47" t="n">
        <v>1000</v>
      </c>
    </row>
    <row r="45" ht="20.1" customHeight="1">
      <c r="B45" s="1" t="inlineStr">
        <is>
          <t>6.03.01.02.02.51 - INTERNET/COMUNICACOES</t>
        </is>
      </c>
      <c r="C45" s="28" t="inlineStr">
        <is>
          <t>GO TELECOM EMPREENDIMENTOS LTDA</t>
        </is>
      </c>
      <c r="D45" s="45" t="n"/>
      <c r="E45" s="1" t="inlineStr">
        <is>
          <t>SUPORTE TECNICO T.I. 1.07</t>
        </is>
      </c>
      <c r="F45" s="52" t="n">
        <v>46104</v>
      </c>
      <c r="G45" s="52" t="n">
        <v>46108</v>
      </c>
      <c r="H45" s="47" t="n">
        <v>650</v>
      </c>
    </row>
    <row r="46" ht="20.1" customHeight="1">
      <c r="B46" s="1" t="inlineStr">
        <is>
          <t>6.03.01.02.02.51 - INTERNET/COMUNICACOES</t>
        </is>
      </c>
      <c r="C46" s="28" t="inlineStr">
        <is>
          <t>GO TELECOM EMPREENDIMENTOS LTDA</t>
        </is>
      </c>
      <c r="D46" s="45" t="n"/>
      <c r="E46" s="1" t="inlineStr">
        <is>
          <t>SUPORTE TECNICO T.I. 1.07</t>
        </is>
      </c>
      <c r="F46" s="52" t="n">
        <v>46104</v>
      </c>
      <c r="G46" s="52" t="n">
        <v>46108</v>
      </c>
      <c r="H46" s="47" t="n">
        <v>650</v>
      </c>
    </row>
    <row r="47" ht="20.1" customHeight="1">
      <c r="B47" s="1" t="inlineStr">
        <is>
          <t>6.03.01.02.02.51 - INTERNET/COMUNICACOES</t>
        </is>
      </c>
      <c r="C47" s="28" t="inlineStr">
        <is>
          <t>VOIPGLOBE SERVICOS DE COMUNICACAO MULTIMIDIA VIA INTERNET LT</t>
        </is>
      </c>
      <c r="D47" s="45" t="n"/>
      <c r="E47" s="1" t="inlineStr">
        <is>
          <t>SUPORTE TECNICO T.I. 1.07</t>
        </is>
      </c>
      <c r="F47" s="52" t="n">
        <v>46104</v>
      </c>
      <c r="G47" s="52" t="n">
        <v>46108</v>
      </c>
      <c r="H47" s="47" t="n">
        <v>651</v>
      </c>
    </row>
    <row r="48" ht="20.1" customHeight="1">
      <c r="B48" s="1" t="inlineStr">
        <is>
          <t>6.03.01.02.02.51 - INTERNET/COMUNICACOES</t>
        </is>
      </c>
      <c r="C48" s="28" t="inlineStr">
        <is>
          <t>VOIPGLOBE SERVICOS DE COMUNICACAO MULTIMIDIA VIA INTERNET LT</t>
        </is>
      </c>
      <c r="D48" s="45" t="n"/>
      <c r="E48" s="1" t="inlineStr">
        <is>
          <t>SUPORTE TECNICO T.I. 1.07</t>
        </is>
      </c>
      <c r="F48" s="52" t="n">
        <v>46104</v>
      </c>
      <c r="G48" s="52" t="n">
        <v>46108</v>
      </c>
      <c r="H48" s="47" t="n">
        <v>651</v>
      </c>
    </row>
    <row r="49" ht="20.1" customHeight="1">
      <c r="B49" s="1" t="inlineStr">
        <is>
          <t>6.03.01.02.02.51 - INTERNET/COMUNICACOES</t>
        </is>
      </c>
      <c r="C49" s="28" t="inlineStr">
        <is>
          <t>FASTSIGNAL COMERCIO E SERVICOS DE INFORMATICA LTDA</t>
        </is>
      </c>
      <c r="D49" s="45" t="n"/>
      <c r="E49" s="1" t="inlineStr">
        <is>
          <t>SERV. DE INTERNET 1.07</t>
        </is>
      </c>
      <c r="F49" s="52" t="n">
        <v>46107</v>
      </c>
      <c r="G49" s="52" t="n">
        <v>46108</v>
      </c>
      <c r="H49" s="47" t="n">
        <v>436.85</v>
      </c>
    </row>
    <row r="50" ht="20.1" customHeight="1">
      <c r="B50" s="1" t="inlineStr">
        <is>
          <t>6.03.01.02.02.77 - ASSESSORIA E SERVICO INFORMATICA</t>
        </is>
      </c>
      <c r="C50" s="28" t="inlineStr">
        <is>
          <t>BRFIBRA TELECOMUNICACOES LTDA</t>
        </is>
      </c>
      <c r="D50" s="45" t="n"/>
      <c r="E50" s="1" t="inlineStr">
        <is>
          <t>PROCESSAMENTO DADOS 1.03</t>
        </is>
      </c>
      <c r="F50" s="52" t="n">
        <v>46107</v>
      </c>
      <c r="G50" s="52" t="n">
        <v>46108</v>
      </c>
      <c r="H50" s="47" t="n">
        <v>900</v>
      </c>
    </row>
    <row r="51" ht="20.1" customHeight="1">
      <c r="B51" s="1" t="inlineStr">
        <is>
          <t>6.03.01.02.02.31 - MANUTEN. SISTEMAS  INFORMATICA</t>
        </is>
      </c>
      <c r="C51" s="28" t="inlineStr">
        <is>
          <t>AXWAY SOFTWARE DO BRASIL LTDA.</t>
        </is>
      </c>
      <c r="D51" s="45" t="n"/>
      <c r="E51" s="1" t="inlineStr">
        <is>
          <t>SERV. MANUT SISTEMA INFOR 1.07</t>
        </is>
      </c>
      <c r="F51" s="52" t="n">
        <v>46073</v>
      </c>
      <c r="G51" s="52" t="n">
        <v>46109</v>
      </c>
      <c r="H51" s="47" t="n">
        <v>7765.19</v>
      </c>
    </row>
    <row r="52" ht="20.1" customHeight="1">
      <c r="B52" s="1" t="inlineStr">
        <is>
          <t>6.03.01.02.02.31 - MANUTEN. SISTEMAS  INFORMATICA</t>
        </is>
      </c>
      <c r="C52" s="28" t="inlineStr">
        <is>
          <t>AXWAY SOFTWARE DO BRASIL LTDA.</t>
        </is>
      </c>
      <c r="D52" s="45" t="n"/>
      <c r="E52" s="1" t="inlineStr">
        <is>
          <t>SERV. MANUT SISTEMA INFOR 1.07</t>
        </is>
      </c>
      <c r="F52" s="52" t="n">
        <v>46073</v>
      </c>
      <c r="G52" s="52" t="n">
        <v>46109</v>
      </c>
      <c r="H52" s="47" t="n">
        <v>7765.19</v>
      </c>
    </row>
    <row r="53" ht="20.1" customHeight="1">
      <c r="B53" s="1" t="inlineStr">
        <is>
          <t>6.03.01.02.02.51 - INTERNET/COMUNICACOES</t>
        </is>
      </c>
      <c r="C53" s="28" t="inlineStr">
        <is>
          <t>FASTSIGNAL COMERCIO E SERVICOS DE INFORMATICA LTDA - ME</t>
        </is>
      </c>
      <c r="D53" s="45" t="n"/>
      <c r="E53" s="1" t="inlineStr">
        <is>
          <t>SERV. DE INTERNET 1.07</t>
        </is>
      </c>
      <c r="F53" s="52" t="n">
        <v>46107</v>
      </c>
      <c r="G53" s="52" t="n">
        <v>46109</v>
      </c>
      <c r="H53" s="47" t="n">
        <v>1599.9</v>
      </c>
    </row>
    <row r="54" ht="20.1" customHeight="1">
      <c r="B54" s="1" t="inlineStr">
        <is>
          <t>6.03.01.02.02.51 - INTERNET/COMUNICACOES</t>
        </is>
      </c>
      <c r="C54" s="28" t="inlineStr">
        <is>
          <t>VOIPGLOBE SERVICOS DE COMUNICACAO MULTIMIDIA VIA INTERNET LT</t>
        </is>
      </c>
      <c r="D54" s="45" t="n"/>
      <c r="E54" s="1" t="inlineStr">
        <is>
          <t>SUPORTE TECNICO T.I. 1.07</t>
        </is>
      </c>
      <c r="F54" s="52" t="n">
        <v>46105</v>
      </c>
      <c r="G54" s="52" t="n">
        <v>46110</v>
      </c>
      <c r="H54" s="47" t="n">
        <v>1162</v>
      </c>
    </row>
    <row r="55" ht="20.1" customHeight="1">
      <c r="B55" s="1" t="inlineStr">
        <is>
          <t>6.03.01.02.02.51 - INTERNET/COMUNICACOES</t>
        </is>
      </c>
      <c r="C55" s="28" t="inlineStr">
        <is>
          <t>VOIPGLOBE SERVICOS DE COMUNICACAO MULTIMIDIA VIA INTERNET LT</t>
        </is>
      </c>
      <c r="D55" s="45" t="n"/>
      <c r="E55" s="1" t="inlineStr">
        <is>
          <t>SUPORTE TECNICO T.I. 1.07</t>
        </is>
      </c>
      <c r="F55" s="52" t="n">
        <v>46105</v>
      </c>
      <c r="G55" s="52" t="n">
        <v>46110</v>
      </c>
      <c r="H55" s="47" t="n">
        <v>1162</v>
      </c>
    </row>
    <row r="56" ht="20.1" customHeight="1">
      <c r="B56" s="1" t="inlineStr">
        <is>
          <t>6.03.01.02.02.51 - INTERNET/COMUNICACOES</t>
        </is>
      </c>
      <c r="C56" s="28" t="inlineStr">
        <is>
          <t>DIRECT WIFI TELECOM LTDA</t>
        </is>
      </c>
      <c r="D56" s="45" t="n"/>
      <c r="E56" s="1" t="inlineStr">
        <is>
          <t>SERV. LINK INTERNET 01.04</t>
        </is>
      </c>
      <c r="F56" s="52" t="n">
        <v>46108</v>
      </c>
      <c r="G56" s="52" t="n">
        <v>46110</v>
      </c>
      <c r="H56" s="47" t="n">
        <v>420</v>
      </c>
    </row>
    <row r="57" ht="20.1" customHeight="1">
      <c r="B57" s="1" t="inlineStr">
        <is>
          <t>6.03.01.02.02.51 - INTERNET/COMUNICACOES</t>
        </is>
      </c>
      <c r="C57" s="28" t="inlineStr">
        <is>
          <t>DIRECT WIFI TELECOM LTDA</t>
        </is>
      </c>
      <c r="D57" s="45" t="n"/>
      <c r="E57" s="1" t="inlineStr">
        <is>
          <t>SERV. LINK INTERNET 01.04</t>
        </is>
      </c>
      <c r="F57" s="52" t="n">
        <v>46108</v>
      </c>
      <c r="G57" s="52" t="n">
        <v>46110</v>
      </c>
      <c r="H57" s="47" t="n">
        <v>420</v>
      </c>
    </row>
    <row r="58" ht="20.1" customHeight="1">
      <c r="B58" s="1" t="inlineStr">
        <is>
          <t>6.03.01.02.02.51 - INTERNET/COMUNICACOES</t>
        </is>
      </c>
      <c r="C58" s="28" t="inlineStr">
        <is>
          <t>DIRECT WIFI TELECOM LTDA</t>
        </is>
      </c>
      <c r="D58" s="45" t="n"/>
      <c r="E58" s="1" t="inlineStr">
        <is>
          <t>SERV. LINK INTERNET 01.04</t>
        </is>
      </c>
      <c r="F58" s="52" t="n">
        <v>46108</v>
      </c>
      <c r="G58" s="52" t="n">
        <v>46110</v>
      </c>
      <c r="H58" s="47" t="n">
        <v>180</v>
      </c>
    </row>
    <row r="59" ht="20.1" customHeight="1">
      <c r="B59" s="1" t="inlineStr">
        <is>
          <t>6.03.01.02.02.51 - INTERNET/COMUNICACOES</t>
        </is>
      </c>
      <c r="C59" s="28" t="inlineStr">
        <is>
          <t>DIRECT WIFI TELECOM LTDA</t>
        </is>
      </c>
      <c r="D59" s="45" t="n"/>
      <c r="E59" s="1" t="inlineStr">
        <is>
          <t>SERV. LINK INTERNET 01.04</t>
        </is>
      </c>
      <c r="F59" s="52" t="n">
        <v>46108</v>
      </c>
      <c r="G59" s="52" t="n">
        <v>46110</v>
      </c>
      <c r="H59" s="47" t="n">
        <v>420</v>
      </c>
    </row>
    <row r="60" ht="20.1" customHeight="1">
      <c r="B60" s="1" t="inlineStr">
        <is>
          <t>6.03.01.02.02.51 - INTERNET/COMUNICACOES</t>
        </is>
      </c>
      <c r="C60" s="28" t="inlineStr">
        <is>
          <t>DIRECT WIFI TELECOM LTDA</t>
        </is>
      </c>
      <c r="D60" s="45" t="n"/>
      <c r="E60" s="1" t="inlineStr">
        <is>
          <t>SERV. LINK INTERNET 01.04</t>
        </is>
      </c>
      <c r="F60" s="52" t="n">
        <v>46108</v>
      </c>
      <c r="G60" s="52" t="n">
        <v>46110</v>
      </c>
      <c r="H60" s="47" t="n">
        <v>180</v>
      </c>
    </row>
    <row r="61" ht="20.1" customHeight="1">
      <c r="B61" s="1" t="inlineStr">
        <is>
          <t>6.03.01.02.02.51 - INTERNET/COMUNICACOES</t>
        </is>
      </c>
      <c r="C61" s="28" t="inlineStr">
        <is>
          <t>DIRECT WIFI TELECOM LTDA</t>
        </is>
      </c>
      <c r="D61" s="45" t="n"/>
      <c r="E61" s="1" t="inlineStr">
        <is>
          <t>SERV. LINK INTERNET 01.04</t>
        </is>
      </c>
      <c r="F61" s="52" t="n">
        <v>46108</v>
      </c>
      <c r="G61" s="52" t="n">
        <v>46110</v>
      </c>
      <c r="H61" s="47" t="n">
        <v>180</v>
      </c>
    </row>
    <row r="62" ht="20.1" customHeight="1">
      <c r="B62" s="1" t="inlineStr">
        <is>
          <t>6.03.01.02.02.77 - ASSESSORIA E SERVICO INFORMATICA</t>
        </is>
      </c>
      <c r="C62" s="28" t="inlineStr">
        <is>
          <t>BRFIBRA TELECOMUNICACOES LTDA</t>
        </is>
      </c>
      <c r="D62" s="45" t="n"/>
      <c r="E62" s="1" t="inlineStr">
        <is>
          <t>PROCESSAMENTO DADOS 1.03</t>
        </is>
      </c>
      <c r="F62" s="52" t="n">
        <v>46108</v>
      </c>
      <c r="G62" s="52" t="n">
        <v>46110</v>
      </c>
      <c r="H62" s="47" t="n">
        <v>900</v>
      </c>
    </row>
    <row r="63" ht="20.1" customHeight="1">
      <c r="B63" s="1" t="inlineStr">
        <is>
          <t>6.03.01.02.02.77 - ASSESSORIA E SERVICO INFORMATICA</t>
        </is>
      </c>
      <c r="C63" s="28" t="inlineStr">
        <is>
          <t>BRFIBRA TELECOMUNICACOES LTDA</t>
        </is>
      </c>
      <c r="D63" s="45" t="n"/>
      <c r="E63" s="1" t="inlineStr">
        <is>
          <t>PROCESSAMENTO DADOS 1.03</t>
        </is>
      </c>
      <c r="F63" s="52" t="n">
        <v>46111</v>
      </c>
      <c r="G63" s="52" t="n">
        <v>46110</v>
      </c>
      <c r="H63" s="47" t="n">
        <v>1000</v>
      </c>
    </row>
    <row r="64" ht="20.1" customHeight="1">
      <c r="B64" s="1" t="inlineStr">
        <is>
          <t>6.03.01.02.02.77 - ASSESSORIA E SERVICO INFORMATICA</t>
        </is>
      </c>
      <c r="C64" s="28" t="inlineStr">
        <is>
          <t>BRFIBRA TELECOMUNICACOES LTDA</t>
        </is>
      </c>
      <c r="D64" s="45" t="n"/>
      <c r="E64" s="1" t="inlineStr">
        <is>
          <t>PROCESSAMENTO DADOS 1.03</t>
        </is>
      </c>
      <c r="F64" s="52" t="n">
        <v>46111</v>
      </c>
      <c r="G64" s="52" t="n">
        <v>46110</v>
      </c>
      <c r="H64" s="47" t="n">
        <v>1000</v>
      </c>
    </row>
    <row r="65" ht="20.1" customHeight="1">
      <c r="B65" s="1" t="inlineStr">
        <is>
          <t>6.03.01.02.02.34 - MATERIAL PROCES. DADOS</t>
        </is>
      </c>
      <c r="C65" s="28" t="inlineStr">
        <is>
          <t>NETWORK CONNECT BRASIL COMERCIOPRODUTOS ELETRONICOS LTDA EPP</t>
        </is>
      </c>
      <c r="D65" s="45" t="n"/>
      <c r="E65" s="1" t="inlineStr">
        <is>
          <t>SSD 480GB SATA3</t>
        </is>
      </c>
      <c r="F65" s="52" t="n">
        <v>46111</v>
      </c>
      <c r="G65" s="52" t="n">
        <v>46111</v>
      </c>
      <c r="H65" s="47" t="n">
        <v>3395</v>
      </c>
    </row>
    <row r="66" ht="20.1" customHeight="1">
      <c r="B66" s="1" t="inlineStr">
        <is>
          <t>6.03.01.02.02.31 - MANUTEN. SISTEMAS  INFORMATICA</t>
        </is>
      </c>
      <c r="C66" s="28" t="inlineStr">
        <is>
          <t>CURUPIRA S.A</t>
        </is>
      </c>
      <c r="D66" s="45" t="n"/>
      <c r="E66" s="1" t="inlineStr">
        <is>
          <t>SERVICO LICENCA PROGRAMA 1.05</t>
        </is>
      </c>
      <c r="F66" s="52" t="n">
        <v>46112</v>
      </c>
      <c r="G66" s="52" t="n">
        <v>46111</v>
      </c>
      <c r="H66" s="47" t="n">
        <v>2997.11</v>
      </c>
    </row>
    <row r="67" ht="20.1" customHeight="1">
      <c r="B67" s="1" t="inlineStr">
        <is>
          <t>6.03.01.02.02.77 - ASSESSORIA E SERVICO INFORMATICA</t>
        </is>
      </c>
      <c r="C67" s="28" t="inlineStr">
        <is>
          <t>BRFIBRA TELECOMUNICACOES LTDA</t>
        </is>
      </c>
      <c r="D67" s="45" t="n"/>
      <c r="E67" s="1" t="inlineStr">
        <is>
          <t>PROCESSAMENTO DADOS 1.03</t>
        </is>
      </c>
      <c r="F67" s="52" t="n">
        <v>46108</v>
      </c>
      <c r="G67" s="52" t="n">
        <v>46112</v>
      </c>
      <c r="H67" s="47" t="n">
        <v>900</v>
      </c>
    </row>
    <row r="68" ht="20.1" customHeight="1">
      <c r="B68" s="1" t="inlineStr">
        <is>
          <t>6.03.01.02.02.77 - ASSESSORIA E SERVICO INFORMATICA</t>
        </is>
      </c>
      <c r="C68" s="28" t="inlineStr">
        <is>
          <t>BRFIBRA TELECOMUNICACOES LTDA</t>
        </is>
      </c>
      <c r="D68" s="45" t="n"/>
      <c r="E68" s="1" t="inlineStr">
        <is>
          <t>PROCESSAMENTO DADOS 1.03</t>
        </is>
      </c>
      <c r="F68" s="52" t="n">
        <v>46111</v>
      </c>
      <c r="G68" s="52" t="n">
        <v>46112</v>
      </c>
      <c r="H68" s="47" t="n">
        <v>1350</v>
      </c>
    </row>
    <row r="69" ht="20.1" customHeight="1">
      <c r="B69" s="1" t="inlineStr">
        <is>
          <t>6.03.01.02.02.77 - ASSESSORIA E SERVICO INFORMATICA</t>
        </is>
      </c>
      <c r="C69" s="28" t="inlineStr">
        <is>
          <t>BRFIBRA TELECOMUNICACOES LTDA</t>
        </is>
      </c>
      <c r="D69" s="45" t="n"/>
      <c r="E69" s="1" t="inlineStr">
        <is>
          <t>PROCESSAMENTO DADOS 1.03</t>
        </is>
      </c>
      <c r="F69" s="52" t="n">
        <v>46111</v>
      </c>
      <c r="G69" s="52" t="n">
        <v>46112</v>
      </c>
      <c r="H69" s="47" t="n">
        <v>1350</v>
      </c>
    </row>
    <row r="70" ht="20.1" customHeight="1">
      <c r="B70" s="1" t="inlineStr">
        <is>
          <t>6.03.01.02.02.77 - ASSESSORIA E SERVICO INFORMATICA</t>
        </is>
      </c>
      <c r="C70" s="28" t="inlineStr">
        <is>
          <t>BRFIBRA TELECOMUNICACOES LTDA</t>
        </is>
      </c>
      <c r="D70" s="45" t="n"/>
      <c r="E70" s="1" t="inlineStr">
        <is>
          <t>PROCESSAMENTO DADOS 1.03</t>
        </is>
      </c>
      <c r="F70" s="52" t="n">
        <v>46111</v>
      </c>
      <c r="G70" s="52" t="n">
        <v>46112</v>
      </c>
      <c r="H70" s="47" t="n">
        <v>1350</v>
      </c>
    </row>
    <row r="71" ht="20.1" customHeight="1">
      <c r="B71" s="1" t="inlineStr">
        <is>
          <t>6.03.01.02.02.77 - ASSESSORIA E SERVICO INFORMATICA</t>
        </is>
      </c>
      <c r="C71" s="28" t="inlineStr">
        <is>
          <t>BRFIBRA TELECOMUNICACOES LTDA</t>
        </is>
      </c>
      <c r="D71" s="45" t="n"/>
      <c r="E71" s="1" t="inlineStr">
        <is>
          <t>PROCESSAMENTO DADOS 1.03</t>
        </is>
      </c>
      <c r="F71" s="52" t="n">
        <v>46112</v>
      </c>
      <c r="G71" s="52" t="n">
        <v>46112</v>
      </c>
      <c r="H71" s="47" t="n">
        <v>900</v>
      </c>
    </row>
    <row r="72" ht="20.1" customHeight="1">
      <c r="B72" s="1" t="inlineStr">
        <is>
          <t>6.03.01.02.02.77 - ASSESSORIA E SERVICO INFORMATICA</t>
        </is>
      </c>
      <c r="C72" s="28" t="inlineStr">
        <is>
          <t>BRFIBRA TELECOMUNICACOES LTDA</t>
        </is>
      </c>
      <c r="D72" s="45" t="n"/>
      <c r="E72" s="1" t="inlineStr">
        <is>
          <t>PROCESSAMENTO DADOS 1.03</t>
        </is>
      </c>
      <c r="F72" s="52" t="n">
        <v>46112</v>
      </c>
      <c r="G72" s="52" t="n">
        <v>46112</v>
      </c>
      <c r="H72" s="47" t="n">
        <v>900</v>
      </c>
    </row>
    <row r="73" ht="20.1" customHeight="1">
      <c r="B73" s="1" t="inlineStr">
        <is>
          <t>6.03.01.02.02.77 - ASSESSORIA E SERVICO INFORMATICA</t>
        </is>
      </c>
      <c r="C73" s="28" t="inlineStr">
        <is>
          <t>BRFIBRA TELECOMUNICACOES LTDA</t>
        </is>
      </c>
      <c r="D73" s="45" t="n"/>
      <c r="E73" s="1" t="inlineStr">
        <is>
          <t>PROCESSAMENTO DADOS 1.03</t>
        </is>
      </c>
      <c r="F73" s="52" t="n">
        <v>46112</v>
      </c>
      <c r="G73" s="52" t="n">
        <v>46112</v>
      </c>
      <c r="H73" s="47" t="n">
        <v>900</v>
      </c>
    </row>
    <row r="74" ht="20.1" customHeight="1">
      <c r="B74" s="1" t="inlineStr">
        <is>
          <t>6.03.01.02.02.77 - ASSESSORIA E SERVICO INFORMATICA</t>
        </is>
      </c>
      <c r="C74" s="28" t="inlineStr">
        <is>
          <t>BRFIBRA TELECOMUNICACOES LTDA</t>
        </is>
      </c>
      <c r="D74" s="45" t="n"/>
      <c r="E74" s="1" t="inlineStr">
        <is>
          <t>PROCESSAMENTO DADOS 1.03</t>
        </is>
      </c>
      <c r="F74" s="52" t="n">
        <v>46112</v>
      </c>
      <c r="G74" s="52" t="n">
        <v>46112</v>
      </c>
      <c r="H74" s="47" t="n">
        <v>900</v>
      </c>
    </row>
    <row r="75" ht="20.1" customHeight="1">
      <c r="B75" s="13" t="n"/>
      <c r="C75" s="13" t="n"/>
      <c r="D75" s="13" t="n"/>
      <c r="F75" s="40" t="inlineStr">
        <is>
          <t>TOTAL DO MÊS</t>
        </is>
      </c>
      <c r="G75" s="45" t="n"/>
      <c r="H75" s="48">
        <f>SUM(H19:H74)</f>
        <v/>
      </c>
    </row>
    <row r="76"/>
    <row r="77" ht="15" customHeight="1">
      <c r="F77" s="36" t="inlineStr">
        <is>
          <t>SALDO DO BUDGET MENSAL</t>
        </is>
      </c>
      <c r="G77" s="45" t="n"/>
      <c r="H77" s="48">
        <f>IF(H13=0,0,H13-H75)</f>
        <v/>
      </c>
    </row>
    <row r="78" ht="15" customHeight="1">
      <c r="F78" s="49" t="inlineStr">
        <is>
          <t>%BUDGET CONSUMIDO / MÊS</t>
        </is>
      </c>
      <c r="G78" s="45" t="n"/>
      <c r="H78" s="21">
        <f>IF(H13=0,0,H75/H13)</f>
        <v/>
      </c>
    </row>
    <row r="79"/>
    <row r="80"/>
    <row r="81" ht="15" customHeight="1">
      <c r="F81" s="36" t="inlineStr">
        <is>
          <t>CONSUMO ACUMULADO ATUAL</t>
        </is>
      </c>
      <c r="G81" s="45" t="n"/>
      <c r="H81" s="48">
        <f>H15+H75</f>
        <v/>
      </c>
    </row>
    <row r="82" ht="15" customHeight="1">
      <c r="F82" s="36" t="inlineStr">
        <is>
          <t>SALDO DO BUDGET ACUMULADO</t>
        </is>
      </c>
      <c r="G82" s="45" t="n"/>
      <c r="H82" s="48">
        <f>H11-H81</f>
        <v/>
      </c>
    </row>
    <row r="83" ht="15" customHeight="1">
      <c r="F83" s="36" t="inlineStr">
        <is>
          <t>% BUDGET CONSUMIDO / ANO</t>
        </is>
      </c>
      <c r="G83" s="45" t="n"/>
      <c r="H83" s="21">
        <f>IFERROR(H81/H11,0)</f>
        <v/>
      </c>
    </row>
    <row r="84"/>
    <row r="85"/>
    <row r="86" ht="36" customHeight="1"/>
    <row r="87"/>
  </sheetData>
  <mergeCells count="71">
    <mergeCell ref="C34:D34"/>
    <mergeCell ref="C24:D24"/>
    <mergeCell ref="C30:D30"/>
    <mergeCell ref="C62:D62"/>
    <mergeCell ref="C68:D68"/>
    <mergeCell ref="C33:D33"/>
    <mergeCell ref="F78:G78"/>
    <mergeCell ref="D1:H1"/>
    <mergeCell ref="C42:D42"/>
    <mergeCell ref="C58:D58"/>
    <mergeCell ref="C45:D45"/>
    <mergeCell ref="C74:D74"/>
    <mergeCell ref="C26:D26"/>
    <mergeCell ref="C64:D64"/>
    <mergeCell ref="C35:D35"/>
    <mergeCell ref="C73:D73"/>
    <mergeCell ref="F83:G83"/>
    <mergeCell ref="C20:D20"/>
    <mergeCell ref="B86:C86"/>
    <mergeCell ref="C29:D29"/>
    <mergeCell ref="C47:D47"/>
    <mergeCell ref="C54:D54"/>
    <mergeCell ref="F15:G15"/>
    <mergeCell ref="C25:D25"/>
    <mergeCell ref="C63:D63"/>
    <mergeCell ref="C41:D41"/>
    <mergeCell ref="C65:D65"/>
    <mergeCell ref="C55:D55"/>
    <mergeCell ref="C50:D50"/>
    <mergeCell ref="C44:D44"/>
    <mergeCell ref="C22:D22"/>
    <mergeCell ref="C40:D40"/>
    <mergeCell ref="C31:D31"/>
    <mergeCell ref="C56:D56"/>
    <mergeCell ref="C59:D59"/>
    <mergeCell ref="F75:G75"/>
    <mergeCell ref="C43:D43"/>
    <mergeCell ref="B87:C87"/>
    <mergeCell ref="C46:D46"/>
    <mergeCell ref="C21:D21"/>
    <mergeCell ref="B18:H18"/>
    <mergeCell ref="C60:D60"/>
    <mergeCell ref="C51:D51"/>
    <mergeCell ref="C27:D27"/>
    <mergeCell ref="E4:H4"/>
    <mergeCell ref="C71:D71"/>
    <mergeCell ref="F81:G81"/>
    <mergeCell ref="C36:D36"/>
    <mergeCell ref="C61:D61"/>
    <mergeCell ref="B84:C84"/>
    <mergeCell ref="C52:D52"/>
    <mergeCell ref="C70:D70"/>
    <mergeCell ref="C48:D48"/>
    <mergeCell ref="C17:D17"/>
    <mergeCell ref="C23:D23"/>
    <mergeCell ref="C39:D39"/>
    <mergeCell ref="B83:C83"/>
    <mergeCell ref="F77:G77"/>
    <mergeCell ref="C32:D32"/>
    <mergeCell ref="C38:D38"/>
    <mergeCell ref="C72:D72"/>
    <mergeCell ref="C67:D67"/>
    <mergeCell ref="F82:G82"/>
    <mergeCell ref="C57:D57"/>
    <mergeCell ref="C19:D19"/>
    <mergeCell ref="C37:D37"/>
    <mergeCell ref="C28:D28"/>
    <mergeCell ref="C66:D66"/>
    <mergeCell ref="C53:D53"/>
    <mergeCell ref="C69:D69"/>
    <mergeCell ref="C49:D49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topLeftCell="A8" zoomScale="85" zoomScaleNormal="85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Abr/2026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373337.7381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'Março'!H81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6.03.01.02.02.60 - MANUT. EQUP. INFORMATICA</t>
        </is>
      </c>
      <c r="C19" s="28" t="inlineStr">
        <is>
          <t>SMART SISTEMAS DE ENERGIA LTDA</t>
        </is>
      </c>
      <c r="D19" s="45" t="n"/>
      <c r="E19" s="1" t="inlineStr">
        <is>
          <t>MONTAGEM/ASSIT TECNICA 14.01</t>
        </is>
      </c>
      <c r="F19" s="52" t="n">
        <v>46114</v>
      </c>
      <c r="G19" s="52" t="n">
        <v>46114</v>
      </c>
      <c r="H19" s="47" t="n">
        <v>986.67</v>
      </c>
    </row>
    <row r="20" ht="20.1" customHeight="1">
      <c r="B20" s="1" t="inlineStr">
        <is>
          <t>6.03.01.02.02.51 - INTERNET/COMUNICACOES</t>
        </is>
      </c>
      <c r="C20" s="28" t="inlineStr">
        <is>
          <t>ALLREDE TELECOM LTDA</t>
        </is>
      </c>
      <c r="D20" s="45" t="n"/>
      <c r="E20" s="1" t="inlineStr">
        <is>
          <t>SERV. DE INTERNET 1.07</t>
        </is>
      </c>
      <c r="F20" s="52" t="n">
        <v>46119</v>
      </c>
      <c r="G20" s="52" t="n">
        <v>46119</v>
      </c>
      <c r="H20" s="47" t="n">
        <v>205.54</v>
      </c>
    </row>
    <row r="21" ht="20.1" customHeight="1">
      <c r="B21" s="1" t="inlineStr">
        <is>
          <t>6.03.01.02.02.51 - INTERNET/COMUNICACOES</t>
        </is>
      </c>
      <c r="C21" s="28" t="inlineStr">
        <is>
          <t>ALLREDE TELECOM LTDA</t>
        </is>
      </c>
      <c r="D21" s="45" t="n"/>
      <c r="E21" s="1" t="inlineStr">
        <is>
          <t>SERV. DE INTERNET 1.07</t>
        </is>
      </c>
      <c r="F21" s="52" t="n">
        <v>46119</v>
      </c>
      <c r="G21" s="52" t="n">
        <v>46119</v>
      </c>
      <c r="H21" s="47" t="n">
        <v>205.54</v>
      </c>
    </row>
    <row r="22" ht="20.1" customHeight="1">
      <c r="B22" s="1" t="inlineStr">
        <is>
          <t>6.03.01.02.02.51 - INTERNET/COMUNICACOES</t>
        </is>
      </c>
      <c r="C22" s="28" t="inlineStr">
        <is>
          <t>ALLREDE TELECOM LTDA</t>
        </is>
      </c>
      <c r="D22" s="45" t="n"/>
      <c r="E22" s="1" t="inlineStr">
        <is>
          <t>SERV. DE INTERNET 1.07</t>
        </is>
      </c>
      <c r="F22" s="52" t="n">
        <v>46119</v>
      </c>
      <c r="G22" s="52" t="n">
        <v>46119</v>
      </c>
      <c r="H22" s="47" t="n">
        <v>143.36</v>
      </c>
    </row>
    <row r="23" ht="20.1" customHeight="1">
      <c r="B23" s="1" t="inlineStr">
        <is>
          <t>6.03.01.02.02.51 - INTERNET/COMUNICACOES</t>
        </is>
      </c>
      <c r="C23" s="28" t="inlineStr">
        <is>
          <t>ALLREDE TELECOM LTDA</t>
        </is>
      </c>
      <c r="D23" s="45" t="n"/>
      <c r="E23" s="1" t="inlineStr">
        <is>
          <t>SERV. DE INTERNET 1.07</t>
        </is>
      </c>
      <c r="F23" s="52" t="n">
        <v>46119</v>
      </c>
      <c r="G23" s="52" t="n">
        <v>46119</v>
      </c>
      <c r="H23" s="47" t="n">
        <v>205.54</v>
      </c>
    </row>
    <row r="24" ht="20.1" customHeight="1">
      <c r="B24" s="1" t="inlineStr">
        <is>
          <t>6.03.01.02.02.51 - INTERNET/COMUNICACOES</t>
        </is>
      </c>
      <c r="C24" s="28" t="inlineStr">
        <is>
          <t>ALLREDE TELECOM LTDA</t>
        </is>
      </c>
      <c r="D24" s="45" t="n"/>
      <c r="E24" s="1" t="inlineStr">
        <is>
          <t>SERV. DE INTERNET 1.07</t>
        </is>
      </c>
      <c r="F24" s="52" t="n">
        <v>46119</v>
      </c>
      <c r="G24" s="52" t="n">
        <v>46119</v>
      </c>
      <c r="H24" s="47" t="n">
        <v>143.36</v>
      </c>
    </row>
    <row r="25" ht="20.1" customHeight="1">
      <c r="B25" s="1" t="inlineStr">
        <is>
          <t>6.03.01.02.02.51 - INTERNET/COMUNICACOES</t>
        </is>
      </c>
      <c r="C25" s="28" t="inlineStr">
        <is>
          <t>ALLREDE TELECOM LTDA</t>
        </is>
      </c>
      <c r="D25" s="45" t="n"/>
      <c r="E25" s="1" t="inlineStr">
        <is>
          <t>SERV. DE INTERNET 1.07</t>
        </is>
      </c>
      <c r="F25" s="52" t="n">
        <v>46119</v>
      </c>
      <c r="G25" s="52" t="n">
        <v>46119</v>
      </c>
      <c r="H25" s="47" t="n">
        <v>205.54</v>
      </c>
    </row>
    <row r="26" ht="20.1" customHeight="1">
      <c r="B26" s="1" t="inlineStr">
        <is>
          <t>6.03.01.02.02.51 - INTERNET/COMUNICACOES</t>
        </is>
      </c>
      <c r="C26" s="28" t="inlineStr">
        <is>
          <t>ALLREDE TELECOM LTDA</t>
        </is>
      </c>
      <c r="D26" s="45" t="n"/>
      <c r="E26" s="1" t="inlineStr">
        <is>
          <t>SERV. DE INTERNET 1.07</t>
        </is>
      </c>
      <c r="F26" s="52" t="n">
        <v>46119</v>
      </c>
      <c r="G26" s="52" t="n">
        <v>46119</v>
      </c>
      <c r="H26" s="47" t="n">
        <v>143.36</v>
      </c>
    </row>
    <row r="27" ht="20.1" customHeight="1">
      <c r="B27" s="1" t="inlineStr">
        <is>
          <t>6.03.01.02.02.51 - INTERNET/COMUNICACOES</t>
        </is>
      </c>
      <c r="C27" s="28" t="inlineStr">
        <is>
          <t>ALLREDE TELECOM LTDA</t>
        </is>
      </c>
      <c r="D27" s="45" t="n"/>
      <c r="E27" s="1" t="inlineStr">
        <is>
          <t>SERV. DE INTERNET 1.07</t>
        </is>
      </c>
      <c r="F27" s="52" t="n">
        <v>46119</v>
      </c>
      <c r="G27" s="52" t="n">
        <v>46119</v>
      </c>
      <c r="H27" s="47" t="n">
        <v>143.36</v>
      </c>
    </row>
    <row r="28" ht="20.1" customHeight="1">
      <c r="B28" s="1" t="inlineStr">
        <is>
          <t>6.03.01.02.02.51 - INTERNET/COMUNICACOES</t>
        </is>
      </c>
      <c r="C28" s="28" t="inlineStr">
        <is>
          <t>WS-NET INTERNET E DADOS LTDA</t>
        </is>
      </c>
      <c r="D28" s="45" t="n"/>
      <c r="E28" s="1" t="inlineStr">
        <is>
          <t>SERV. DE INTERNET 1.07</t>
        </is>
      </c>
      <c r="F28" s="52" t="n">
        <v>46114</v>
      </c>
      <c r="G28" s="52" t="n">
        <v>46120</v>
      </c>
      <c r="H28" s="47" t="n">
        <v>22.5</v>
      </c>
    </row>
    <row r="29" ht="20.1" customHeight="1">
      <c r="B29" s="1" t="inlineStr">
        <is>
          <t>6.03.01.02.02.51 - INTERNET/COMUNICACOES</t>
        </is>
      </c>
      <c r="C29" s="28" t="inlineStr">
        <is>
          <t>WS-NET INTERNET E DADOS LTDA</t>
        </is>
      </c>
      <c r="D29" s="45" t="n"/>
      <c r="E29" s="1" t="inlineStr">
        <is>
          <t>SERV. DE INTERNET 1.07</t>
        </is>
      </c>
      <c r="F29" s="52" t="n">
        <v>46114</v>
      </c>
      <c r="G29" s="52" t="n">
        <v>46120</v>
      </c>
      <c r="H29" s="47" t="n">
        <v>577.4</v>
      </c>
    </row>
    <row r="30" ht="20.1" customHeight="1">
      <c r="B30" s="1" t="inlineStr">
        <is>
          <t>6.03.01.02.02.51 - INTERNET/COMUNICACOES</t>
        </is>
      </c>
      <c r="C30" s="28" t="inlineStr">
        <is>
          <t>DIRECT WIFI TELECOM LTDA</t>
        </is>
      </c>
      <c r="D30" s="45" t="n"/>
      <c r="E30" s="1" t="inlineStr">
        <is>
          <t>SERV. LINK INTERNET 01.04</t>
        </is>
      </c>
      <c r="F30" s="52" t="n">
        <v>46118</v>
      </c>
      <c r="G30" s="52" t="n">
        <v>46120</v>
      </c>
      <c r="H30" s="47" t="n">
        <v>420</v>
      </c>
    </row>
    <row r="31" ht="20.1" customHeight="1">
      <c r="B31" s="1" t="inlineStr">
        <is>
          <t>6.03.01.02.02.51 - INTERNET/COMUNICACOES</t>
        </is>
      </c>
      <c r="C31" s="28" t="inlineStr">
        <is>
          <t>DIRECT WIFI TELECOM LTDA</t>
        </is>
      </c>
      <c r="D31" s="45" t="n"/>
      <c r="E31" s="1" t="inlineStr">
        <is>
          <t>SERV. LINK INTERNET 01.04</t>
        </is>
      </c>
      <c r="F31" s="52" t="n">
        <v>46118</v>
      </c>
      <c r="G31" s="52" t="n">
        <v>46120</v>
      </c>
      <c r="H31" s="47" t="n">
        <v>180</v>
      </c>
    </row>
    <row r="32" ht="20.1" customHeight="1">
      <c r="B32" s="1" t="inlineStr">
        <is>
          <t>6.03.01.02.02.31 - MANUTEN. SISTEMAS  INFORMATICA</t>
        </is>
      </c>
      <c r="C32" s="28" t="inlineStr">
        <is>
          <t>ORACLE  DO BRASIL</t>
        </is>
      </c>
      <c r="D32" s="45" t="n"/>
      <c r="E32" s="1" t="inlineStr">
        <is>
          <t>SERVICO MANUTENCAO SISTEMA INFORMATICA 1.07</t>
        </is>
      </c>
      <c r="F32" s="52" t="n">
        <v>46120</v>
      </c>
      <c r="G32" s="52" t="n">
        <v>46120</v>
      </c>
      <c r="H32" s="47" t="n">
        <v>23350.83</v>
      </c>
    </row>
    <row r="33" ht="20.1" customHeight="1">
      <c r="B33" s="1" t="inlineStr">
        <is>
          <t>6.03.01.02.02.31 - MANUTEN. SISTEMAS  INFORMATICA</t>
        </is>
      </c>
      <c r="C33" s="28" t="inlineStr">
        <is>
          <t>ORACLE  DO BRASIL</t>
        </is>
      </c>
      <c r="D33" s="45" t="n"/>
      <c r="E33" s="1" t="inlineStr">
        <is>
          <t>SERVICO LICENCA PROGRAMA 1.05</t>
        </is>
      </c>
      <c r="F33" s="52" t="n">
        <v>46120</v>
      </c>
      <c r="G33" s="52" t="n">
        <v>46120</v>
      </c>
      <c r="H33" s="47" t="n">
        <v>52783.58</v>
      </c>
    </row>
    <row r="34" ht="20.1" customHeight="1">
      <c r="B34" s="1" t="inlineStr">
        <is>
          <t>6.03.01.02.02.77 - ASSESSORIA E SERVICO INFORMATICA</t>
        </is>
      </c>
      <c r="C34" s="28" t="inlineStr">
        <is>
          <t>SPHERE IT SERVICOS LTDA</t>
        </is>
      </c>
      <c r="D34" s="45" t="n"/>
      <c r="E34" s="1" t="inlineStr">
        <is>
          <t>SERVICO ASSESSORIA DE INFORMATICA 1.06</t>
        </is>
      </c>
      <c r="F34" s="52" t="n">
        <v>46120</v>
      </c>
      <c r="G34" s="52" t="n">
        <v>46120</v>
      </c>
      <c r="H34" s="47" t="n">
        <v>22901.92</v>
      </c>
    </row>
    <row r="35" ht="20.1" customHeight="1">
      <c r="B35" s="1" t="inlineStr">
        <is>
          <t>6.03.01.02.02.51 - INTERNET/COMUNICACOES</t>
        </is>
      </c>
      <c r="C35" s="28" t="inlineStr">
        <is>
          <t>RODOVIA SOLUCOES TECNOLOGICAS LTDA</t>
        </is>
      </c>
      <c r="D35" s="45" t="n"/>
      <c r="E35" s="1" t="inlineStr">
        <is>
          <t>SUPORTE TECNICO T.I. 1.07</t>
        </is>
      </c>
      <c r="F35" s="52" t="n">
        <v>46121</v>
      </c>
      <c r="G35" s="52" t="n">
        <v>46121</v>
      </c>
      <c r="H35" s="47" t="n">
        <v>2693.7</v>
      </c>
    </row>
    <row r="36" ht="20.1" customHeight="1">
      <c r="B36" s="13" t="n"/>
      <c r="C36" s="13" t="n"/>
      <c r="D36" s="13" t="n"/>
      <c r="F36" s="40" t="inlineStr">
        <is>
          <t>TOTAL DO MÊS</t>
        </is>
      </c>
      <c r="G36" s="45" t="n"/>
      <c r="H36" s="48">
        <f>SUM(H19:H35)</f>
        <v/>
      </c>
    </row>
    <row r="37"/>
    <row r="38" ht="15" customHeight="1">
      <c r="F38" s="36" t="inlineStr">
        <is>
          <t>SALDO DO BUDGET MENSAL</t>
        </is>
      </c>
      <c r="G38" s="45" t="n"/>
      <c r="H38" s="48">
        <f>IF(H13=0,0,H13-H36)</f>
        <v/>
      </c>
    </row>
    <row r="39" ht="15" customHeight="1">
      <c r="F39" s="49" t="inlineStr">
        <is>
          <t>%BUDGET CONSUMIDO / MÊS</t>
        </is>
      </c>
      <c r="G39" s="45" t="n"/>
      <c r="H39" s="21">
        <f>IF(H13=0,0,H36/H13)</f>
        <v/>
      </c>
    </row>
    <row r="40"/>
    <row r="41"/>
    <row r="42" ht="15" customHeight="1">
      <c r="F42" s="36" t="inlineStr">
        <is>
          <t>CONSUMO ACUMULADO ATUAL</t>
        </is>
      </c>
      <c r="G42" s="45" t="n"/>
      <c r="H42" s="48">
        <f>H15+H36</f>
        <v/>
      </c>
    </row>
    <row r="43" ht="15" customHeight="1">
      <c r="F43" s="36" t="inlineStr">
        <is>
          <t>SALDO DO BUDGET ACUMULADO</t>
        </is>
      </c>
      <c r="G43" s="45" t="n"/>
      <c r="H43" s="48">
        <f>H11-H42</f>
        <v/>
      </c>
    </row>
    <row r="44" ht="15" customHeight="1">
      <c r="F44" s="36" t="inlineStr">
        <is>
          <t>% BUDGET CONSUMIDO / ANO</t>
        </is>
      </c>
      <c r="G44" s="45" t="n"/>
      <c r="H44" s="21">
        <f>IFERROR(H42/H11,0)</f>
        <v/>
      </c>
    </row>
    <row r="45"/>
    <row r="46"/>
    <row r="47" ht="36" customHeight="1"/>
    <row r="48"/>
  </sheetData>
  <mergeCells count="32">
    <mergeCell ref="C34:D34"/>
    <mergeCell ref="B47:C47"/>
    <mergeCell ref="C24:D24"/>
    <mergeCell ref="C30:D30"/>
    <mergeCell ref="C33:D33"/>
    <mergeCell ref="D1:H1"/>
    <mergeCell ref="C26:D26"/>
    <mergeCell ref="C35:D35"/>
    <mergeCell ref="C20:D20"/>
    <mergeCell ref="B48:C48"/>
    <mergeCell ref="C29:D29"/>
    <mergeCell ref="F15:G15"/>
    <mergeCell ref="C25:D25"/>
    <mergeCell ref="F36:G36"/>
    <mergeCell ref="C22:D22"/>
    <mergeCell ref="F42:G42"/>
    <mergeCell ref="C31:D31"/>
    <mergeCell ref="B44:C44"/>
    <mergeCell ref="C21:D21"/>
    <mergeCell ref="B18:H18"/>
    <mergeCell ref="F38:G38"/>
    <mergeCell ref="C27:D27"/>
    <mergeCell ref="E4:H4"/>
    <mergeCell ref="C17:D17"/>
    <mergeCell ref="C23:D23"/>
    <mergeCell ref="F43:G43"/>
    <mergeCell ref="F39:G39"/>
    <mergeCell ref="C32:D32"/>
    <mergeCell ref="C19:D19"/>
    <mergeCell ref="B45:C45"/>
    <mergeCell ref="C28:D28"/>
    <mergeCell ref="F44:G44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Mai/2026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365340.8782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'Abril'!H42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273367.8782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'Maio'!H34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Jul/2026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270710.9432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'Junho'!H34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Ago/2026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248791.4512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'Julho'!H34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Set/2026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245809.1512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'Agosto'!H34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Out/2026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248832.4546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'Setembro'!H34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62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Nov/2026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216899.7546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'Outubro'!H34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37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Dez/2026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220867.737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'Novembro'!H34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Bianca Rocha dos Anjos</dc:creator>
  <dcterms:created xsi:type="dcterms:W3CDTF">2026-01-25T18:20:39Z</dcterms:created>
  <dcterms:modified xsi:type="dcterms:W3CDTF">2026-04-10T19:39:08Z</dcterms:modified>
  <cp:lastModifiedBy>Widson Rodrigues de Araujo</cp:lastModifiedBy>
  <cp:lastPrinted>2026-01-25T19:28:12Z</cp:lastPrinted>
</cp:coreProperties>
</file>