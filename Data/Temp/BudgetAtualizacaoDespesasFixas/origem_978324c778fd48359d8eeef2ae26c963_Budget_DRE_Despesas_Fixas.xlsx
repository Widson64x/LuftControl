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nia.guimaraes\Documents\"/>
    </mc:Choice>
  </mc:AlternateContent>
  <xr:revisionPtr revIDLastSave="0" documentId="8_{0F5C6121-CFD8-4F93-93C9-1356B82CF08B}" xr6:coauthVersionLast="47" xr6:coauthVersionMax="47" xr10:uidLastSave="{00000000-0000-0000-0000-000000000000}"/>
  <bookViews>
    <workbookView xWindow="-108" yWindow="-108" windowWidth="23256" windowHeight="12456" xr2:uid="{D1C3DCA3-5C32-417A-A31D-C410A6A9583C}"/>
  </bookViews>
  <sheets>
    <sheet name="Outras Despesa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\0">#N/A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I">#REF!</definedName>
    <definedName name="\m">#N/A</definedName>
    <definedName name="\p">#REF!</definedName>
    <definedName name="\R">#REF!</definedName>
    <definedName name="\u">#N/A</definedName>
    <definedName name="\z">#REF!</definedName>
    <definedName name="___res2">#REF!,#REF!,#REF!,#REF!,#REF!,#REF!,#REF!,#REF!</definedName>
    <definedName name="__123Graph_A" hidden="1">#REF!</definedName>
    <definedName name="__123Graph_X" hidden="1">#REF!</definedName>
    <definedName name="__res2">#REF!,#REF!,#REF!,#REF!,#REF!,#REF!,#REF!,#REF!</definedName>
    <definedName name="_1">#REF!</definedName>
    <definedName name="_148_1">#REF!</definedName>
    <definedName name="_149_10">#REF!</definedName>
    <definedName name="_150_11">#REF!</definedName>
    <definedName name="_151_12">#REF!</definedName>
    <definedName name="_152_13">#REF!</definedName>
    <definedName name="_153_14">#REF!</definedName>
    <definedName name="_154_15">#REF!</definedName>
    <definedName name="_155_16">#REF!</definedName>
    <definedName name="_156_17">#REF!</definedName>
    <definedName name="_157_18">#REF!</definedName>
    <definedName name="_158_2">#REF!</definedName>
    <definedName name="_159_3">#REF!</definedName>
    <definedName name="_160_4">#REF!</definedName>
    <definedName name="_161_5">#REF!</definedName>
    <definedName name="_162_6">#REF!</definedName>
    <definedName name="_163MAAPRO_M">#REF!</definedName>
    <definedName name="_164MAAUGO_M">#REF!</definedName>
    <definedName name="_165MADECO_M">#REF!</definedName>
    <definedName name="_166MAFEBO_M">#REF!</definedName>
    <definedName name="_167MAJANO_M">#REF!</definedName>
    <definedName name="_168MAJULO_M">#REF!</definedName>
    <definedName name="_169MAJUNO_M">#REF!</definedName>
    <definedName name="_170MAMARO_M">#REF!</definedName>
    <definedName name="_171MAMAYO_M">#REF!</definedName>
    <definedName name="_172MANOVO_M">#REF!</definedName>
    <definedName name="_173MAOCTO_M">#REF!</definedName>
    <definedName name="_174MASEPO_M">#REF!</definedName>
    <definedName name="_175MBAPRO_M">#REF!</definedName>
    <definedName name="_176MBAUGO_M">#REF!</definedName>
    <definedName name="_177MBDECO_M">#REF!</definedName>
    <definedName name="_178MBFEBO_M">#REF!</definedName>
    <definedName name="_179MBJANO_M">#REF!</definedName>
    <definedName name="_180MBJULO_M">#REF!</definedName>
    <definedName name="_181MBJUNO_M">#REF!</definedName>
    <definedName name="_182MBMARO_M">#REF!</definedName>
    <definedName name="_183MBMAYO_M">#REF!</definedName>
    <definedName name="_184MBNOVO_M">#REF!</definedName>
    <definedName name="_185MBSEPO_M">#REF!</definedName>
    <definedName name="_188PRINT_ALL">#REF!</definedName>
    <definedName name="_189PRINT_BUDG_LTP">#REF!</definedName>
    <definedName name="_190PRINT_BUDG_PER">#REF!</definedName>
    <definedName name="_191PRINT_PROJ_1">#REF!</definedName>
    <definedName name="_192PRINT_PROJ_2">#REF!</definedName>
    <definedName name="_1a">#REF!</definedName>
    <definedName name="_218ÿ_0jdbytraft">#REF!</definedName>
    <definedName name="_219ÿ_0jdmktspli">#REF!</definedName>
    <definedName name="_228ÿ_0Rev_In_Ca">#REF!</definedName>
    <definedName name="_230YAAPRO_M">#REF!</definedName>
    <definedName name="_231YAAUGO_M">#REF!</definedName>
    <definedName name="_232YADECO_M">#REF!</definedName>
    <definedName name="_233YAFEBO_M">#REF!</definedName>
    <definedName name="_234YAJANO_M">#REF!</definedName>
    <definedName name="_235YAJULO_M">#REF!</definedName>
    <definedName name="_236YAJUNO_M">#REF!</definedName>
    <definedName name="_237YAMARO_M">#REF!</definedName>
    <definedName name="_238YAMAYO_M">#REF!</definedName>
    <definedName name="_239YANOVO_M">#REF!</definedName>
    <definedName name="_240YAOCTO_M">#REF!</definedName>
    <definedName name="_241YASEPO_M">#REF!</definedName>
    <definedName name="_242YBAPRO_M">#REF!</definedName>
    <definedName name="_243YBAUGO_M">#REF!</definedName>
    <definedName name="_244YBDECO_M">#REF!</definedName>
    <definedName name="_245YBFEBO_M">#REF!</definedName>
    <definedName name="_246YBJANO_M">#REF!</definedName>
    <definedName name="_247YBJULO_M">#REF!</definedName>
    <definedName name="_248YBJUNO_M">#REF!</definedName>
    <definedName name="_249YBMARO_M">#REF!</definedName>
    <definedName name="_250YBMAYO_M">#REF!</definedName>
    <definedName name="_251YBNOVO_M">#REF!</definedName>
    <definedName name="_252YBOCTO_M">#REF!</definedName>
    <definedName name="_253YBSEPO_M">#REF!</definedName>
    <definedName name="_37P">#REF!</definedName>
    <definedName name="_7_0HData_Segm_spli">#REF!</definedName>
    <definedName name="_ANO1999">#REF!</definedName>
    <definedName name="_ANO2000">#REF!</definedName>
    <definedName name="_ANO2001">#REF!</definedName>
    <definedName name="_ANO2002">#REF!</definedName>
    <definedName name="_ANO2003">#REF!</definedName>
    <definedName name="_AP1">PPt</definedName>
    <definedName name="_AP2">PPt</definedName>
    <definedName name="_AP3">PPt</definedName>
    <definedName name="_b2" hidden="1">{"PVGraph2",#N/A,FALSE,"PV Data"}</definedName>
    <definedName name="_b5">Word</definedName>
    <definedName name="_b6">Word</definedName>
    <definedName name="_BAL1" hidden="1">{"pq_dr",#N/A,FALSE,"PQ"}</definedName>
    <definedName name="_BBK1">#REF!</definedName>
    <definedName name="_brl2">#REF!</definedName>
    <definedName name="_c01234">Word</definedName>
    <definedName name="_c0321">Word</definedName>
    <definedName name="_chf2">#REF!</definedName>
    <definedName name="_co1">Word</definedName>
    <definedName name="_co10">Word</definedName>
    <definedName name="_co12">Word</definedName>
    <definedName name="_co123">Word</definedName>
    <definedName name="_co1233">Word</definedName>
    <definedName name="_co1234">Word</definedName>
    <definedName name="_co124">Word</definedName>
    <definedName name="_CO18">Word</definedName>
    <definedName name="_co2">Word</definedName>
    <definedName name="_co21">Word</definedName>
    <definedName name="_co22">Word</definedName>
    <definedName name="_co222">Word</definedName>
    <definedName name="_co23">Word</definedName>
    <definedName name="_co24">Word</definedName>
    <definedName name="_co25">Word</definedName>
    <definedName name="_co3">Word</definedName>
    <definedName name="_co32">#REF!</definedName>
    <definedName name="_co333">Word</definedName>
    <definedName name="_co34">Word</definedName>
    <definedName name="_co345">Word</definedName>
    <definedName name="_co4">Word</definedName>
    <definedName name="_co456">Word</definedName>
    <definedName name="_co5">Word</definedName>
    <definedName name="_co556">Word</definedName>
    <definedName name="_co56">Word</definedName>
    <definedName name="_co78">Word</definedName>
    <definedName name="_co79">Word</definedName>
    <definedName name="_co8">PPt</definedName>
    <definedName name="_co9">Word</definedName>
    <definedName name="_co911">Word</definedName>
    <definedName name="_co912">Word</definedName>
    <definedName name="_CP2">Word</definedName>
    <definedName name="_cp3">Word</definedName>
    <definedName name="_cp4">Word</definedName>
    <definedName name="_Ctb1">IF(IF(#REF!=#REF!,IF(#REF!&lt;&gt;#REF!,IF(#REF!&lt;=#REF!+10,IF(#REF!&gt;=(#REF!-10),1)))),1,0)</definedName>
    <definedName name="_Ctb2">IF(IF(#REF!=#REF!,IF(#REF!&lt;&gt;#REF!,IF(#REF!&lt;=#REF!+10,IF(#REF!&gt;=(#REF!-10),1)))),1,0)</definedName>
    <definedName name="_DAT1">[1]SAPxMK!#REF!</definedName>
    <definedName name="_DAT2">[1]SAPxMK!#REF!</definedName>
    <definedName name="_DAT3">[1]SAPxMK!#REF!</definedName>
    <definedName name="_DAT4">#REF!</definedName>
    <definedName name="_DAT5">#REF!</definedName>
    <definedName name="_DAT6">#REF!</definedName>
    <definedName name="_DAT7">[1]SAPxMK!#REF!</definedName>
    <definedName name="_DAT8">[1]SAPxMK!#REF!</definedName>
    <definedName name="_DAT9">[1]SAPxMK!#REF!</definedName>
    <definedName name="_DRE1">#REF!</definedName>
    <definedName name="_DRE2">#REF!</definedName>
    <definedName name="_DT1">Word</definedName>
    <definedName name="_dt2">Word</definedName>
    <definedName name="_E">#REF!</definedName>
    <definedName name="_Ext3">IF(IF(#REF!=#REF!,IF(#REF!&lt;&gt;#REF!,IF(#REF!&lt;=#REF!+10,IF(#REF!&gt;=(#REF!-10),1)))),1,0)</definedName>
    <definedName name="_Ext4">IF(IF(#REF!=#REF!,IF(#REF!&lt;&gt;#REF!,IF(#REF!&lt;=#REF!+10,IF(#REF!&gt;=(#REF!-10),1)))),1,0)</definedName>
    <definedName name="_fco2">#REF!</definedName>
    <definedName name="_Fill" hidden="1">#REF!</definedName>
    <definedName name="_xlnm._FilterDatabase" localSheetId="0" hidden="1">'Outras Despesas'!$A$4:$AG$879</definedName>
    <definedName name="_xlnm._FilterDatabase" hidden="1">#REF!</definedName>
    <definedName name="_Fx1999">#REF!</definedName>
    <definedName name="_FX2">PPt</definedName>
    <definedName name="_fx99">#REF!</definedName>
    <definedName name="_h9999">Word</definedName>
    <definedName name="_I2" hidden="1">{"PVGraph2",#N/A,FALSE,"PV Data"}</definedName>
    <definedName name="_I22" hidden="1">{"PVGraph2",#N/A,FALSE,"PV Data"}</definedName>
    <definedName name="_I3" hidden="1">{"PVGraph2",#N/A,FALSE,"PV Data"}</definedName>
    <definedName name="_I7">PPt</definedName>
    <definedName name="_II2" hidden="1">{"PVGraph2",#N/A,FALSE,"PV Data"}</definedName>
    <definedName name="_INT1">#REF!</definedName>
    <definedName name="_INT2">#REF!</definedName>
    <definedName name="_INT3">#REF!</definedName>
    <definedName name="_INT4">#REF!</definedName>
    <definedName name="_INT5">#REF!</definedName>
    <definedName name="_INT6">#REF!</definedName>
    <definedName name="_IPO2">PPt</definedName>
    <definedName name="_K2">Word</definedName>
    <definedName name="_Key1" hidden="1">#REF!</definedName>
    <definedName name="_Key2" hidden="1">#REF!</definedName>
    <definedName name="_LinkPic_346888EA09C543CFB05B7FD2CF804DE9">#REF!</definedName>
    <definedName name="_LinkPic_50B91DDB06554ECA9B03EE1BE99C9F2D">#REF!</definedName>
    <definedName name="_LinkPic_589850C6990A435CA5C7BB9DA811A778">#REF!</definedName>
    <definedName name="_LinkPic_99F7FE748B644402A364491752B83E6F">#REF!</definedName>
    <definedName name="_m2">Word</definedName>
    <definedName name="_MAE2">#REF!</definedName>
    <definedName name="_MAE50">#REF!</definedName>
    <definedName name="_mxn2">#REF!</definedName>
    <definedName name="_Order1" hidden="1">255</definedName>
    <definedName name="_Order2" hidden="1">255</definedName>
    <definedName name="_PAG1">#REF!</definedName>
    <definedName name="_PAG10">#REF!</definedName>
    <definedName name="_PAG11">#REF!</definedName>
    <definedName name="_PAG2">#REF!</definedName>
    <definedName name="_PAG3">#REF!</definedName>
    <definedName name="_PAG5">#REF!</definedName>
    <definedName name="_PAG6">#REF!</definedName>
    <definedName name="_PAG8">#REF!</definedName>
    <definedName name="_PAG9">#REF!</definedName>
    <definedName name="_PG1">#REF!</definedName>
    <definedName name="_PG3">#REF!</definedName>
    <definedName name="_PL124">#REF!</definedName>
    <definedName name="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Q1">Word</definedName>
    <definedName name="_q22">Word</definedName>
    <definedName name="_QUA2">#REF!</definedName>
    <definedName name="_QUA3">#REF!</definedName>
    <definedName name="_QUA4">#REF!</definedName>
    <definedName name="_QUA5">#REF!</definedName>
    <definedName name="_Report">"Print All"</definedName>
    <definedName name="_res2">#REF!,#REF!,#REF!,#REF!,#REF!,#REF!,#REF!,#REF!</definedName>
    <definedName name="_RS04">#N/A</definedName>
    <definedName name="_S_Base">{0.1;0;0.382758620689655;0;0;0;0.258620689655172;0;0.258620689655172}</definedName>
    <definedName name="_S_new_case">{0.1;0;0.45;0;0;0;0;0;0.45}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us99">#REF!</definedName>
    <definedName name="_v5555">Word</definedName>
    <definedName name="_w1" hidden="1">{"PVGraph2",#N/A,FALSE,"PV Data"}</definedName>
    <definedName name="_w12" hidden="1">{"PVGraph2",#N/A,FALSE,"PV Data"}</definedName>
    <definedName name="_w2" hidden="1">{"PVGraph2",#N/A,FALSE,"PV Data"}</definedName>
    <definedName name="_w3" hidden="1">{"PVGraph2",#N/A,FALSE,"PV Data"}</definedName>
    <definedName name="_w4">Word</definedName>
    <definedName name="_w5">Word</definedName>
    <definedName name="_w9" hidden="1">{"PVGraph2",#N/A,FALSE,"PV Data"}</definedName>
    <definedName name="_WC2">#REF!</definedName>
    <definedName name="_x2" hidden="1">{"PVGraph2",#N/A,FALSE,"PV Data"}</definedName>
    <definedName name="_y2" hidden="1">{"PVGraph2",#N/A,FALSE,"PV Data"}</definedName>
    <definedName name="_y22" hidden="1">{"PVGraph2",#N/A,FALSE,"PV Data"}</definedName>
    <definedName name="_ZZ20000">#REF!</definedName>
    <definedName name="A">#REF!</definedName>
    <definedName name="A.1.d1start">#REF!</definedName>
    <definedName name="A.1.d2abr">#REF!</definedName>
    <definedName name="A.1.d2ago">#REF!</definedName>
    <definedName name="A.1.d2dez">#REF!</definedName>
    <definedName name="A.1.d2jan">#REF!</definedName>
    <definedName name="A.1.d2jul">#REF!</definedName>
    <definedName name="A.1.d2jun">#REF!</definedName>
    <definedName name="A.1.d2mai">#REF!</definedName>
    <definedName name="A.1.d2mar">#REF!</definedName>
    <definedName name="A.1.d2nov">#REF!</definedName>
    <definedName name="A.1.d2out">#REF!</definedName>
    <definedName name="A.1.d2set">#REF!</definedName>
    <definedName name="A.1.d3abr">#REF!</definedName>
    <definedName name="A.1.d3ago">#REF!</definedName>
    <definedName name="A.1.d3dez">#REF!</definedName>
    <definedName name="A.1.d3fev">#REF!</definedName>
    <definedName name="A.1.d3jan">#REF!</definedName>
    <definedName name="A.1.d3jul">#REF!</definedName>
    <definedName name="A.1.d3jun">#REF!</definedName>
    <definedName name="A.1.d3mai">#REF!</definedName>
    <definedName name="A.1.d3mar">#REF!</definedName>
    <definedName name="A.1.d3nov">#REF!</definedName>
    <definedName name="A.1.d3out">#REF!</definedName>
    <definedName name="A.1.d3set">#REF!</definedName>
    <definedName name="A.1.dAbr">#REF!</definedName>
    <definedName name="A.1.dAgo">#REF!</definedName>
    <definedName name="A.1.dDez">#REF!</definedName>
    <definedName name="A.1.dFev">#REF!</definedName>
    <definedName name="A.1.dJan">#REF!</definedName>
    <definedName name="A.1.dJul">#REF!</definedName>
    <definedName name="A.1.dJun">#REF!</definedName>
    <definedName name="A.1.dMai">#REF!</definedName>
    <definedName name="A.1.dMar">#REF!</definedName>
    <definedName name="A.1.dNov">#REF!</definedName>
    <definedName name="A.1.dOut">#REF!</definedName>
    <definedName name="A.1.dSet">#REF!</definedName>
    <definedName name="A.1.dstart">#REF!</definedName>
    <definedName name="A.3.aabr">#REF!</definedName>
    <definedName name="A.3.aago">#REF!</definedName>
    <definedName name="A.3.adez">#REF!</definedName>
    <definedName name="A.3.afev">#REF!</definedName>
    <definedName name="A.3.ajan">#REF!</definedName>
    <definedName name="A.3.ajul">#REF!</definedName>
    <definedName name="A.3.ajun">#REF!</definedName>
    <definedName name="A.3.amai">#REF!</definedName>
    <definedName name="A.3.amar">#REF!</definedName>
    <definedName name="A.3.anov">#REF!</definedName>
    <definedName name="A.3.aout">#REF!</definedName>
    <definedName name="A.3.aset">#REF!</definedName>
    <definedName name="A.3.babr">#REF!</definedName>
    <definedName name="A.3.bago">#REF!</definedName>
    <definedName name="A.3.bdez">#REF!</definedName>
    <definedName name="A.3.bfev">#REF!</definedName>
    <definedName name="A.3.bjan">#REF!</definedName>
    <definedName name="A.3.bjul">#REF!</definedName>
    <definedName name="A.3.bjun">#REF!</definedName>
    <definedName name="A.3.bmai">#REF!</definedName>
    <definedName name="A.3.bmar">#REF!</definedName>
    <definedName name="A.3.bnov">#REF!</definedName>
    <definedName name="A.3.bout">#REF!</definedName>
    <definedName name="A.3.bset">#REF!</definedName>
    <definedName name="A.3.cabr">#REF!</definedName>
    <definedName name="A.3.cago">#REF!</definedName>
    <definedName name="A.3.cdez">#REF!</definedName>
    <definedName name="A.3.cfev">#REF!</definedName>
    <definedName name="A.3.cjan">#REF!</definedName>
    <definedName name="A.3.cjul">#REF!</definedName>
    <definedName name="A.3.cjun">#REF!</definedName>
    <definedName name="A.3.cmai">#REF!</definedName>
    <definedName name="A.3.cmar">#REF!</definedName>
    <definedName name="A.3.cnov">#REF!</definedName>
    <definedName name="A.3.cout">#REF!</definedName>
    <definedName name="A.3.cset">#REF!</definedName>
    <definedName name="A.4ent">#REF!</definedName>
    <definedName name="A0">#REF!</definedName>
    <definedName name="aaa" hidden="1">{"FS`s",#N/A,TRUE,"FS's";"Icome St",#N/A,TRUE,"Income St.";"Balance Sh",#N/A,TRUE,"Balance Sh.";"Gross Margin",#N/A,TRUE,"Gross Margin"}</definedName>
    <definedName name="aaaaa">#REF!</definedName>
    <definedName name="AACFHDRCOL">#REF!</definedName>
    <definedName name="AACFHDRROW">#REF!</definedName>
    <definedName name="AACFWKS">#REF!</definedName>
    <definedName name="AACFWKS1">#REF!</definedName>
    <definedName name="AACFWKS2">#REF!</definedName>
    <definedName name="AAWSSIDEWAYS">#REF!</definedName>
    <definedName name="abcd5">#REF!</definedName>
    <definedName name="ABEDIVGRAF">#REF!</definedName>
    <definedName name="acc">#REF!</definedName>
    <definedName name="AccessDatabase" hidden="1">"R:\Common\Mandates\Projeto Global\Valuation\Valuation Model_17082005 final.mdb"</definedName>
    <definedName name="ACOMPA_FATURAMENTO">#REF!</definedName>
    <definedName name="ACTAPRFEE">#REF!</definedName>
    <definedName name="ACTAPRINT">#REF!</definedName>
    <definedName name="ACTAUGFEE">#REF!</definedName>
    <definedName name="ACTAUGINT">#REF!</definedName>
    <definedName name="ACTDECFEE">#REF!</definedName>
    <definedName name="ACTDECINT">#REF!</definedName>
    <definedName name="ACTFEBFEE">#REF!</definedName>
    <definedName name="ACTFEBINT">#REF!</definedName>
    <definedName name="ACTJANFEE">#REF!</definedName>
    <definedName name="ACTJANINT">#REF!</definedName>
    <definedName name="ACTJULFEE">#REF!</definedName>
    <definedName name="ACTJULINT">#REF!</definedName>
    <definedName name="ACTJUNFEE">#REF!</definedName>
    <definedName name="ACTJUNINT">#REF!</definedName>
    <definedName name="ACTMARFEE">#REF!</definedName>
    <definedName name="ACTMARINT">#REF!</definedName>
    <definedName name="ACTMAYFEE">#REF!</definedName>
    <definedName name="ACTMAYINT">#REF!</definedName>
    <definedName name="ACTNOVFEE">#REF!</definedName>
    <definedName name="ACTNOVINT">#REF!</definedName>
    <definedName name="ACTOCTFEE">#REF!</definedName>
    <definedName name="ACTOCTINT">#REF!</definedName>
    <definedName name="ACTSEPFEE">#REF!</definedName>
    <definedName name="ACTSEPINT">#REF!</definedName>
    <definedName name="ad214\">#REF!</definedName>
    <definedName name="additional_trans_costs">#REF!</definedName>
    <definedName name="AdicionalIR">#REF!</definedName>
    <definedName name="ADJUST">#REF!</definedName>
    <definedName name="ADJUSTMENTS">#REF!</definedName>
    <definedName name="ADM">'[2]adm_com APR'!$AF$3:$AN$24,'[2]adm_com APR'!$AF$27:$AN$48</definedName>
    <definedName name="ADMCOM_VTTO">#REF!</definedName>
    <definedName name="admLinha_I">#REF!,#REF!,#REF!</definedName>
    <definedName name="admLinha_P">#REF!,#REF!,#REF!</definedName>
    <definedName name="ADMPL1_VTTO">#REF!</definedName>
    <definedName name="ADMPL2_VTTO">#REF!</definedName>
    <definedName name="ADMPL3_VTTO">#REF!</definedName>
    <definedName name="ADMPL4_VTTO">#REF!</definedName>
    <definedName name="ADMPL5_VTTO">#REF!</definedName>
    <definedName name="ADMSUC_VTTO">#REF!</definedName>
    <definedName name="Agr.Contable">#REF!</definedName>
    <definedName name="AJUSTADO">#REF!</definedName>
    <definedName name="alfabetica">#REF!</definedName>
    <definedName name="ANÁLISE_DA_ENERGIA_COMPRADA">#REF!</definedName>
    <definedName name="ANÁLISE_F1">#REF!</definedName>
    <definedName name="ANÁLISE_F2">#REF!</definedName>
    <definedName name="ANÁLISE_F3">#REF!</definedName>
    <definedName name="ANÁLISE_F4">#REF!</definedName>
    <definedName name="ANÁLISE_REAL_REAL">#REF!</definedName>
    <definedName name="ANEXO98">#REF!</definedName>
    <definedName name="ANEXO99">#REF!</definedName>
    <definedName name="Annuity_Length">#REF!</definedName>
    <definedName name="Ano_Base">#REF!</definedName>
    <definedName name="AnoDataBase">#REF!</definedName>
    <definedName name="AnodoRelatorio">#REF!</definedName>
    <definedName name="AnodoRelatório">#REF!</definedName>
    <definedName name="anscount" hidden="1">3</definedName>
    <definedName name="antonio" hidden="1">{#N/A,"70% Success",FALSE,"Sales Forecast";#N/A,#N/A,FALSE,"Sheet2"}</definedName>
    <definedName name="ANUALIZADO">#REF!</definedName>
    <definedName name="AP_Lag">#REF!</definedName>
    <definedName name="APOIO2">#REF!</definedName>
    <definedName name="APOIO50">#REF!</definedName>
    <definedName name="APOIOE">#REF!</definedName>
    <definedName name="APOIOG">#REF!</definedName>
    <definedName name="APOIOI">#REF!</definedName>
    <definedName name="APOIOT">#REF!</definedName>
    <definedName name="APOIOV">#REF!</definedName>
    <definedName name="APOIOX">#REF!</definedName>
    <definedName name="APOIOXX">#REF!</definedName>
    <definedName name="AR">#REF!</definedName>
    <definedName name="_xlnm.Print_Area" localSheetId="0">'Outras Despesas'!$A$1:$AB$140</definedName>
    <definedName name="_xlnm.Print_Area">#REF!</definedName>
    <definedName name="Área_impressão_IM">#REF!</definedName>
    <definedName name="Area_impressão_IM2">#REF!</definedName>
    <definedName name="AResid">#REF!</definedName>
    <definedName name="Arv_LE">#REF!</definedName>
    <definedName name="Arv_MC34">#REF!</definedName>
    <definedName name="Arv_MC510">#REF!</definedName>
    <definedName name="Arv_MC67">#REF!</definedName>
    <definedName name="Arv_MC89">#REF!</definedName>
    <definedName name="Arv_ROCE">#REF!</definedName>
    <definedName name="AS2DocOpenMode" hidden="1">"AS2DocumentEdit"</definedName>
    <definedName name="asdfsdfsd">#REF!</definedName>
    <definedName name="ASS">#REF!</definedName>
    <definedName name="ASSETS">#REF!</definedName>
    <definedName name="at">#REF!</definedName>
    <definedName name="ATIVO">#REF!</definedName>
    <definedName name="ATR">#REF!</definedName>
    <definedName name="AUMENTO">#REF!</definedName>
    <definedName name="avail">#REF!</definedName>
    <definedName name="AVPabr">#REF!</definedName>
    <definedName name="AVPago">#REF!</definedName>
    <definedName name="AVPdez">#REF!</definedName>
    <definedName name="AVPfev">#REF!</definedName>
    <definedName name="AVPjan">#REF!</definedName>
    <definedName name="AVPjul">#REF!</definedName>
    <definedName name="AVPjun">#REF!</definedName>
    <definedName name="AVPmai">#REF!</definedName>
    <definedName name="AVPmar">#REF!</definedName>
    <definedName name="AVPnov">#REF!</definedName>
    <definedName name="AVPout">#REF!</definedName>
    <definedName name="AVPset">#REF!</definedName>
    <definedName name="AWAACF">#REF!</definedName>
    <definedName name="AWBALSHT">#REF!</definedName>
    <definedName name="AWCFWKS">#REF!</definedName>
    <definedName name="AWGRPCF">#REF!</definedName>
    <definedName name="AWGRPCF_BRDR">#REF!</definedName>
    <definedName name="AxesFormat">[3]!AxesFormat</definedName>
    <definedName name="ayala">#REF!</definedName>
    <definedName name="b" hidden="1">{#N/A,"30% Success",TRUE,"Sales Forecast";#N/A,#N/A,TRUE,"Sheet2"}</definedName>
    <definedName name="B.1.dabr">#REF!</definedName>
    <definedName name="B.1.dago">#REF!</definedName>
    <definedName name="B.1.ddez">#REF!</definedName>
    <definedName name="B.1.dfev">#REF!</definedName>
    <definedName name="B.1.djan">#REF!</definedName>
    <definedName name="B.1.djul">#REF!</definedName>
    <definedName name="B.1.djun">#REF!</definedName>
    <definedName name="B.1.dmai">#REF!</definedName>
    <definedName name="B.1.dmar">#REF!</definedName>
    <definedName name="B.1.dnov">#REF!</definedName>
    <definedName name="B.1.dout">#REF!</definedName>
    <definedName name="B.1.dset">#REF!</definedName>
    <definedName name="B.1.habr">#REF!</definedName>
    <definedName name="B.1.hago">#REF!</definedName>
    <definedName name="B.1.hdez">#REF!</definedName>
    <definedName name="B.1.hfev">#REF!</definedName>
    <definedName name="B.1.hjan">#REF!</definedName>
    <definedName name="B.1.hjul">#REF!</definedName>
    <definedName name="B.1.hjun">#REF!</definedName>
    <definedName name="B.1.hmai">#REF!</definedName>
    <definedName name="B.1.hmar">#REF!</definedName>
    <definedName name="B.1.hnov">#REF!</definedName>
    <definedName name="B.1.hout">#REF!</definedName>
    <definedName name="B.1.hset">#REF!</definedName>
    <definedName name="B.2.cabr">#REF!</definedName>
    <definedName name="B.2.cago">#REF!</definedName>
    <definedName name="B.2.cdez">#REF!</definedName>
    <definedName name="B.2.cfev">#REF!</definedName>
    <definedName name="B.2.cjan">#REF!</definedName>
    <definedName name="B.2.cjul">#REF!</definedName>
    <definedName name="B.2.cjun">#REF!</definedName>
    <definedName name="B.2.cmai">#REF!</definedName>
    <definedName name="B.2.cmar">#REF!</definedName>
    <definedName name="B.2.cnov">#REF!</definedName>
    <definedName name="B.2.cout">#REF!</definedName>
    <definedName name="B.2.cset">#REF!</definedName>
    <definedName name="B.2.dabr">#REF!</definedName>
    <definedName name="B.2.dago">#REF!</definedName>
    <definedName name="B.2.ddez">#REF!</definedName>
    <definedName name="B.2.dfev">#REF!</definedName>
    <definedName name="B.2.djan">#REF!</definedName>
    <definedName name="B.2.djun">#REF!</definedName>
    <definedName name="B.2.dmai">#REF!</definedName>
    <definedName name="B.2.dmar">#REF!</definedName>
    <definedName name="B.2.dnov">#REF!</definedName>
    <definedName name="B.2.dout">#REF!</definedName>
    <definedName name="B.2.dset">#REF!</definedName>
    <definedName name="B.2.eabr">#REF!</definedName>
    <definedName name="B.2.eago">#REF!</definedName>
    <definedName name="B.2.edez">#REF!</definedName>
    <definedName name="B.2.efev">#REF!</definedName>
    <definedName name="B.2.ejan">#REF!</definedName>
    <definedName name="B.2.ejul">#REF!</definedName>
    <definedName name="B.2.ejun">#REF!</definedName>
    <definedName name="B.2.emai">#REF!</definedName>
    <definedName name="B.2.emar">#REF!</definedName>
    <definedName name="B.2.enov">#REF!</definedName>
    <definedName name="B.2.eout">#REF!</definedName>
    <definedName name="B.2.eset">#REF!</definedName>
    <definedName name="B.2.fabr">#REF!</definedName>
    <definedName name="B.2.fago">#REF!</definedName>
    <definedName name="B.2.fdez">#REF!</definedName>
    <definedName name="B.2.ffev">#REF!</definedName>
    <definedName name="B.2.fjan">#REF!</definedName>
    <definedName name="B.2.fjul">#REF!</definedName>
    <definedName name="B.2.fjun">#REF!</definedName>
    <definedName name="B.2.fmai">#REF!</definedName>
    <definedName name="B.2.fmar">#REF!</definedName>
    <definedName name="B.2.fnov">#REF!</definedName>
    <definedName name="B.2.fout">#REF!</definedName>
    <definedName name="B.2.fset">#REF!</definedName>
    <definedName name="B.2.gabr">#REF!</definedName>
    <definedName name="B.2.gago">#REF!</definedName>
    <definedName name="B.2.gdez">#REF!</definedName>
    <definedName name="B.2.gfev">#REF!</definedName>
    <definedName name="B.2.gjan">#REF!</definedName>
    <definedName name="B.2.gjul">#REF!</definedName>
    <definedName name="B.2.gjun">#REF!</definedName>
    <definedName name="B.2.gmai">#REF!</definedName>
    <definedName name="B.2.gmar">#REF!</definedName>
    <definedName name="B.2.gnov">#REF!</definedName>
    <definedName name="B.2.gout">#REF!</definedName>
    <definedName name="B.2.gset">#REF!</definedName>
    <definedName name="B.2.habr">#REF!</definedName>
    <definedName name="B.2.hago">#REF!</definedName>
    <definedName name="B.2.hdez">#REF!</definedName>
    <definedName name="B.2.hfev">#REF!</definedName>
    <definedName name="B.2.hjan">#REF!</definedName>
    <definedName name="B.2.hjul">#REF!</definedName>
    <definedName name="B.2.hjun">#REF!</definedName>
    <definedName name="B.2.hmai">#REF!</definedName>
    <definedName name="B.2.hmar">#REF!</definedName>
    <definedName name="B.2.hnov">#REF!</definedName>
    <definedName name="B.2.hout">#REF!</definedName>
    <definedName name="B.2.hset">#REF!</definedName>
    <definedName name="B0">#REF!</definedName>
    <definedName name="bAL" hidden="1">{"adm_pl",#N/A,FALSE,"PL"}</definedName>
    <definedName name="balance">#REF!</definedName>
    <definedName name="balance1">#REF!</definedName>
    <definedName name="Balanço">#REF!</definedName>
    <definedName name="Balanço_Reais">#REF!</definedName>
    <definedName name="BalançoMil">#REF!</definedName>
    <definedName name="BALGRAF">#REF!</definedName>
    <definedName name="BALSHT">#REF!</definedName>
    <definedName name="BaseIR">#REF!</definedName>
    <definedName name="BaseYear">#REF!</definedName>
    <definedName name="BB">#REF!</definedName>
    <definedName name="BBK">#REF!</definedName>
    <definedName name="BBTITLE">#REF!</definedName>
    <definedName name="BDADO">#REF!</definedName>
    <definedName name="bdanal">#REF!</definedName>
    <definedName name="BdEmp01">#REF!</definedName>
    <definedName name="BGT">#REF!</definedName>
    <definedName name="bid_price_for_shr_of_OPCO">#REF!</definedName>
    <definedName name="bid_trans_costs_USD">#REF!</definedName>
    <definedName name="BLANK">#REF!</definedName>
    <definedName name="BLANK1">#REF!</definedName>
    <definedName name="BLPB10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50" hidden="1">#REF!</definedName>
    <definedName name="BLPB51" hidden="1">#REF!</definedName>
    <definedName name="BLPB52" hidden="1">#REF!</definedName>
    <definedName name="BLPB53" hidden="1">#REF!</definedName>
    <definedName name="BLPB54" hidden="1">#REF!</definedName>
    <definedName name="BLPB55" hidden="1">#REF!</definedName>
    <definedName name="BLPB56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ook_Value">#REF!</definedName>
    <definedName name="BORDERC">#REF!</definedName>
    <definedName name="BORDERC1">#REF!</definedName>
    <definedName name="BORDERCAAWP">#REF!</definedName>
    <definedName name="BORDERNONCUR">#REF!</definedName>
    <definedName name="BORDERR">#REF!</definedName>
    <definedName name="BORDERR1">#REF!</definedName>
    <definedName name="BORDERRAAWP">#REF!</definedName>
    <definedName name="BORDERRWWAP">#REF!</definedName>
    <definedName name="BR_FN">#REF!</definedName>
    <definedName name="brasil">#REF!</definedName>
    <definedName name="Bridge_OP_MBMex_DEM_98">#REF!</definedName>
    <definedName name="Bridge_OP_MBMex_MXP_98">#REF!</definedName>
    <definedName name="Bridge_OP_SECAM_DEM_98">#REF!</definedName>
    <definedName name="Bridge_OP_SECAM_MXP_98">#REF!</definedName>
    <definedName name="Bridge_OP_Trucks_NAFTA_MXP_98">#REF!</definedName>
    <definedName name="Bridge_OP_Trucks_NAFTA_USD_98">#REF!</definedName>
    <definedName name="BRIX">#REF!</definedName>
    <definedName name="BRIX2">#REF!</definedName>
    <definedName name="brl">#REF!</definedName>
    <definedName name="BS_AP">#REF!</definedName>
    <definedName name="BS_AR">#REF!</definedName>
    <definedName name="BS_Cash">#REF!</definedName>
    <definedName name="BS_CL">#REF!</definedName>
    <definedName name="BS_Convertible_Debt">#REF!</definedName>
    <definedName name="BS_Convertible_Preferred">#REF!</definedName>
    <definedName name="BS_Deferred_Taxes">#REF!</definedName>
    <definedName name="BS_Equity">#REF!</definedName>
    <definedName name="BS_Intangibles">#REF!</definedName>
    <definedName name="BS_Inventory">#REF!</definedName>
    <definedName name="BS_Investments">#REF!</definedName>
    <definedName name="BS_Minority">#REF!</definedName>
    <definedName name="BS_Other_CA">#REF!</definedName>
    <definedName name="BS_Other_LTAssets">#REF!</definedName>
    <definedName name="BS_Other_LTLiabilities">#REF!</definedName>
    <definedName name="BS_PPE">#REF!</definedName>
    <definedName name="BS_Revolver">#REF!</definedName>
    <definedName name="BS_Straight_Debt">#REF!</definedName>
    <definedName name="BS_Straight_Preferred">#REF!</definedName>
    <definedName name="BS_TitleRow">#REF!</definedName>
    <definedName name="BSTITLE">#REF!</definedName>
    <definedName name="BSTITLE1">#REF!</definedName>
    <definedName name="BUD">#REF!</definedName>
    <definedName name="BUDAPRFEE">#REF!</definedName>
    <definedName name="BUDAPRINT">#REF!</definedName>
    <definedName name="BUDAUGFEE">#REF!</definedName>
    <definedName name="BUDAUGINT">#REF!</definedName>
    <definedName name="BUDDECFEE">#REF!</definedName>
    <definedName name="BUDDECINT">#REF!</definedName>
    <definedName name="BUDFEBFEE">#REF!</definedName>
    <definedName name="BUDFEBINT">#REF!</definedName>
    <definedName name="BUDGET">#REF!</definedName>
    <definedName name="BUDJANFEE">#REF!</definedName>
    <definedName name="BUDJANINT">#REF!</definedName>
    <definedName name="BUDJULFEE">#REF!</definedName>
    <definedName name="BUDJULINT">#REF!</definedName>
    <definedName name="BUDJUNFEE">#REF!</definedName>
    <definedName name="BUDJUNINT">#REF!</definedName>
    <definedName name="BUDMARFEE">#REF!</definedName>
    <definedName name="BUDMARINT">#REF!</definedName>
    <definedName name="BUDMAYFEE">#REF!</definedName>
    <definedName name="BUDMAYINT">#REF!</definedName>
    <definedName name="BUDNOVFEE">#REF!</definedName>
    <definedName name="BUDNOVINT">#REF!</definedName>
    <definedName name="BUDOCTFEE">#REF!</definedName>
    <definedName name="BUDOCTINT">#REF!</definedName>
    <definedName name="BUDSEPFEE">#REF!</definedName>
    <definedName name="BUDSEPINT">#REF!</definedName>
    <definedName name="BuiltIn_Consolidate_Area___1">NA()</definedName>
    <definedName name="BuiltIn_Consolidate_Area___1___0">NA()</definedName>
    <definedName name="BuiltIn_Consolidate_Area___1___0___0">NA()</definedName>
    <definedName name="BuiltIn_Consolidate_Area___1___0___0___0">NA()</definedName>
    <definedName name="BuiltIn_Consolidate_Area___1___0___0___0___0">NA()</definedName>
    <definedName name="BuiltIn_Consolidate_Area___1___0___0___0___0___0">NA()</definedName>
    <definedName name="BuiltIn_Consolidate_Area___1___0___0___0___0___0___0">NA()</definedName>
    <definedName name="BuiltIn_Consolidate_Area___1___1">NA()</definedName>
    <definedName name="BuiltIn_Consolidate_Area___10">NA()</definedName>
    <definedName name="BuiltIn_Consolidate_Area___11">NA()</definedName>
    <definedName name="BuiltIn_Consolidate_Area___12">NA()</definedName>
    <definedName name="BuiltIn_Consolidate_Area___13">NA()</definedName>
    <definedName name="BuiltIn_Consolidate_Area___14">NA()</definedName>
    <definedName name="BuiltIn_Consolidate_Area___2">NA()</definedName>
    <definedName name="BuiltIn_Consolidate_Area___2___0">NA()</definedName>
    <definedName name="BuiltIn_Consolidate_Area___2___0___0">NA()</definedName>
    <definedName name="BuiltIn_Consolidate_Area___2___0___0___0">NA()</definedName>
    <definedName name="BuiltIn_Consolidate_Area___2___0___0___0___0">NA()</definedName>
    <definedName name="BuiltIn_Consolidate_Area___2___0___0___0___0___0">NA()</definedName>
    <definedName name="BuiltIn_Consolidate_Area___2___0___0___0___0___0___0">NA()</definedName>
    <definedName name="BuiltIn_Consolidate_Area___2___0___0___0___0___0___0___0">NA()</definedName>
    <definedName name="BuiltIn_Consolidate_Area___2___0___0___0___0___0___0___0___0">NA()</definedName>
    <definedName name="BuiltIn_Consolidate_Area___2___0___0___0___0___0___0___0___0___0">NA()</definedName>
    <definedName name="BuiltIn_Consolidate_Area___2___0___0___0___0___0___0___0___0___0___0">NA()</definedName>
    <definedName name="BuiltIn_Consolidate_Area___2___0___0___0___0___0___0___0___0___0___0___0">NA()</definedName>
    <definedName name="BuiltIn_Consolidate_Area___2___2">NA()</definedName>
    <definedName name="BuiltIn_Consolidate_Area___2___2___0">NA()</definedName>
    <definedName name="BuiltIn_Consolidate_Area___2___2___0___0">NA()</definedName>
    <definedName name="BuiltIn_Consolidate_Area___2___2___0___0___0">NA()</definedName>
    <definedName name="BuiltIn_Consolidate_Area___2___2___0___0___0___0">NA()</definedName>
    <definedName name="BuiltIn_Consolidate_Area___2___2___0___0___0___0___0">NA()</definedName>
    <definedName name="BuiltIn_Consolidate_Area___2___2___0___0___0___0___0___0">NA()</definedName>
    <definedName name="BuiltIn_Consolidate_Area___2___2___0___0___0___0___0___0___0">NA()</definedName>
    <definedName name="BuiltIn_Consolidate_Area___2___2___0___0___0___0___0___0___0___0">NA()</definedName>
    <definedName name="BuiltIn_Consolidate_Area___3">NA()</definedName>
    <definedName name="BuiltIn_Consolidate_Area___3___0">NA()</definedName>
    <definedName name="BuiltIn_Consolidate_Area___4">NA()</definedName>
    <definedName name="BuiltIn_Consolidate_Area___4___0">NA()</definedName>
    <definedName name="BuiltIn_Consolidate_Area___5">NA()</definedName>
    <definedName name="BuiltIn_Consolidate_Area___5___0">NA()</definedName>
    <definedName name="BuiltIn_Consolidate_Area___6">NA()</definedName>
    <definedName name="BuiltIn_Consolidate_Area___6___0">NA()</definedName>
    <definedName name="BuiltIn_Consolidate_Area___7">NA()</definedName>
    <definedName name="BuiltIn_Consolidate_Area___7___0">NA()</definedName>
    <definedName name="BuiltIn_Consolidate_Area___8">NA()</definedName>
    <definedName name="BuiltIn_Consolidate_Area___9">NA()</definedName>
    <definedName name="BuiltIn_Consolidate_Area___9___0">NA()</definedName>
    <definedName name="Bus_growth">#REF!</definedName>
    <definedName name="Button_27">"Valuation_Model_17082005_final_Avionics_List"</definedName>
    <definedName name="C.4">#REF!</definedName>
    <definedName name="C.SOCIAL.2TRIM">#REF!</definedName>
    <definedName name="C.SOCIAL.3TRIM">#REF!</definedName>
    <definedName name="C.SOCIAL.4TRIM">#REF!</definedName>
    <definedName name="ca" hidden="1">{#N/A,"70% Success",FALSE,"Sales Forecast";#N/A,#N/A,FALSE,"Sheet2"}</definedName>
    <definedName name="caixa100">#REF!</definedName>
    <definedName name="caixa115">#REF!</definedName>
    <definedName name="Canti">#REF!</definedName>
    <definedName name="capacity">#REF!</definedName>
    <definedName name="capex">#REF!</definedName>
    <definedName name="CAPM">#REF!</definedName>
    <definedName name="carlos" hidden="1">{#N/A,"10% Success",FALSE,"Sales Forecast";#N/A,#N/A,FALSE,"Sheet2"}</definedName>
    <definedName name="cash1">#REF!</definedName>
    <definedName name="CASHFLOW">#REF!</definedName>
    <definedName name="CASHFLOW1">#REF!</definedName>
    <definedName name="cat">#REF!</definedName>
    <definedName name="CATEGORY">#REF!</definedName>
    <definedName name="CATEGORY2">#REF!</definedName>
    <definedName name="CC">#REF!</definedName>
    <definedName name="CCC">#REF!</definedName>
    <definedName name="CCTEMP">#REF!</definedName>
    <definedName name="CD">'[4]RELAÇÃO DE PLACAS'!$A$5:$A$179</definedName>
    <definedName name="CDGDFGXDFRDZSFSDFRTGTHYGFDSDFGHJHGFDSDFGHJHGFDFGHJHGVC">PPt</definedName>
    <definedName name="Cenibra2">Word</definedName>
    <definedName name="CESP_purchase_switch">#REF!</definedName>
    <definedName name="CF_Amortization">#REF!</definedName>
    <definedName name="CF_AP">#REF!</definedName>
    <definedName name="CF_AR">#REF!</definedName>
    <definedName name="CF_Beg_Cash">#REF!</definedName>
    <definedName name="CF_Capex">#REF!</definedName>
    <definedName name="CF_Convertible_Debt">#REF!</definedName>
    <definedName name="CF_Convertible_Preferred">#REF!</definedName>
    <definedName name="CF_Deferred_Taxes">#REF!</definedName>
    <definedName name="CF_Depreciation">#REF!</definedName>
    <definedName name="CF_Dividends">#REF!</definedName>
    <definedName name="CF_Dividends_Subsidiary">#REF!</definedName>
    <definedName name="CF_Equity">#REF!</definedName>
    <definedName name="CF_Equity_Earnings">#REF!</definedName>
    <definedName name="CF_Inventory">#REF!</definedName>
    <definedName name="CF_Investments">#REF!</definedName>
    <definedName name="CF_Minority_NI">#REF!</definedName>
    <definedName name="CF_NI">#REF!</definedName>
    <definedName name="CF_Non_Cash_Charges">#REF!</definedName>
    <definedName name="CF_Non_Cash_Interest">#REF!</definedName>
    <definedName name="CF_Non_Cash_Straight_PDividend">#REF!</definedName>
    <definedName name="CF_Other">#REF!</definedName>
    <definedName name="CF_Other_CA">#REF!</definedName>
    <definedName name="CF_Other_CL">#REF!</definedName>
    <definedName name="CF_Straight_Debt">#REF!</definedName>
    <definedName name="CF_Straight_Preferred">#REF!</definedName>
    <definedName name="CF_WKS_TitleRow">#REF!</definedName>
    <definedName name="CFAPRACT">#REF!</definedName>
    <definedName name="CFAPRBUD">#REF!</definedName>
    <definedName name="CFAUGACT">#REF!</definedName>
    <definedName name="CFAUGBUD">#REF!</definedName>
    <definedName name="CFDECACT">#REF!</definedName>
    <definedName name="CFDECBUD">#REF!</definedName>
    <definedName name="cfdfgfdsdfghgfdsadfghjgfdsadfghfdsdzx">PPt</definedName>
    <definedName name="CFFEBACT">#REF!</definedName>
    <definedName name="CFFEBBUD">#REF!</definedName>
    <definedName name="CFJANACT">#REF!</definedName>
    <definedName name="CFJANBUD">#REF!</definedName>
    <definedName name="CFJULACT">#REF!</definedName>
    <definedName name="CFJULBUD">#REF!</definedName>
    <definedName name="CFJUNACT">#REF!</definedName>
    <definedName name="CFJUNBUD">#REF!</definedName>
    <definedName name="CFMARACT">#REF!</definedName>
    <definedName name="CFMARBUD">#REF!</definedName>
    <definedName name="CFMAYACT">#REF!</definedName>
    <definedName name="CFMAYBUD">#REF!</definedName>
    <definedName name="CFNOVACT">#REF!</definedName>
    <definedName name="CFNOVBUD">#REF!</definedName>
    <definedName name="CFOCTACT">#REF!</definedName>
    <definedName name="CFOCTBUD">#REF!</definedName>
    <definedName name="CFSEPACT">#REF!</definedName>
    <definedName name="CFSEPBUD">#REF!</definedName>
    <definedName name="CFTITLE">#REF!</definedName>
    <definedName name="CFTITLE1">#REF!</definedName>
    <definedName name="ChangeRange" hidden="1">#N/A</definedName>
    <definedName name="checklist">#REF!</definedName>
    <definedName name="CheckPlanInfo">#REF!</definedName>
    <definedName name="CheckPreparer">#REF!</definedName>
    <definedName name="CheckYesNo3">#REF!</definedName>
    <definedName name="chf">#REF!</definedName>
    <definedName name="CHGNONCUR">#REF!</definedName>
    <definedName name="CHKLIST">#REF!</definedName>
    <definedName name="CIANETO">#REF!</definedName>
    <definedName name="CIDADE">'[5]Base de dados'!$C$2:$C$5562</definedName>
    <definedName name="CIDADES">[6]CIDADES!$A$2:$C$8994</definedName>
    <definedName name="CKWAPRBUD">#REF!</definedName>
    <definedName name="CKWAUGBUD">#REF!</definedName>
    <definedName name="CKWDECBUD">#REF!</definedName>
    <definedName name="CKWFEBBUD">#REF!</definedName>
    <definedName name="CKWJANBUD">#REF!</definedName>
    <definedName name="CKWJULBUD">#REF!</definedName>
    <definedName name="CKWJUNBUD">#REF!</definedName>
    <definedName name="CKWMARBUD">#REF!</definedName>
    <definedName name="CKWMAYBUD">#REF!</definedName>
    <definedName name="CKWNOVBUD">#REF!</definedName>
    <definedName name="CKWOCTBUD">#REF!</definedName>
    <definedName name="CKWSEPBUD">#REF!</definedName>
    <definedName name="claudia" hidden="1">{#N/A,"70% Success",FALSE,"Sales Forecast";#N/A,#N/A,FALSE,"Sheet2"}</definedName>
    <definedName name="Client">#REF!</definedName>
    <definedName name="Clientes">#REF!</definedName>
    <definedName name="CM">#REF!</definedName>
    <definedName name="coe">#REF!</definedName>
    <definedName name="coe_sim">#REF!</definedName>
    <definedName name="COLETA">'[5]Base de dados'!$B$5572:$B$5574</definedName>
    <definedName name="comLinha_I">#REF!,#REF!,#REF!</definedName>
    <definedName name="comLinha_P">#REF!,#REF!,#REF!</definedName>
    <definedName name="Comma_Range">#REF!</definedName>
    <definedName name="Comma_Range2">#REF!</definedName>
    <definedName name="Commercial_Vehicle_Nafta__MBMex">'[7]Operating Profit (1)'!$A$1:$J$33</definedName>
    <definedName name="COMPRA_2000">#REF!</definedName>
    <definedName name="COMPRA_2001">#REF!</definedName>
    <definedName name="COMPRA_2002">#REF!</definedName>
    <definedName name="COMPRA_2003">#REF!</definedName>
    <definedName name="COMPRA_2004">#REF!</definedName>
    <definedName name="COMPRA_2005">#REF!</definedName>
    <definedName name="COMPRA_2006">#REF!</definedName>
    <definedName name="COMPRA_2007">#REF!</definedName>
    <definedName name="COMPRA_2008">#REF!</definedName>
    <definedName name="COMPRA_2009">#REF!</definedName>
    <definedName name="COMPRA_2010">#REF!</definedName>
    <definedName name="COMPRA_2011">#REF!</definedName>
    <definedName name="Concessão_Malha_Sul" hidden="1">{#N/A,"100% Success",TRUE,"Sales Forecast";#N/A,#N/A,TRUE,"Sheet2"}</definedName>
    <definedName name="consolidado">[3]!consolidado</definedName>
    <definedName name="Cont_Value_Operations">#REF!</definedName>
    <definedName name="CONTAS">#REF!</definedName>
    <definedName name="contrato">#REF!</definedName>
    <definedName name="control_input_2">#REF!</definedName>
    <definedName name="Control_PremiumB">#REF!</definedName>
    <definedName name="controladores">#REF!</definedName>
    <definedName name="conv">#REF!</definedName>
    <definedName name="CONVENIO">#REF!</definedName>
    <definedName name="convmonth">#REF!</definedName>
    <definedName name="convnext">#REF!</definedName>
    <definedName name="convprev">#REF!</definedName>
    <definedName name="CORREÇÃO">#REF!</definedName>
    <definedName name="COST">#REF!</definedName>
    <definedName name="Count">#REF!</definedName>
    <definedName name="Country">PPt</definedName>
    <definedName name="country_adjective">#REF!</definedName>
    <definedName name="country_name">#REF!</definedName>
    <definedName name="country_symbol">#REF!</definedName>
    <definedName name="CP.COMPRAS">#REF!</definedName>
    <definedName name="CP.GER">#REF!</definedName>
    <definedName name="CP.INTERR">#REF!</definedName>
    <definedName name="CP.VENDAS">#REF!</definedName>
    <definedName name="CPKAPRACT">#REF!</definedName>
    <definedName name="CPKAPRBUD">#REF!</definedName>
    <definedName name="CPKAUGACT">#REF!</definedName>
    <definedName name="CPKAUGBUD">#REF!</definedName>
    <definedName name="CPKDECACT">#REF!</definedName>
    <definedName name="CPKDECBUD">#REF!</definedName>
    <definedName name="CPKFEBACT">#REF!</definedName>
    <definedName name="CPKFEBBUD">#REF!</definedName>
    <definedName name="CPKJANACT">#REF!</definedName>
    <definedName name="CPKJANBUD">#REF!</definedName>
    <definedName name="CPKJULACT">#REF!</definedName>
    <definedName name="CPKJULBUD">#REF!</definedName>
    <definedName name="CPKJUNACT">#REF!</definedName>
    <definedName name="CPKJUNBUD">#REF!</definedName>
    <definedName name="CPKMARACT">#REF!</definedName>
    <definedName name="CPKMARBUD">#REF!</definedName>
    <definedName name="CPKMAYACT">#REF!</definedName>
    <definedName name="CPKMAYBUD">#REF!</definedName>
    <definedName name="CPKNOVACT">#REF!</definedName>
    <definedName name="CPKNOVBUD">#REF!</definedName>
    <definedName name="CPKOCTACT">#REF!</definedName>
    <definedName name="CPKOCTBUD">#REF!</definedName>
    <definedName name="CPKSEPACT">#REF!</definedName>
    <definedName name="CPKSEPBUD">#REF!</definedName>
    <definedName name="CPMF">#REF!</definedName>
    <definedName name="CPRAZO">#REF!</definedName>
    <definedName name="CPV">#REF!</definedName>
    <definedName name="CS_NEG">#REF!</definedName>
    <definedName name="CS_PERC">#REF!</definedName>
    <definedName name="CS_PERC2003">#REF!</definedName>
    <definedName name="csrelat">#REF!</definedName>
    <definedName name="CTSN">#REF!</definedName>
    <definedName name="Curr">#REF!</definedName>
    <definedName name="CURRENCY">#REF!</definedName>
    <definedName name="CurrMonth">#REF!</definedName>
    <definedName name="CUSTO">#REF!</definedName>
    <definedName name="CUSTOS">[8]Classif_Produtos!$A$2:$D$1048576</definedName>
    <definedName name="d" hidden="1">{#N/A,"70% Success",FALSE,"Sales Forecast";#N/A,#N/A,FALSE,"Sheet2"}</definedName>
    <definedName name="D.1abr">#REF!</definedName>
    <definedName name="D.1ago">#REF!</definedName>
    <definedName name="D.1dez">#REF!</definedName>
    <definedName name="D.1fev">#REF!</definedName>
    <definedName name="D.1jan">#REF!</definedName>
    <definedName name="D.1jul">#REF!</definedName>
    <definedName name="D.1jun">#REF!</definedName>
    <definedName name="D.1mai">#REF!</definedName>
    <definedName name="D.1mar">#REF!</definedName>
    <definedName name="D.1nov">#REF!</definedName>
    <definedName name="D.1out">#REF!</definedName>
    <definedName name="D.1set">#REF!</definedName>
    <definedName name="D.3abr">#REF!</definedName>
    <definedName name="D.3ago">#REF!</definedName>
    <definedName name="D.3dez">#REF!</definedName>
    <definedName name="D.3fev">#REF!</definedName>
    <definedName name="D.3jan">#REF!</definedName>
    <definedName name="D.3jun">#REF!</definedName>
    <definedName name="D.3mai">#REF!</definedName>
    <definedName name="D.3mar">#REF!</definedName>
    <definedName name="D.3nov">#REF!</definedName>
    <definedName name="D.3out">#REF!</definedName>
    <definedName name="D.3set">#REF!</definedName>
    <definedName name="D.4abr">#REF!</definedName>
    <definedName name="D.4ago">#REF!</definedName>
    <definedName name="D.4dez">#REF!</definedName>
    <definedName name="D.4fev">#REF!</definedName>
    <definedName name="D.4jan">#REF!</definedName>
    <definedName name="D.4jul">#REF!</definedName>
    <definedName name="D.4jun">#REF!</definedName>
    <definedName name="D.4mai">#REF!</definedName>
    <definedName name="D.4mar">#REF!</definedName>
    <definedName name="D.4nov">#REF!</definedName>
    <definedName name="D.4out">#REF!</definedName>
    <definedName name="D.4set">#REF!</definedName>
    <definedName name="D.5abr">#REF!</definedName>
    <definedName name="D.5ago">#REF!</definedName>
    <definedName name="D.5dez">#REF!</definedName>
    <definedName name="D.5fev">#REF!</definedName>
    <definedName name="D.5jan">#REF!</definedName>
    <definedName name="D.5jul">#REF!</definedName>
    <definedName name="D.5jun">#REF!</definedName>
    <definedName name="D.5mai">#REF!</definedName>
    <definedName name="D.5mar">#REF!</definedName>
    <definedName name="D.5nov">#REF!</definedName>
    <definedName name="D.5out">#REF!</definedName>
    <definedName name="D.5set">#REF!</definedName>
    <definedName name="D.6abr">#REF!</definedName>
    <definedName name="D.6ago">#REF!</definedName>
    <definedName name="D.6dez">#REF!</definedName>
    <definedName name="D.6fev">#REF!</definedName>
    <definedName name="D.6jan">#REF!</definedName>
    <definedName name="D.6jul">#REF!</definedName>
    <definedName name="D.6jun">#REF!</definedName>
    <definedName name="D.6mai">#REF!</definedName>
    <definedName name="D.6mar">#REF!</definedName>
    <definedName name="D.6nov">#REF!</definedName>
    <definedName name="D.6out">#REF!</definedName>
    <definedName name="D.6set">#REF!</definedName>
    <definedName name="d46.">#REF!</definedName>
    <definedName name="dadocx115">#REF!</definedName>
    <definedName name="dadocx87">#REF!</definedName>
    <definedName name="Dados">#REF!</definedName>
    <definedName name="DataeHoradaPesquisa">[9]!Entrada[DEADLINE]&amp;[9]!Entrada[PASTA]</definedName>
    <definedName name="Date">#REF!</definedName>
    <definedName name="DATE1">#REF!</definedName>
    <definedName name="DATE2">#REF!</definedName>
    <definedName name="DATE3">#REF!</definedName>
    <definedName name="DATE4">#REF!</definedName>
    <definedName name="DATEPRYR">#REF!</definedName>
    <definedName name="Days_in_Year">#REF!</definedName>
    <definedName name="DB">"WIRENYPROD"</definedName>
    <definedName name="dbtoeq">#REF!</definedName>
    <definedName name="DCF_analysis___Standard_model">#REF!</definedName>
    <definedName name="deb_tne_a">#REF!</definedName>
    <definedName name="deb_tne_b">#REF!</definedName>
    <definedName name="deb_tne_c">#REF!</definedName>
    <definedName name="deb_tne_d">#REF!</definedName>
    <definedName name="deb_tne_e">#REF!</definedName>
    <definedName name="deb_tne_f">#REF!</definedName>
    <definedName name="deb_tne_g">#REF!</definedName>
    <definedName name="deb_tne_h">#REF!</definedName>
    <definedName name="deb_tne_i">#REF!</definedName>
    <definedName name="deb_tne_j">#REF!</definedName>
    <definedName name="deb_tne_k">#REF!</definedName>
    <definedName name="deb_tne_l">#REF!</definedName>
    <definedName name="deb_tne_m">#REF!</definedName>
    <definedName name="deb_tne_n">#REF!</definedName>
    <definedName name="deb_tne_o">#REF!</definedName>
    <definedName name="deb_tne_p">#REF!</definedName>
    <definedName name="deb_tne_q">#REF!</definedName>
    <definedName name="deb_tne_r">#REF!</definedName>
    <definedName name="DEBTPERC">#REF!</definedName>
    <definedName name="DEDÉ">#REF!</definedName>
    <definedName name="DEM">[10]MBMex!$A$49:$U$96</definedName>
    <definedName name="DEM_Bdge_OpPft_MBMex">#REF!</definedName>
    <definedName name="DEM_Bdge_OpPft_NAFTA">#REF!</definedName>
    <definedName name="DEM_Bdge_OpPft_SECAM">#REF!</definedName>
    <definedName name="DEM_Op_Pft_SECAM">#REF!</definedName>
    <definedName name="DEM_Op_Pft_Tot_MBMex">#REF!</definedName>
    <definedName name="DEM_Op_Pft_Trucks_NAFTA">#REF!</definedName>
    <definedName name="DEMAUT">'[10]PC SECAM'!$A$49:$U$97</definedName>
    <definedName name="DEMCAM">'[10]CV Nafta'!$A$49:$U$97</definedName>
    <definedName name="DEP_1">#REF!</definedName>
    <definedName name="DEP_2">#REF!</definedName>
    <definedName name="Deparacliente" hidden="1">#REF!</definedName>
    <definedName name="Depr">'[11]MasterData Other'!$U$2:$U$8</definedName>
    <definedName name="DESC">#REF!</definedName>
    <definedName name="desp">[6]DADOS2!#REF!</definedName>
    <definedName name="destinos">#REF!</definedName>
    <definedName name="Detalhamento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DFGHFDSFGHJHGFDSDFGHFDSFGCHFDSXFV">PPt</definedName>
    <definedName name="dfghgfdsadfghjmhgfdsasdfghjgfdsfghjmhgf">PPt</definedName>
    <definedName name="dfghjhgfdfghjhgfdfghjhgfdxsdfghgfdxcfghu">#REF!</definedName>
    <definedName name="dfjxnvjlfbvlzbvlzfshvblzbvlzfhvflvbzdvfb">Word</definedName>
    <definedName name="dfs">#REF!</definedName>
    <definedName name="dgfdgsdggbgfcbfbgcfbgcfbgcnbgnc">#REF!</definedName>
    <definedName name="DIA">#REF!</definedName>
    <definedName name="DiadoRelatório">#REF!</definedName>
    <definedName name="DiasDataBase">#REF!</definedName>
    <definedName name="dificuldade">[12]Premissas!$A$6:$A$9</definedName>
    <definedName name="diretoria">#REF!</definedName>
    <definedName name="DiscountYears">#REF!</definedName>
    <definedName name="dispatch">#REF!</definedName>
    <definedName name="Disponivel">#REF!</definedName>
    <definedName name="dissidio">#REF!</definedName>
    <definedName name="DISTRIBDIV">#REF!</definedName>
    <definedName name="DIVGRAF1">#REF!</definedName>
    <definedName name="divliq">#REF!</definedName>
    <definedName name="DocType">PPt</definedName>
    <definedName name="Dois">#REF!</definedName>
    <definedName name="Dolar">#REF!</definedName>
    <definedName name="Dólar">#REF!</definedName>
    <definedName name="Dollar">#REF!</definedName>
    <definedName name="dollarize">#REF!</definedName>
    <definedName name="draft">#REF!</definedName>
    <definedName name="DRE">{0.1;0;0.45;0;0;0;0;0;0.45}</definedName>
    <definedName name="DRE.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DSO">#REF!</definedName>
    <definedName name="DUTIES">#REF!</definedName>
    <definedName name="dvv">'[13]adm_com APR'!#REF!,'[13]adm_com APR'!$AF$4:$AN$15,'[13]adm_com APR'!#REF!,'[13]adm_com APR'!#REF!,'[13]adm_com APR'!#REF!,'[13]adm_com APR'!#REF!</definedName>
    <definedName name="dvvLinha_I">#REF!,#REF!,#REF!</definedName>
    <definedName name="dvvLinha_P">#REF!,#REF!,#REF!</definedName>
    <definedName name="e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EBITDA_Rec.Liquida_Graf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dew">#REF!</definedName>
    <definedName name="edfd">'[14]Lead time'!#REF!</definedName>
    <definedName name="edw">#REF!</definedName>
    <definedName name="EfComum">#REF!</definedName>
    <definedName name="EfDest">#REF!</definedName>
    <definedName name="EFEITOFINANCEIRO">#REF!</definedName>
    <definedName name="EfFerm">#REF!</definedName>
    <definedName name="EIRR">#REF!</definedName>
    <definedName name="Elasticidade">Word</definedName>
    <definedName name="elkis">#REF!</definedName>
    <definedName name="employee_purchase_switch">#REF!</definedName>
    <definedName name="empresa">#REF!</definedName>
    <definedName name="EN.EXCEDENTE">#REF!</definedName>
    <definedName name="ENCARGOS98">#REF!</definedName>
    <definedName name="ENCARGOS99">#REF!</definedName>
    <definedName name="endereços">#REF!</definedName>
    <definedName name="endereços1">#REF!</definedName>
    <definedName name="ENDIVIDAMENTO">#REF!</definedName>
    <definedName name="ENE_balance_sheet_debt">#REF!</definedName>
    <definedName name="ENE_cost_of_debt">#REF!</definedName>
    <definedName name="ENE_Int">#REF!</definedName>
    <definedName name="ENE_Payments">#REF!</definedName>
    <definedName name="ENERGIA_COMPRADA_2.000">#REF!</definedName>
    <definedName name="English_Title">#REF!</definedName>
    <definedName name="ENPV">#REF!</definedName>
    <definedName name="ENTRADA">#REF!</definedName>
    <definedName name="EPP">#REF!</definedName>
    <definedName name="EPS">#REF!</definedName>
    <definedName name="EPSAPRACT">#REF!</definedName>
    <definedName name="EPSAPRBUD">#REF!</definedName>
    <definedName name="EPSAUGACT">#REF!</definedName>
    <definedName name="EPSAUGBUD">#REF!</definedName>
    <definedName name="EPSDECACT">#REF!</definedName>
    <definedName name="EPSDECBUD">#REF!</definedName>
    <definedName name="EPSFEBACT">#REF!</definedName>
    <definedName name="EPSFEBBUD">#REF!</definedName>
    <definedName name="EPSJANACT">#REF!</definedName>
    <definedName name="EPSJANBUD">#REF!</definedName>
    <definedName name="EPSJULACT">#REF!</definedName>
    <definedName name="EPSJULBUD">#REF!</definedName>
    <definedName name="EPSJUNACT">#REF!</definedName>
    <definedName name="EPSJUNBUD">#REF!</definedName>
    <definedName name="EPSMARACT">#REF!</definedName>
    <definedName name="EPSMARBUD">#REF!</definedName>
    <definedName name="EPSMAYACT">#REF!</definedName>
    <definedName name="EPSMAYBUD">#REF!</definedName>
    <definedName name="EPSNOVACT">#REF!</definedName>
    <definedName name="EPSNOVBUD">#REF!</definedName>
    <definedName name="EPSOCTACT">#REF!</definedName>
    <definedName name="EPSOCTBUD">#REF!</definedName>
    <definedName name="EPSSEPACT">#REF!</definedName>
    <definedName name="EPSSEPBUD">#REF!</definedName>
    <definedName name="EQMARBUD">#REF!</definedName>
    <definedName name="equity_Table">#REF!</definedName>
    <definedName name="equityperc">#REF!</definedName>
    <definedName name="escala">#REF!</definedName>
    <definedName name="escolha">#REF!</definedName>
    <definedName name="esfjioewj">#REF!</definedName>
    <definedName name="ESPIGA1_VTTO">#REF!</definedName>
    <definedName name="ESPIGA2_VTTO">#REF!</definedName>
    <definedName name="ESPIGA3_VTTO">#REF!</definedName>
    <definedName name="EST">#REF!</definedName>
    <definedName name="EST_COMMITT">#REF!</definedName>
    <definedName name="EST_COST">#REF!</definedName>
    <definedName name="EST_COST1">#REF!</definedName>
    <definedName name="EST_D1">#REF!</definedName>
    <definedName name="EST_D3">#REF!</definedName>
    <definedName name="EST_D4">#REF!</definedName>
    <definedName name="EST_D5">#REF!</definedName>
    <definedName name="EST_D6">#REF!</definedName>
    <definedName name="EST_DEV">#REF!</definedName>
    <definedName name="EST_EXIM">#REF!</definedName>
    <definedName name="EST_FIN">#REF!</definedName>
    <definedName name="EST_IDC">#REF!</definedName>
    <definedName name="ESTADO">'[15]RELAÇÃO DE MOTORISTA'!$B$700:$B$726</definedName>
    <definedName name="ESTOQUE" hidden="1">{#N/A,#N/A,FALSE,"BLDC";#N/A,#N/A,FALSE,"RESDC";#N/A,#N/A,FALSE,"BLFV";#N/A,#N/A,FALSE,"RESFV"}</definedName>
    <definedName name="estoque_I">#REF!</definedName>
    <definedName name="estoque_P">#REF!</definedName>
    <definedName name="ETAPA11">#REF!</definedName>
    <definedName name="ETAPA12">#REF!</definedName>
    <definedName name="ETAPA21">#REF!</definedName>
    <definedName name="ETAPA31">#REF!</definedName>
    <definedName name="ETAPA32">#REF!</definedName>
    <definedName name="ETAPA33">#REF!</definedName>
    <definedName name="ETAPA51">#REF!</definedName>
    <definedName name="ETAPA61">#REF!</definedName>
    <definedName name="ETAPA71">#REF!</definedName>
    <definedName name="ETAPA72">#REF!</definedName>
    <definedName name="ETAPA73">#REF!</definedName>
    <definedName name="ETAPA81">#REF!</definedName>
    <definedName name="ETAPA82">#REF!</definedName>
    <definedName name="ETAPA83">#REF!</definedName>
    <definedName name="ETAPA91">#REF!</definedName>
    <definedName name="ETAPA92">#REF!</definedName>
    <definedName name="ETARGET">#REF!</definedName>
    <definedName name="etariff">#REF!</definedName>
    <definedName name="EUR_FX">#REF!</definedName>
    <definedName name="euro">#REF!</definedName>
    <definedName name="EURO_FX">#REF!</definedName>
    <definedName name="euro2">#REF!</definedName>
    <definedName name="ev.Calculation" hidden="1">-4105</definedName>
    <definedName name="ev.Initialized" hidden="1">FALSE</definedName>
    <definedName name="Evolução">#REF!,#REF!,#REF!,#REF!,#REF!</definedName>
    <definedName name="Evolução_Histórica">#REF!</definedName>
    <definedName name="Excel_BuiltIn__FilterDatabase_1">[16]Jan09!$A$4:$N$78</definedName>
    <definedName name="Excel_BuiltIn__FilterDatabase_2">[16]Fev09!$A$4:$O$95</definedName>
    <definedName name="Excel_BuiltIn__FilterDatabase_2_1">#REF!</definedName>
    <definedName name="Excel_BuiltIn__FilterDatabase_3_1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2_1">#REF!</definedName>
    <definedName name="Excel_BuiltIn_Print_Area_8_1">#REF!</definedName>
    <definedName name="Excel_BuiltIn_Print_Area_8_1_1">#REF!</definedName>
    <definedName name="EXIGÍVEL">#REF!</definedName>
    <definedName name="ExpandOutputs">[3]!ExpandOutputs</definedName>
    <definedName name="ExpandVPeriods">[3]!ExpandVPeriods</definedName>
    <definedName name="Expenses">Word</definedName>
    <definedName name="ExportFile">[3]!ExportFile</definedName>
    <definedName name="Extr">#REF!</definedName>
    <definedName name="F">#REF!</definedName>
    <definedName name="F__2013">'[14]Lead time'!#REF!</definedName>
    <definedName name="F_2013">[14]Janeiro!#REF!</definedName>
    <definedName name="FACat">'[11]MasterData Other'!$A$2:$A$4</definedName>
    <definedName name="FACatDetail">'[11]MasterData Other'!$B$7:$B$15</definedName>
    <definedName name="fad" hidden="1">{#N/A,"70% Success",FALSE,"Sales Forecast";#N/A,#N/A,FALSE,"Sheet2"}</definedName>
    <definedName name="Familias">#REF!</definedName>
    <definedName name="fat_2003">#REF!</definedName>
    <definedName name="fat_2004">#REF!</definedName>
    <definedName name="fat_2005">#REF!</definedName>
    <definedName name="FATOR_K">#REF!</definedName>
    <definedName name="FATOR_K2">#REF!</definedName>
    <definedName name="FAType">'[11]MasterData Other'!$V$2:$V$3</definedName>
    <definedName name="fazenda">#REF!</definedName>
    <definedName name="fbac0015_0801">#REF!</definedName>
    <definedName name="FBAC0015_1000">#N/A</definedName>
    <definedName name="FCAPRACT">#REF!</definedName>
    <definedName name="FCAPRBUD">#REF!</definedName>
    <definedName name="FCAUGACT">#REF!</definedName>
    <definedName name="FCAUGBUD">#REF!</definedName>
    <definedName name="FCDECACT">#REF!</definedName>
    <definedName name="FCDECBUD">#REF!</definedName>
    <definedName name="FCFEBACT">#REF!</definedName>
    <definedName name="FCFEBBUD">#REF!</definedName>
    <definedName name="FCJANACT">#REF!</definedName>
    <definedName name="FCJANBUD">#REF!</definedName>
    <definedName name="FCJULACT">#REF!</definedName>
    <definedName name="FCJULBUD">#REF!</definedName>
    <definedName name="FCJUNACT">#REF!</definedName>
    <definedName name="FCJUNBUD">#REF!</definedName>
    <definedName name="FCMARACT">#REF!</definedName>
    <definedName name="FCMARBUD">#REF!</definedName>
    <definedName name="FCMAYACT">#REF!</definedName>
    <definedName name="FCMAYBUD">#REF!</definedName>
    <definedName name="FCNOVACT">#REF!</definedName>
    <definedName name="FCNOVBUD">#REF!</definedName>
    <definedName name="Fco">#REF!</definedName>
    <definedName name="FCOCTACT">#REF!</definedName>
    <definedName name="FCOCTBUD">#REF!</definedName>
    <definedName name="FCSEPACT">#REF!</definedName>
    <definedName name="FCSEPBUD">#REF!</definedName>
    <definedName name="fdgfdghjhgfdsdfghjgfdsfghjgfdsadfghfdsfg">#REF!</definedName>
    <definedName name="fdgmfjgbludxdbvcybfvlcffbvlcgblcfhbgvlcfbvlcfhblcfbhnlcf">#REF!</definedName>
    <definedName name="fdgsexfrdsadfghfdsfgdsadfggddsfvgfd">PPt</definedName>
    <definedName name="Feriados">'[14]Lead time'!#REF!</definedName>
    <definedName name="feriados__2012">'[14]Lead time'!#REF!</definedName>
    <definedName name="feriados__2013">'[14]Lead time'!#REF!</definedName>
    <definedName name="feriados_2012">#REF!</definedName>
    <definedName name="Feriados_2013">'[14]Lead time'!$O$1:$O$65536</definedName>
    <definedName name="FF_2013">[14]Janeiro!#REF!</definedName>
    <definedName name="fghjksjhgfhjgkjhhffkdjhgjfldkfjhbfkdklfjchbkkldfjbvkdjcbvkdjcjfkdfcjvkcjbjvkfjcbvkfjn">PPt</definedName>
    <definedName name="FI">[17]PROCV!$A$1:$D$1172</definedName>
    <definedName name="FIBRA">#REF!</definedName>
    <definedName name="FIBRA2">#REF!</definedName>
    <definedName name="file">#REF!</definedName>
    <definedName name="File_Name">OFFSET([3]!START,0,0,1,1)</definedName>
    <definedName name="FILIAL">'[18]Memoria Calculo Lotação'!$C$3:$J$3</definedName>
    <definedName name="fin_pres_base">#REF!</definedName>
    <definedName name="fin_pres_street">#REF!</definedName>
    <definedName name="fin_pres_upside">#REF!</definedName>
    <definedName name="finali">Word</definedName>
    <definedName name="FLUXO">#REF!</definedName>
    <definedName name="FLUXO1998">#REF!</definedName>
    <definedName name="FLUXO1999">#REF!</definedName>
    <definedName name="FLUXO2000">#REF!</definedName>
    <definedName name="FLUXO98">#REF!</definedName>
    <definedName name="FLUXO99">#REF!</definedName>
    <definedName name="fluxoa">#REF!</definedName>
    <definedName name="fluxob">#REF!</definedName>
    <definedName name="fluxoc">#REF!</definedName>
    <definedName name="fluxod">#REF!</definedName>
    <definedName name="FM">#REF!</definedName>
    <definedName name="Form">'[14]Lead time'!#REF!</definedName>
    <definedName name="FORM_3_1">#REF!</definedName>
    <definedName name="FORM_7">#REF!</definedName>
    <definedName name="FORM_8">#REF!</definedName>
    <definedName name="FPL_AGEND">[19]CFP!$K$80</definedName>
    <definedName name="FPL_CANHOTO">[19]CFP!$K$81</definedName>
    <definedName name="FPL_GRISMIIN">[19]CFP!$K$68</definedName>
    <definedName name="FPL_PALET">[19]CFP!$K$82</definedName>
    <definedName name="FPL_PEDAGIO">[19]CFP!$K$70</definedName>
    <definedName name="FPL_REDFLUV">[19]CFP!$K$74</definedName>
    <definedName name="FPL_REDFLUVMIN">[19]CFP!$K$75</definedName>
    <definedName name="FPL_SEGFLUV">[19]CFP!$K$72</definedName>
    <definedName name="FPL_SEGFLUVMIN">[19]CFP!$K$73</definedName>
    <definedName name="FPL_SUFRAMA">[19]CFP!$K$71</definedName>
    <definedName name="FPL_TAS">[19]CFP!$K$69</definedName>
    <definedName name="FPL_TDE">[19]CFP!$K$76</definedName>
    <definedName name="FPL_TDEMIN">[19]CFP!$K$77</definedName>
    <definedName name="FPL_TRT">[19]CFP!$K$78</definedName>
    <definedName name="FPL_TRTMIN">[19]CFP!$K$79</definedName>
    <definedName name="FPL_TXDESP">[19]CFP!$K$66</definedName>
    <definedName name="frete">[6]DADOS2!$X$2:$X$5</definedName>
    <definedName name="frgfrsgsegraegsgfbxfgbsdfvzsfd">PPt</definedName>
    <definedName name="FS_Bronstein" hidden="1">{"FS`s",#N/A,TRUE,"FS's";"Icome St",#N/A,TRUE,"Income St.";"Balance Sh",#N/A,TRUE,"Balance Sh.";"Gross Margin",#N/A,TRUE,"Gross Margin"}</definedName>
    <definedName name="fsdfsdf" hidden="1">{"FS`s",#N/A,TRUE,"FS's";"Icome St",#N/A,TRUE,"Income St.";"Balance Sh",#N/A,TRUE,"Balance Sh.";"Gross Margin",#N/A,TRUE,"Gross Margin"}</definedName>
    <definedName name="fsjgnsldgblbnlxfunbgfunbçcfngbçcngfbcçfnbgc">#REF!</definedName>
    <definedName name="FT">#REF!</definedName>
    <definedName name="fv">"Rectángulo 12"</definedName>
    <definedName name="FX_2nd_install_PN_purchase">#REF!</definedName>
    <definedName name="FX_debt_pullout">#REF!</definedName>
    <definedName name="FX_Q1_1999">#REF!</definedName>
    <definedName name="fxend">#REF!</definedName>
    <definedName name="G">#REF!</definedName>
    <definedName name="GALP1_VTTO">#REF!</definedName>
    <definedName name="GALP2_VTTO">#REF!</definedName>
    <definedName name="GALP3_VTTO">#REF!</definedName>
    <definedName name="Garr">#REF!</definedName>
    <definedName name="Gastos_Fixos">#REF!</definedName>
    <definedName name="GDSFGFDSFGHFDSADFGHJGFDFGHJGFDGHF">PPt</definedName>
    <definedName name="gdvbtgrfdsfcvgtrfdcvbgfrdcxvbgfdcxvbgfdcxcvvgfdcxvfdx">#REF!</definedName>
    <definedName name="gdxnhlbgdlfbfflvbhlxfhbvldxjvbldxhbvxdflhvbldxvbdxlvbdxfhlvbdf">#REF!</definedName>
    <definedName name="GELEC_VTTO">#REF!</definedName>
    <definedName name="general_exp." hidden="1">{#N/A,"100% Success",TRUE,"Sales Forecast";#N/A,#N/A,TRUE,"Sheet2"}</definedName>
    <definedName name="geral">#REF!</definedName>
    <definedName name="gfdjyhgfdsfghfdfgtfgdfhgfdffgtyresdfgtrdffvgdf">#REF!</definedName>
    <definedName name="gfdnjkgbtrfudbvndxfulvxniufdvbdxvf">#REF!</definedName>
    <definedName name="GFDSFGHJGFDSDFGNGFDSADFGG">'[14]Lead time'!#REF!</definedName>
    <definedName name="GFRIO1_VTTO">#REF!</definedName>
    <definedName name="GFRIO2_VTTO">#REF!</definedName>
    <definedName name="GFRIO3_VTTO">#REF!</definedName>
    <definedName name="ghjj1">#REF!</definedName>
    <definedName name="GHtcs">#REF!</definedName>
    <definedName name="GIF">#REF!</definedName>
    <definedName name="gif_I">#REF!,#REF!,#REF!,#REF!</definedName>
    <definedName name="gif_P">#REF!,#REF!,#REF!,#REF!</definedName>
    <definedName name="Gind">#REF!</definedName>
    <definedName name="gipr">#REF!</definedName>
    <definedName name="GO">#REF!</definedName>
    <definedName name="GOIAPRACT">#REF!</definedName>
    <definedName name="GOIAPRBUD">#REF!</definedName>
    <definedName name="GOIAUGACT">#REF!</definedName>
    <definedName name="GOIAUGBUD">#REF!</definedName>
    <definedName name="GOIDECACT">#REF!</definedName>
    <definedName name="GOIDECBUD">#REF!</definedName>
    <definedName name="GOIFEBACT">#REF!</definedName>
    <definedName name="GOIFEBBUD">#REF!</definedName>
    <definedName name="GOIJANACT">#REF!</definedName>
    <definedName name="GOIJANBUD">#REF!</definedName>
    <definedName name="GOIJULACT">#REF!</definedName>
    <definedName name="GOIJULBUD">#REF!</definedName>
    <definedName name="GOIJUNACT">#REF!</definedName>
    <definedName name="GOIJUNBUD">#REF!</definedName>
    <definedName name="GOIMARACT">#REF!</definedName>
    <definedName name="GOIMARBUD">#REF!</definedName>
    <definedName name="GOIMAYACT">#REF!</definedName>
    <definedName name="GOIMAYBUD">#REF!</definedName>
    <definedName name="GOINOVACT">#REF!</definedName>
    <definedName name="GOINOVBUD">#REF!</definedName>
    <definedName name="GOIOCTACT">#REF!</definedName>
    <definedName name="GOIOCTBUD">#REF!</definedName>
    <definedName name="GOISEPACT">#REF!</definedName>
    <definedName name="GOISEPBUD">#REF!</definedName>
    <definedName name="GR">#REF!</definedName>
    <definedName name="graf_nom">#REF!</definedName>
    <definedName name="graf_real">#REF!</definedName>
    <definedName name="Grains_Corn">#REF!</definedName>
    <definedName name="GRANEL1_VTTO">#REF!</definedName>
    <definedName name="GRANEL2_VTTO">#REF!</definedName>
    <definedName name="GRANEL3_VTTO">#REF!</definedName>
    <definedName name="GROUP">#REF!</definedName>
    <definedName name="GROUPYTD">#REF!</definedName>
    <definedName name="GrpPrtRng">#REF!</definedName>
    <definedName name="GRPTITLE">#REF!</definedName>
    <definedName name="GRPTITLE1">#REF!</definedName>
    <definedName name="GRPTITLE2">#REF!</definedName>
    <definedName name="GrpTitleCol">#REF!</definedName>
    <definedName name="GTcct">#REF!</definedName>
    <definedName name="HDHD">#REF!</definedName>
    <definedName name="heading_currency">#REF!</definedName>
    <definedName name="hgfddghfdsjhfdygdhfvydgvhgfvydgfhxdbfvjhfvbfvhfbvhfvbfhvfvfvfbvdfhv">#REF!</definedName>
    <definedName name="HGFDSFGGDDHGFDFGJHGFDFGNDGHMRTHMTGHJMGFGNDFBFBGFGBNDFGGEFGHGRRFGHHGRDFGHGRDFGB">PPt</definedName>
    <definedName name="HGFDSFGGFDFGHHGFDDFGHJHGFD">#REF!,#REF!,#REF!,#REF!,#REF!,#REF!,#REF!,#REF!</definedName>
    <definedName name="hgfdsfghjgfdsfghjhgfdsadfghjgfdsfghn">PPt</definedName>
    <definedName name="HGFSDFGHJDFGHJGFDSDFGHFDFGHJBVCB">#REF!</definedName>
    <definedName name="hgjg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IPOT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ro">#REF!</definedName>
    <definedName name="horomonth">#REF!</definedName>
    <definedName name="horonext">#REF!</definedName>
    <definedName name="horoprev">#REF!</definedName>
    <definedName name="HR">#REF!</definedName>
    <definedName name="HTML_CodePage" hidden="1">1252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HD:HomePageStuff:New_Home_Page:datafile:ctryprem.html"</definedName>
    <definedName name="HTML_Title" hidden="1">"Country Risk Premiums"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.RENDA.2TRIM">#REF!</definedName>
    <definedName name="I.RENDA.3TRIM">#REF!</definedName>
    <definedName name="I.RENDA.4TRIM">#REF!</definedName>
    <definedName name="iA.1.d2fev">#REF!</definedName>
    <definedName name="ICMS">#REF!</definedName>
    <definedName name="Icms_Venda">#REF!</definedName>
    <definedName name="if" hidden="1">{"FS`s",#N/A,TRUE,"FS's";"Icome St",#N/A,TRUE,"Income St.";"Balance Sh",#N/A,TRUE,"Balance Sh.";"Gross Margin",#N/A,TRUE,"Gross Margin"}</definedName>
    <definedName name="IGPM">#REF!</definedName>
    <definedName name="IGPM_DOLAR_PROJEÇÃO">#REF!</definedName>
    <definedName name="igpm00">#REF!</definedName>
    <definedName name="igpmcur">#REF!</definedName>
    <definedName name="igpmmo">#REF!</definedName>
    <definedName name="IM_MOVPRO">#REF!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P">'[20]2014'!#REF!</definedName>
    <definedName name="imp_br_co">#REF!</definedName>
    <definedName name="imp_cw_co">#REF!</definedName>
    <definedName name="imp_da_co">#REF!</definedName>
    <definedName name="imp_dasa_co">#REF!</definedName>
    <definedName name="imp_is_co">#REF!</definedName>
    <definedName name="imp_la_co">#REF!</definedName>
    <definedName name="imp_lv_co">#REF!</definedName>
    <definedName name="impA.1.a.b1">#REF!</definedName>
    <definedName name="impA.1.a9">#REF!</definedName>
    <definedName name="impA.1.b1">#REF!</definedName>
    <definedName name="impA.1.c1">#REF!</definedName>
    <definedName name="impA.1.d1">#REF!</definedName>
    <definedName name="impA.1.d11">#REF!</definedName>
    <definedName name="impA.1.d2fev">#REF!</definedName>
    <definedName name="impA.1.d2jan">#REF!</definedName>
    <definedName name="impA.1.d3">#REF!</definedName>
    <definedName name="impA.1.d4">#REF!</definedName>
    <definedName name="impA.1.d5">#REF!</definedName>
    <definedName name="impA.2.a1">#REF!</definedName>
    <definedName name="impA.2.b1">#REF!</definedName>
    <definedName name="impA.2.c1">#REF!</definedName>
    <definedName name="impA.2.c2">#REF!</definedName>
    <definedName name="impA.2.c3">#REF!</definedName>
    <definedName name="impA.2.c4">#REF!</definedName>
    <definedName name="impA.2.c5">#REF!</definedName>
    <definedName name="impA.2.c6">#REF!</definedName>
    <definedName name="impA.2.c7">#REF!</definedName>
    <definedName name="impA.2.c8">#REF!</definedName>
    <definedName name="impA.3.a1">#REF!</definedName>
    <definedName name="impA.3.b1">#REF!</definedName>
    <definedName name="impA.3.c1">#REF!</definedName>
    <definedName name="impA.41">#REF!</definedName>
    <definedName name="impAAO1">#REF!</definedName>
    <definedName name="impACOMP.MENSAL1">#REF!</definedName>
    <definedName name="impAO.11">#REF!</definedName>
    <definedName name="impAO.21">#REF!</definedName>
    <definedName name="impAO.31">#REF!</definedName>
    <definedName name="impAO.41">#REF!</definedName>
    <definedName name="impB.1.a.b10">#REF!</definedName>
    <definedName name="impB.1.a18">#REF!</definedName>
    <definedName name="impB.1.c">#REF!</definedName>
    <definedName name="impB.1.c1">#REF!</definedName>
    <definedName name="impB.1.d1">#REF!</definedName>
    <definedName name="impB.1.e1">#REF!</definedName>
    <definedName name="impB.1.f1">#REF!</definedName>
    <definedName name="impB.1.g1">#REF!</definedName>
    <definedName name="impB.1.h1">#REF!</definedName>
    <definedName name="impB.1.i1">#REF!</definedName>
    <definedName name="impB.2.a2">#REF!</definedName>
    <definedName name="impB.2.b2">#REF!</definedName>
    <definedName name="impB.2.c1">#REF!</definedName>
    <definedName name="impB.2.d1">#REF!</definedName>
    <definedName name="impB.2.e1">#REF!</definedName>
    <definedName name="impB.2.f1">#REF!</definedName>
    <definedName name="impB.2.g1">#REF!</definedName>
    <definedName name="impB.2.h1">#REF!</definedName>
    <definedName name="impBRM1">#REF!</definedName>
    <definedName name="impCapa1">#REF!</definedName>
    <definedName name="impD.11">#REF!</definedName>
    <definedName name="impD.12">#REF!</definedName>
    <definedName name="impD.13">#REF!</definedName>
    <definedName name="impD.14">#REF!</definedName>
    <definedName name="impD.15">#REF!</definedName>
    <definedName name="impD.16">#REF!</definedName>
    <definedName name="impD.17">#REF!</definedName>
    <definedName name="impD.18">#REF!</definedName>
    <definedName name="impD.19">#REF!</definedName>
    <definedName name="impD.31">#REF!</definedName>
    <definedName name="impD.41">#REF!</definedName>
    <definedName name="impD.51">#REF!</definedName>
    <definedName name="impD.61">#REF!</definedName>
    <definedName name="impD1.8">#REF!</definedName>
    <definedName name="impEvolução_Histórica1">#REF!</definedName>
    <definedName name="impEvolução_Histórica10">#REF!</definedName>
    <definedName name="impEvolução_Histórica11">#REF!</definedName>
    <definedName name="impEvolução_Histórica12">#REF!</definedName>
    <definedName name="impEvolução_Histórica2">#REF!</definedName>
    <definedName name="impEvolução_Histórica3">#REF!</definedName>
    <definedName name="impEvolução_Histórica4">#REF!</definedName>
    <definedName name="impEvolução_Histórica5">#REF!</definedName>
    <definedName name="impEvolução_Histórica6">#REF!</definedName>
    <definedName name="impEvolução_Histórica7">#REF!</definedName>
    <definedName name="impEvolução_Histórica8">#REF!</definedName>
    <definedName name="impEvolução_Histórica9">#REF!</definedName>
    <definedName name="impÍNDICE.DETALHADO1">#REF!</definedName>
    <definedName name="impindice1">#REF!</definedName>
    <definedName name="ImportFile">[3]!ImportFile</definedName>
    <definedName name="impRM11">#REF!</definedName>
    <definedName name="impRM21">#REF!</definedName>
    <definedName name="imrelat">#REF!</definedName>
    <definedName name="in_Mio_DM_______monthly_average_DM">#REF!</definedName>
    <definedName name="in_Mio_Mex_Peso">#REF!</definedName>
    <definedName name="INCOR">#REF!</definedName>
    <definedName name="Indeterm">#REF!</definedName>
    <definedName name="index">#REF!</definedName>
    <definedName name="INDICE1">#REF!</definedName>
    <definedName name="innercomp_loan">#REF!</definedName>
    <definedName name="INPUT">#REF!</definedName>
    <definedName name="Int">#REF!</definedName>
    <definedName name="int_in_equity_cfs_switch">#REF!</definedName>
    <definedName name="IPO">#REF!</definedName>
    <definedName name="IQ_ADDIN" hidden="1">"AUTO"</definedName>
    <definedName name="IQ_CH" hidden="1">110000</definedName>
    <definedName name="IQ_CONTRACTS_OTHER_COMMODITIES_EQUITIES._FDIC" hidden="1">"c6522"</definedName>
    <definedName name="IQ_CQ" hidden="1">5000</definedName>
    <definedName name="IQ_CY" hidden="1">10000</definedName>
    <definedName name="IQ_DAILY" hidden="1">500000</definedName>
    <definedName name="IQ_EXPENSE_CODE_">"assign"</definedName>
    <definedName name="IQ_FH" hidden="1">100000</definedName>
    <definedName name="IQ_FOREIGN_BRANCHES_U.S._BANKS_LOANS_FDIC" hidden="1">"c6438"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40570.754537037</definedName>
    <definedName name="IQ_NTM" hidden="1">6000</definedName>
    <definedName name="IQ_PERCENT_CHANGE_EST_FFO_12MONTHS" hidden="1">"c1828"</definedName>
    <definedName name="IQ_PERCENT_CHANGE_EST_FFO_12MONTHS_CIQ" hidden="1">"c3769"</definedName>
    <definedName name="IQ_PERCENT_CHANGE_EST_FFO_18MONTHS" hidden="1">"c1829"</definedName>
    <definedName name="IQ_PERCENT_CHANGE_EST_FFO_18MONTHS_CIQ" hidden="1">"c3770"</definedName>
    <definedName name="IQ_PERCENT_CHANGE_EST_FFO_3MONTHS" hidden="1">"c1825"</definedName>
    <definedName name="IQ_PERCENT_CHANGE_EST_FFO_3MONTHS_CIQ" hidden="1">"c3766"</definedName>
    <definedName name="IQ_PERCENT_CHANGE_EST_FFO_6MONTHS" hidden="1">"c1826"</definedName>
    <definedName name="IQ_PERCENT_CHANGE_EST_FFO_6MONTHS_CIQ" hidden="1">"c3767"</definedName>
    <definedName name="IQ_PERCENT_CHANGE_EST_FFO_9MONTHS" hidden="1">"c1827"</definedName>
    <definedName name="IQ_PERCENT_CHANGE_EST_FFO_9MONTHS_CIQ" hidden="1">"c3768"</definedName>
    <definedName name="IQ_PERCENT_CHANGE_EST_FFO_DAY" hidden="1">"c1822"</definedName>
    <definedName name="IQ_PERCENT_CHANGE_EST_FFO_DAY_CIQ" hidden="1">"c3764"</definedName>
    <definedName name="IQ_PERCENT_CHANGE_EST_FFO_MONTH" hidden="1">"c1824"</definedName>
    <definedName name="IQ_PERCENT_CHANGE_EST_FFO_MONTH_CIQ" hidden="1">"c3765"</definedName>
    <definedName name="IQ_PERCENT_CHANGE_EST_FFO_WEEK" hidden="1">"c1823"</definedName>
    <definedName name="IQ_PERCENT_CHANGE_EST_FFO_WEEK_CIQ" hidden="1">"c3795"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1">#REF!</definedName>
    <definedName name="IR_2">#REF!</definedName>
    <definedName name="IR_3">#REF!</definedName>
    <definedName name="ir_perpetuo">#REF!</definedName>
    <definedName name="IR1A">#REF!</definedName>
    <definedName name="IR1B">#REF!</definedName>
    <definedName name="IR1TEMP">#REF!</definedName>
    <definedName name="IR2A">#REF!</definedName>
    <definedName name="IR2B">#REF!</definedName>
    <definedName name="IR2TEMP">#REF!</definedName>
    <definedName name="IR3A">#REF!</definedName>
    <definedName name="IR3B">#REF!</definedName>
    <definedName name="IR3TEMP">#REF!</definedName>
    <definedName name="IR4A">#REF!</definedName>
    <definedName name="IR4B">#REF!</definedName>
    <definedName name="IR4TEMP">#REF!</definedName>
    <definedName name="IR5A">#REF!</definedName>
    <definedName name="IR5B">#REF!</definedName>
    <definedName name="IR5TEMP">#REF!</definedName>
    <definedName name="IR6A">#REF!</definedName>
    <definedName name="IR6B">#REF!</definedName>
    <definedName name="IR6TEMP">#REF!</definedName>
    <definedName name="IRR">#REF!</definedName>
    <definedName name="IRRFACTOR">#REF!</definedName>
    <definedName name="IsColHidden" hidden="1">FALSE</definedName>
    <definedName name="IsLTMColHidden" hidden="1">FALSE</definedName>
    <definedName name="ITEM">'[21]ITEM CONTB.'!$B$5:$D$104</definedName>
    <definedName name="itens">#REF!</definedName>
    <definedName name="j">#REF!</definedName>
    <definedName name="ja">#REF!</definedName>
    <definedName name="jad" hidden="1">{#N/A,"30% Success",TRUE,"Sales Forecast";#N/A,#N/A,TRUE,"Sheet2"}</definedName>
    <definedName name="JANCFACT">#REF!</definedName>
    <definedName name="jghfdsfghjhgfdsdfgfdsdfgfdsfg">#REF!</definedName>
    <definedName name="jhgfdsdfghjhgfghjnbvcvbnhbvcbnnb">PPt</definedName>
    <definedName name="JHGFDSDFGHJKKHGFDFGHJKHGFGHJKL">PPt</definedName>
    <definedName name="JHGFJTXDJRDJTCKTCVGVKGVKHGCVFHKCFGERTYUIKMNBVCCVBNVCXCVBNMMNBVCVBNNBVVBNNBN">PPt</definedName>
    <definedName name="jj" hidden="1">#N/A</definedName>
    <definedName name="jkbhvhcfxghjdfcgjbiçhnfc">PPt</definedName>
    <definedName name="JNFJHDHDH">#REF!</definedName>
    <definedName name="joaquim" hidden="1">{#N/A,"100% Success",TRUE,"Sales Forecast";#N/A,#N/A,TRUE,"Sheet2"}</definedName>
    <definedName name="jsjfbvdxbfdyvbxdlhvblxdvbxdlvbf">Word</definedName>
    <definedName name="ju">#REF!</definedName>
    <definedName name="JUN">#REF!</definedName>
    <definedName name="JXFGHJKHGFGHJKGFGHJK">#REF!</definedName>
    <definedName name="kjgvfgxjkjkhhyrdfokjhcfrdfgcfgghkufvbjggvfcm">#REF!</definedName>
    <definedName name="kjhygtfrdesdrftgyuhijuytfrdfg" hidden="1">#REF!</definedName>
    <definedName name="L_">#REF!</definedName>
    <definedName name="LAB1_VTTO">#REF!</definedName>
    <definedName name="LAB2_VTTO">#REF!</definedName>
    <definedName name="LAB3_VTTO">#REF!</definedName>
    <definedName name="Lavagem">#REF!</definedName>
    <definedName name="LDC_name">#REF!</definedName>
    <definedName name="Letras">#REF!</definedName>
    <definedName name="LIABILITIES">#REF!</definedName>
    <definedName name="LISTA">[22]Plan3!$A$1:$H$7259</definedName>
    <definedName name="ListadeHorários">#REF!</definedName>
    <definedName name="LKJHGFDSWERTYUIOPKMNBVCXXXXXXXXSDFGHJKKJHGFD" hidden="1">#REF!</definedName>
    <definedName name="LLOYDS">#REF!</definedName>
    <definedName name="LOAN">#REF!</definedName>
    <definedName name="local_crncy_name">#REF!</definedName>
    <definedName name="loopfactor">#REF!</definedName>
    <definedName name="LPRAZO">#REF!</definedName>
    <definedName name="Ltitle">#REF!</definedName>
    <definedName name="LucroReal">#REF!</definedName>
    <definedName name="m">#REF!</definedName>
    <definedName name="ma">#REF!</definedName>
    <definedName name="MAAPRCAP">#REF!</definedName>
    <definedName name="MAAPRCO">#REF!</definedName>
    <definedName name="MAAPRCOAL">#REF!</definedName>
    <definedName name="MAAPRDA">#REF!</definedName>
    <definedName name="MAAPRDEP">#REF!</definedName>
    <definedName name="MAAPREOS">#REF!</definedName>
    <definedName name="MAAPREQ">#REF!</definedName>
    <definedName name="MAAPRIAT">#REF!</definedName>
    <definedName name="MAAPRIBIT">#REF!</definedName>
    <definedName name="MAAPRINT">#REF!</definedName>
    <definedName name="MAAPRISN">#REF!</definedName>
    <definedName name="MAAPRNETCONT">#REF!</definedName>
    <definedName name="MAAPRSTEAM">#REF!</definedName>
    <definedName name="MAAPRTAX">#REF!</definedName>
    <definedName name="MAAPRTO">#REF!</definedName>
    <definedName name="MAAPRWHEEL">#REF!</definedName>
    <definedName name="MAAUGCAP">#REF!</definedName>
    <definedName name="MAAUGCO">#REF!</definedName>
    <definedName name="MAAUGCOAL">#REF!</definedName>
    <definedName name="MAAUGDA">#REF!</definedName>
    <definedName name="MAAUGDEP">#REF!</definedName>
    <definedName name="MAAUGEOS">#REF!</definedName>
    <definedName name="MAAUGEQ">#REF!</definedName>
    <definedName name="MAAUGIAT">#REF!</definedName>
    <definedName name="MAAUGIBIT">#REF!</definedName>
    <definedName name="MAAUGINT">#REF!</definedName>
    <definedName name="MAAUGISN">#REF!</definedName>
    <definedName name="MAAUGNETCONT">#REF!</definedName>
    <definedName name="MAAUGSTEAM">#REF!</definedName>
    <definedName name="MAAUGTAX">#REF!</definedName>
    <definedName name="MAAUGTO">#REF!</definedName>
    <definedName name="MAAUGWHEEL">#REF!</definedName>
    <definedName name="MAAUTIAT">#REF!</definedName>
    <definedName name="MADECCAP">#REF!</definedName>
    <definedName name="MADECCO">#REF!</definedName>
    <definedName name="MADECCOAL">#REF!</definedName>
    <definedName name="MADECDA">#REF!</definedName>
    <definedName name="MADECDEP">#REF!</definedName>
    <definedName name="MADECEOS">#REF!</definedName>
    <definedName name="MADECEQ">#REF!</definedName>
    <definedName name="MADECIAT">#REF!</definedName>
    <definedName name="MADECIBIT">#REF!</definedName>
    <definedName name="MADECINT">#REF!</definedName>
    <definedName name="MADECISN">#REF!</definedName>
    <definedName name="MADECNETCONT">#REF!</definedName>
    <definedName name="MADECSTEAM">#REF!</definedName>
    <definedName name="MADECTAX">#REF!</definedName>
    <definedName name="MADECTO">#REF!</definedName>
    <definedName name="MADECWHEEL">#REF!</definedName>
    <definedName name="MAEE">#REF!</definedName>
    <definedName name="MAEG">#REF!</definedName>
    <definedName name="MAEI">#REF!</definedName>
    <definedName name="MAET">#REF!</definedName>
    <definedName name="MAEV">#REF!</definedName>
    <definedName name="MAEX">#REF!</definedName>
    <definedName name="MAEXX">#REF!</definedName>
    <definedName name="MAFEBCAP">#REF!</definedName>
    <definedName name="MAFEBCO">#REF!</definedName>
    <definedName name="MAFEBCOAL">#REF!</definedName>
    <definedName name="MAFEBDA">#REF!</definedName>
    <definedName name="MAFEBDEP">#REF!</definedName>
    <definedName name="MAFEBEOS">#REF!</definedName>
    <definedName name="MAFEBEQ">#REF!</definedName>
    <definedName name="MAFEBIAT">#REF!</definedName>
    <definedName name="MAFEBIBIT">#REF!</definedName>
    <definedName name="MAFEBINT">#REF!</definedName>
    <definedName name="MAFEBISN">#REF!</definedName>
    <definedName name="MAFEBNETCONT">#REF!</definedName>
    <definedName name="MAFEBSTEAM">#REF!</definedName>
    <definedName name="MAFEBTAX">#REF!</definedName>
    <definedName name="MAFEBTO">#REF!</definedName>
    <definedName name="MAFEBWHEEL">#REF!</definedName>
    <definedName name="MAGWAPR">#REF!</definedName>
    <definedName name="MAGWAUG">#REF!</definedName>
    <definedName name="MAGWFEB">#REF!</definedName>
    <definedName name="MAGWJAN">#REF!</definedName>
    <definedName name="MAGWJUL">#REF!</definedName>
    <definedName name="MAGWJUN">#REF!</definedName>
    <definedName name="MAGWMAR">#REF!</definedName>
    <definedName name="MAGWMAY">#REF!</definedName>
    <definedName name="MAIBITJUL">#REF!</definedName>
    <definedName name="MAIBITJUN">#REF!</definedName>
    <definedName name="MAIBITMAY">#REF!</definedName>
    <definedName name="MAISNAPR">#REF!</definedName>
    <definedName name="MAISNFEB">#REF!</definedName>
    <definedName name="MAISNJAN">#REF!</definedName>
    <definedName name="MAISNJUL">#REF!</definedName>
    <definedName name="MAISNJUN">#REF!</definedName>
    <definedName name="MAISNMAR">#REF!</definedName>
    <definedName name="MAISNMAY">#REF!</definedName>
    <definedName name="MAJANCAP">#REF!</definedName>
    <definedName name="MAJANCO">#REF!</definedName>
    <definedName name="MAJANCOAL">#REF!</definedName>
    <definedName name="MAJANDA">#REF!</definedName>
    <definedName name="MAJANDEP">#REF!</definedName>
    <definedName name="MAJANEOS">#REF!</definedName>
    <definedName name="MAJANEQ">#REF!</definedName>
    <definedName name="MAJANIAT">#REF!</definedName>
    <definedName name="MAJANIBIT">#REF!</definedName>
    <definedName name="MAJANINT">#REF!</definedName>
    <definedName name="MAJANISN">#REF!</definedName>
    <definedName name="MAJANNETCONT">#REF!</definedName>
    <definedName name="MAJANSTEAM">#REF!</definedName>
    <definedName name="MAJANTAX">#REF!</definedName>
    <definedName name="MAJANTO">#REF!</definedName>
    <definedName name="MAJANWHEEL">#REF!</definedName>
    <definedName name="MAJULCAP">#REF!</definedName>
    <definedName name="MAJULCO">#REF!</definedName>
    <definedName name="MAJULCOAL">#REF!</definedName>
    <definedName name="MAJULDA">#REF!</definedName>
    <definedName name="MAJULDEP">#REF!</definedName>
    <definedName name="MAJULEOS">#REF!</definedName>
    <definedName name="MAJULEQ">#REF!</definedName>
    <definedName name="MAJULIAT">#REF!</definedName>
    <definedName name="MAJULINT">#REF!</definedName>
    <definedName name="MAJULISN">#REF!</definedName>
    <definedName name="MAJULNETCONT">#REF!</definedName>
    <definedName name="MAJULSTEAM">#REF!</definedName>
    <definedName name="MAJULTAX">#REF!</definedName>
    <definedName name="MAJULTO">#REF!</definedName>
    <definedName name="MAJULWHEEL">#REF!</definedName>
    <definedName name="MAJUNCAP">#REF!</definedName>
    <definedName name="MAJUNCO">#REF!</definedName>
    <definedName name="MAJUNCOAL">#REF!</definedName>
    <definedName name="MAJUNDA">#REF!</definedName>
    <definedName name="MAJUNDEP">#REF!</definedName>
    <definedName name="MAJUNEOS">#REF!</definedName>
    <definedName name="MAJUNEQ">#REF!</definedName>
    <definedName name="MAJUNIAT">#REF!</definedName>
    <definedName name="MAJUNIBIT">#REF!</definedName>
    <definedName name="MAJUNINT">#REF!</definedName>
    <definedName name="MAJUNISN">#REF!</definedName>
    <definedName name="MAJUNNETCONT">#REF!</definedName>
    <definedName name="MAJUNSTEAM">#REF!</definedName>
    <definedName name="MAJUNTAX">#REF!</definedName>
    <definedName name="MAJUNTO">#REF!</definedName>
    <definedName name="MAJUNWHEEL">#REF!</definedName>
    <definedName name="MAMARCAP">#REF!</definedName>
    <definedName name="MAMARCO">#REF!</definedName>
    <definedName name="MAMARCOAL">#REF!</definedName>
    <definedName name="MAMARDA">#REF!</definedName>
    <definedName name="MAMARDEP">#REF!</definedName>
    <definedName name="MAMAREOS">#REF!</definedName>
    <definedName name="MAMAREQ">#REF!</definedName>
    <definedName name="MAMARIAT">#REF!</definedName>
    <definedName name="MAMARIBIT">#REF!</definedName>
    <definedName name="MAMARINT">#REF!</definedName>
    <definedName name="MAMARISN">#REF!</definedName>
    <definedName name="MAMARNETCONT">#REF!</definedName>
    <definedName name="MAMARSTEAM">#REF!</definedName>
    <definedName name="MAMARTAX">#REF!</definedName>
    <definedName name="MAMARTO">#REF!</definedName>
    <definedName name="MAMARWHEEL">#REF!</definedName>
    <definedName name="MAMAYCAP">#REF!</definedName>
    <definedName name="MAMAYCO">#REF!</definedName>
    <definedName name="MAMAYCOAL">#REF!</definedName>
    <definedName name="MAMAYDA">#REF!</definedName>
    <definedName name="MAMAYDEP">#REF!</definedName>
    <definedName name="MAMAYEOS">#REF!</definedName>
    <definedName name="MAMAYEQ">#REF!</definedName>
    <definedName name="MAMAYIAT">#REF!</definedName>
    <definedName name="MAMAYIBIT">#REF!</definedName>
    <definedName name="MAMAYINT">#REF!</definedName>
    <definedName name="MAMAYISN">#REF!</definedName>
    <definedName name="MAMAYNETCONT">#REF!</definedName>
    <definedName name="MAMAYSTEAM">#REF!</definedName>
    <definedName name="MAMAYTAX">#REF!</definedName>
    <definedName name="MAMAYTO">#REF!</definedName>
    <definedName name="MAMAYWHEEL">#REF!</definedName>
    <definedName name="MAMIAPR">#REF!</definedName>
    <definedName name="MAMIAUG">#REF!</definedName>
    <definedName name="MAMIDEC">#REF!</definedName>
    <definedName name="MAMIFEB">#REF!</definedName>
    <definedName name="MAMIJAN">#REF!</definedName>
    <definedName name="MAMIJUL">#REF!</definedName>
    <definedName name="MAMIJUN">#REF!</definedName>
    <definedName name="MAMIMAR">#REF!</definedName>
    <definedName name="MAMIMAY">#REF!</definedName>
    <definedName name="MAMINOV">#REF!</definedName>
    <definedName name="MAMIOCT">#REF!</definedName>
    <definedName name="MAMISEP">#REF!</definedName>
    <definedName name="MANOVCAP">#REF!</definedName>
    <definedName name="MANOVCO">#REF!</definedName>
    <definedName name="MANOVCOAL">#REF!</definedName>
    <definedName name="MANOVDA">#REF!</definedName>
    <definedName name="MANOVDEP">#REF!</definedName>
    <definedName name="MANOVEOS">#REF!</definedName>
    <definedName name="MANOVEQ">#REF!</definedName>
    <definedName name="MANOVIAT">#REF!</definedName>
    <definedName name="MANOVIBIT">#REF!</definedName>
    <definedName name="MANOVINT">#REF!</definedName>
    <definedName name="MANOVISN">#REF!</definedName>
    <definedName name="MANOVNETCONT">#REF!</definedName>
    <definedName name="MANOVSTEAM">#REF!</definedName>
    <definedName name="MANOVTAX">#REF!</definedName>
    <definedName name="MANOVTO">#REF!</definedName>
    <definedName name="MANOVWHEEL">#REF!</definedName>
    <definedName name="MAOCTCAP">#REF!</definedName>
    <definedName name="MAOCTCO">#REF!</definedName>
    <definedName name="MAOCTCOAL">#REF!</definedName>
    <definedName name="MAOCTDA">#REF!</definedName>
    <definedName name="MAOCTDEP">#REF!</definedName>
    <definedName name="MAOCTEOS">#REF!</definedName>
    <definedName name="MAOCTEQ">#REF!</definedName>
    <definedName name="MAOCTIAT">#REF!</definedName>
    <definedName name="MAOCTIBIT">#REF!</definedName>
    <definedName name="MAOCTINT">#REF!</definedName>
    <definedName name="MAOCTISN">#REF!</definedName>
    <definedName name="MAOCTNETCONT">#REF!</definedName>
    <definedName name="MAOCTSTEAM">#REF!</definedName>
    <definedName name="MAOCTTAX">#REF!</definedName>
    <definedName name="MAOCTTO">#REF!</definedName>
    <definedName name="MAOCTWHEEL">#REF!</definedName>
    <definedName name="mar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arcos">[3]!marcos</definedName>
    <definedName name="market" hidden="1">{#N/A,"70% Success",FALSE,"Sales Forecast";#N/A,#N/A,FALSE,"Sheet2"}</definedName>
    <definedName name="MASEPCAP">#REF!</definedName>
    <definedName name="MASEPCO">#REF!</definedName>
    <definedName name="MASEPCOAL">#REF!</definedName>
    <definedName name="MASEPDA">#REF!</definedName>
    <definedName name="MASEPDEP">#REF!</definedName>
    <definedName name="MASEPEOS">#REF!</definedName>
    <definedName name="MASEPEQ">#REF!</definedName>
    <definedName name="MASEPIAT">#REF!</definedName>
    <definedName name="MASEPIBIT">#REF!</definedName>
    <definedName name="MASEPINT">#REF!</definedName>
    <definedName name="MASEPISN">#REF!</definedName>
    <definedName name="MASEPNETCONT">#REF!</definedName>
    <definedName name="MASEPSTEAM">#REF!</definedName>
    <definedName name="MASEPTAX">#REF!</definedName>
    <definedName name="MASEPTO">#REF!</definedName>
    <definedName name="MASEPWHEEL">#REF!</definedName>
    <definedName name="MAYREVBUD">#REF!</definedName>
    <definedName name="MBAPRBANKINT">#REF!</definedName>
    <definedName name="MBAPRCAP">#REF!</definedName>
    <definedName name="MBAPRCO">#REF!</definedName>
    <definedName name="MBAPRCOAL">#REF!</definedName>
    <definedName name="MBAPRDA">#REF!</definedName>
    <definedName name="MBAPRDEP">#REF!</definedName>
    <definedName name="MBAPREOS">#REF!</definedName>
    <definedName name="MBAPREQ">#REF!</definedName>
    <definedName name="MBAPRIAT">#REF!</definedName>
    <definedName name="MBAPRIBIT">#REF!</definedName>
    <definedName name="MBAPRINT">#REF!</definedName>
    <definedName name="MBAPRNETCONT">#REF!</definedName>
    <definedName name="MBAPRSTEAM">#REF!</definedName>
    <definedName name="MBAPRTAX">#REF!</definedName>
    <definedName name="MBAPRTO">#REF!</definedName>
    <definedName name="MBAPRWHEEL">#REF!</definedName>
    <definedName name="MBAUGBANKINT">#REF!</definedName>
    <definedName name="MBAUGCAP">#REF!</definedName>
    <definedName name="MBAUGCO">#REF!</definedName>
    <definedName name="MBAUGCOAL">#REF!</definedName>
    <definedName name="MBAUGDA">#REF!</definedName>
    <definedName name="MBAUGDEP">#REF!</definedName>
    <definedName name="MBAUGEOS">#REF!</definedName>
    <definedName name="MBAUGEQ">#REF!</definedName>
    <definedName name="MBAUGIAT">#REF!</definedName>
    <definedName name="MBAUGIBIT">#REF!</definedName>
    <definedName name="MBAUGINT">#REF!</definedName>
    <definedName name="MBAUGNETCONT">#REF!</definedName>
    <definedName name="MBAUGSTEAM">#REF!</definedName>
    <definedName name="MBAUGTAX">#REF!</definedName>
    <definedName name="MBAUGTO">#REF!</definedName>
    <definedName name="MBAUGWHEEL">#REF!</definedName>
    <definedName name="MBDECBANKINT">#REF!</definedName>
    <definedName name="MBDECCAP">#REF!</definedName>
    <definedName name="MBDECCO">#REF!</definedName>
    <definedName name="MBDECCOAL">#REF!</definedName>
    <definedName name="MBDECDA">#REF!</definedName>
    <definedName name="MBDECDEP">#REF!</definedName>
    <definedName name="MBDECEOS">#REF!</definedName>
    <definedName name="MBDECEQ">#REF!</definedName>
    <definedName name="MBDECIAT">#REF!</definedName>
    <definedName name="MBDECIBIT">#REF!</definedName>
    <definedName name="MBDECINT">#REF!</definedName>
    <definedName name="MBDECNETCONT">#REF!</definedName>
    <definedName name="MBDECSTEAM">#REF!</definedName>
    <definedName name="MBDECTAX">#REF!</definedName>
    <definedName name="MBDECTO">#REF!</definedName>
    <definedName name="MBDECWHEEL">#REF!</definedName>
    <definedName name="MBFEBBANKINT">#REF!</definedName>
    <definedName name="MBFEBCAP">#REF!</definedName>
    <definedName name="MBFEBCO">#REF!</definedName>
    <definedName name="MBFEBCOAL">#REF!</definedName>
    <definedName name="MBFEBDA">#REF!</definedName>
    <definedName name="MBFEBDEP">#REF!</definedName>
    <definedName name="MBFEBEOS">#REF!</definedName>
    <definedName name="MBFEBEQ">#REF!</definedName>
    <definedName name="MBFEBIAT">#REF!</definedName>
    <definedName name="MBFEBIBIT">#REF!</definedName>
    <definedName name="MBFEBINT">#REF!</definedName>
    <definedName name="MBFEBNETCONT">#REF!</definedName>
    <definedName name="MBFEBSTEAM">#REF!</definedName>
    <definedName name="MBFEBTAX">#REF!</definedName>
    <definedName name="MBFEBTO">#REF!</definedName>
    <definedName name="MBFEBWHEEL">#REF!</definedName>
    <definedName name="MBISNAPR">#REF!</definedName>
    <definedName name="MBISNAUG">#REF!</definedName>
    <definedName name="MBISNDEC">#REF!</definedName>
    <definedName name="MBISNFEB">#REF!</definedName>
    <definedName name="MBISNJAN">#REF!</definedName>
    <definedName name="MBISNJUL">#REF!</definedName>
    <definedName name="MBISNJUN">#REF!</definedName>
    <definedName name="MBISNMAR">#REF!</definedName>
    <definedName name="MBISNMAY">#REF!</definedName>
    <definedName name="MBISNNOV">#REF!</definedName>
    <definedName name="MBISNOCT">#REF!</definedName>
    <definedName name="MBISNSEP">#REF!</definedName>
    <definedName name="MBJANBANKINT">#REF!</definedName>
    <definedName name="MBJANCAP">#REF!</definedName>
    <definedName name="MBJANCO">#REF!</definedName>
    <definedName name="MBJANCOAL">#REF!</definedName>
    <definedName name="MBJANDA">#REF!</definedName>
    <definedName name="MBJANDEP">#REF!</definedName>
    <definedName name="MBJANEOS">#REF!</definedName>
    <definedName name="MBJANEQ">#REF!</definedName>
    <definedName name="MBJANIAT">#REF!</definedName>
    <definedName name="MBJANIBIT">#REF!</definedName>
    <definedName name="MBJANINT">#REF!</definedName>
    <definedName name="MBJANNETCONT">#REF!</definedName>
    <definedName name="MBJANSTEAM">#REF!</definedName>
    <definedName name="MBJANTAX">#REF!</definedName>
    <definedName name="MBJANWHEEL">#REF!</definedName>
    <definedName name="MBJULBANKINT">#REF!</definedName>
    <definedName name="MBJULCAP">#REF!</definedName>
    <definedName name="MBJULCO">#REF!</definedName>
    <definedName name="MBJULCOAL">#REF!</definedName>
    <definedName name="MBJULDA">#REF!</definedName>
    <definedName name="MBJULDEP">#REF!</definedName>
    <definedName name="MBJULEOS">#REF!</definedName>
    <definedName name="MBJULEQ">#REF!</definedName>
    <definedName name="MBJULIAT">#REF!</definedName>
    <definedName name="MBJULIBIT">#REF!</definedName>
    <definedName name="MBJULINT">#REF!</definedName>
    <definedName name="MBJULNETCONT">#REF!</definedName>
    <definedName name="MBJULSTEAM">#REF!</definedName>
    <definedName name="MBJULTAX">#REF!</definedName>
    <definedName name="MBJULTO">#REF!</definedName>
    <definedName name="MBJULWHEEL">#REF!</definedName>
    <definedName name="MBJUNBANKINT">#REF!</definedName>
    <definedName name="MBJUNCAP">#REF!</definedName>
    <definedName name="MBJUNCO">#REF!</definedName>
    <definedName name="MBJUNCOAL">#REF!</definedName>
    <definedName name="MBJUNDA">#REF!</definedName>
    <definedName name="MBJUNDEP">#REF!</definedName>
    <definedName name="MBJUNEOS">#REF!</definedName>
    <definedName name="MBJUNEQ">#REF!</definedName>
    <definedName name="MBJUNIAT">#REF!</definedName>
    <definedName name="MBJUNIBIT">#REF!</definedName>
    <definedName name="MBJUNINT">#REF!</definedName>
    <definedName name="MBJUNNETCONT">#REF!</definedName>
    <definedName name="MBJUNSTEAM">#REF!</definedName>
    <definedName name="MBJUNTAX">#REF!</definedName>
    <definedName name="MBJUNTO">#REF!</definedName>
    <definedName name="MBJUNWHEEL">#REF!</definedName>
    <definedName name="MBMARBANKINT">#REF!</definedName>
    <definedName name="MBMARCAP">#REF!</definedName>
    <definedName name="MBMARCO">#REF!</definedName>
    <definedName name="MBMARCOAL">#REF!</definedName>
    <definedName name="MBMARDA">#REF!</definedName>
    <definedName name="MBMARDEP">#REF!</definedName>
    <definedName name="MBMAREOS">#REF!</definedName>
    <definedName name="MBMAREQ">#REF!</definedName>
    <definedName name="MBMARIAT">#REF!</definedName>
    <definedName name="MBMARIBIT">#REF!</definedName>
    <definedName name="MBMARINT">#REF!</definedName>
    <definedName name="MBMARNETCONT">#REF!</definedName>
    <definedName name="MBMARSTEAM">#REF!</definedName>
    <definedName name="MBMARTAX">#REF!</definedName>
    <definedName name="MBMARTO">#REF!</definedName>
    <definedName name="MBMARWHEEL">#REF!</definedName>
    <definedName name="MBMAYBANKINT">#REF!</definedName>
    <definedName name="MBMAYCAP">#REF!</definedName>
    <definedName name="MBMAYCO">#REF!</definedName>
    <definedName name="MBMAYCOAL">#REF!</definedName>
    <definedName name="MBMAYDA">#REF!</definedName>
    <definedName name="MBMAYDEP">#REF!</definedName>
    <definedName name="MBMAYEOS">#REF!</definedName>
    <definedName name="MBMAYEQ">#REF!</definedName>
    <definedName name="MBMAYIAT">#REF!</definedName>
    <definedName name="MBMAYIBIT">#REF!</definedName>
    <definedName name="MBMAYINT">#REF!</definedName>
    <definedName name="MBMAYNETCONT">#REF!</definedName>
    <definedName name="MBMAYSTEAM">#REF!</definedName>
    <definedName name="MBMAYTAX">#REF!</definedName>
    <definedName name="MBMAYTO">#REF!</definedName>
    <definedName name="MBMAYWHEEL">#REF!</definedName>
    <definedName name="MBMIAPR">#REF!</definedName>
    <definedName name="MBMIAUG">#REF!</definedName>
    <definedName name="MBMIDEC">#REF!</definedName>
    <definedName name="MBMIFEB">#REF!</definedName>
    <definedName name="MBMIJAN">#REF!</definedName>
    <definedName name="MBMIJUL">#REF!</definedName>
    <definedName name="MBMIJUN">#REF!</definedName>
    <definedName name="MBMIMAR">#REF!</definedName>
    <definedName name="MBMIMAY">#REF!</definedName>
    <definedName name="MBMINOV">#REF!</definedName>
    <definedName name="MBMIOCT">#REF!</definedName>
    <definedName name="MBMISEP">#REF!</definedName>
    <definedName name="MBNOVBANKINT">#REF!</definedName>
    <definedName name="MBNOVCAP">#REF!</definedName>
    <definedName name="MBNOVCO">#REF!</definedName>
    <definedName name="MBNOVCOAL">#REF!</definedName>
    <definedName name="MBNOVDA">#REF!</definedName>
    <definedName name="MBNOVDEP">#REF!</definedName>
    <definedName name="MBNOVEOS">#REF!</definedName>
    <definedName name="MBNOVEQ">#REF!</definedName>
    <definedName name="MBNOVIAT">#REF!</definedName>
    <definedName name="MBNOVIBIT">#REF!</definedName>
    <definedName name="MBNOVINT">#REF!</definedName>
    <definedName name="MBNOVNETCONT">#REF!</definedName>
    <definedName name="MBNOVSTEAM">#REF!</definedName>
    <definedName name="MBNOVTAX">#REF!</definedName>
    <definedName name="MBNOVTO">#REF!</definedName>
    <definedName name="MBNOVWHEEL">#REF!</definedName>
    <definedName name="MBOCTBANKINT">#REF!</definedName>
    <definedName name="MBOCTCAP">#REF!</definedName>
    <definedName name="MBOCTCO">#REF!</definedName>
    <definedName name="MBOCTCOAL">#REF!</definedName>
    <definedName name="MBOCTDA">#REF!</definedName>
    <definedName name="MBOCTDEP">#REF!</definedName>
    <definedName name="MBOCTEOS">#REF!</definedName>
    <definedName name="MBOCTEQ">#REF!</definedName>
    <definedName name="MBOCTIAT">#REF!</definedName>
    <definedName name="MBOCTIBIT">#REF!</definedName>
    <definedName name="MBOCTINT">#REF!</definedName>
    <definedName name="MBOCTNETCONT">#REF!</definedName>
    <definedName name="MBOCTSTEAM">#REF!</definedName>
    <definedName name="MBOCTTAX">#REF!</definedName>
    <definedName name="MBOCTTO">#REF!</definedName>
    <definedName name="MBOCTWHEEL">#REF!</definedName>
    <definedName name="MBSEPBANKINT">#REF!</definedName>
    <definedName name="MBSEPCAP">#REF!</definedName>
    <definedName name="MBSEPCO">#REF!</definedName>
    <definedName name="MBSEPCOAL">#REF!</definedName>
    <definedName name="MBSEPDA">#REF!</definedName>
    <definedName name="MBSEPDEP">#REF!</definedName>
    <definedName name="MBSEPEOS">#REF!</definedName>
    <definedName name="MBSEPEQ">#REF!</definedName>
    <definedName name="MBSEPIAT">#REF!</definedName>
    <definedName name="MBSEPIBIT">#REF!</definedName>
    <definedName name="MBSEPINT">#REF!</definedName>
    <definedName name="MBSEPNETCONT">#REF!</definedName>
    <definedName name="MBSEPSTEAM">#REF!</definedName>
    <definedName name="MBSEPTAX">#REF!</definedName>
    <definedName name="MBSEPTO">#REF!</definedName>
    <definedName name="MBSEPWHEEL">#REF!</definedName>
    <definedName name="mcinput">[3]!mcinput</definedName>
    <definedName name="mcmenu">[3]!mcmenu</definedName>
    <definedName name="mcs03g.ReqArray">{"Price","ICTG","TS131","D","0","0","H"}</definedName>
    <definedName name="mcstart">[3]!mcstart</definedName>
    <definedName name="me">"Button 5"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rda">#REF!</definedName>
    <definedName name="MES">#REF!</definedName>
    <definedName name="MESa">#REF!</definedName>
    <definedName name="MêsdoRelatório">#REF!</definedName>
    <definedName name="meses">[23]PREMISSAS!$A$109:$A$120</definedName>
    <definedName name="MESES_A_PROJETAR">#REF!</definedName>
    <definedName name="MesesDataBase">#REF!</definedName>
    <definedName name="MG">#REF!</definedName>
    <definedName name="mil">#REF!</definedName>
    <definedName name="milho">#REF!</definedName>
    <definedName name="min_bid_premium">#REF!</definedName>
    <definedName name="min_bid_price">#REF!</definedName>
    <definedName name="MINDELTA">'[24]Fatura Dez.2018'!$E$30</definedName>
    <definedName name="Minimum_Cash">#REF!</definedName>
    <definedName name="MJato">#REF!</definedName>
    <definedName name="mn">{"Jan","Feb","Mar","Apr","May","Jun","Jul","Aug","Sep","Oct","Nov","Dec";"January","February","March","April","May","June","July","August","September","October","November","December"}</definedName>
    <definedName name="mnbvcxfghjmnhgfdxszxdfcggngfvdcx">#REF!</definedName>
    <definedName name="MODELO">'[5]Base de dados'!$B$5565:$B$5568</definedName>
    <definedName name="moeda">#REF!</definedName>
    <definedName name="MonitorCol">1</definedName>
    <definedName name="MonitorRow">1</definedName>
    <definedName name="MONOMEROS">#REF!</definedName>
    <definedName name="Month1">[25]ReportInfo!$B$20</definedName>
    <definedName name="Month10">[25]ReportInfo!$B$29</definedName>
    <definedName name="Month2">[25]ReportInfo!$B$21</definedName>
    <definedName name="Month3">[25]ReportInfo!$B$22</definedName>
    <definedName name="Month4">[25]ReportInfo!$B$23</definedName>
    <definedName name="Month5">[25]ReportInfo!$B$24</definedName>
    <definedName name="Month6">[25]ReportInfo!$B$25</definedName>
    <definedName name="Month7">[25]ReportInfo!$B$26</definedName>
    <definedName name="Month8">[25]ReportInfo!$B$27</definedName>
    <definedName name="Month9">[25]ReportInfo!$B$28</definedName>
    <definedName name="Monthly_Development_mbmex_resultlines_99">'[7]Operating Profit (1)'!#REF!</definedName>
    <definedName name="monthNames">{"Jan","Feb","Mar","Apr","May","Jun","Jul","Aug","Sep","Oct","Nov","Dec";"January","February","March","April","May","June","July","August","September","October","November","December"}</definedName>
    <definedName name="MONTHS">[26]Input!$A$25:$B$37</definedName>
    <definedName name="MOSYR1">#REF!</definedName>
    <definedName name="MOTORISTA">'[4]RELAÇÃO DE MOTORISTA'!$A$5:$A$199</definedName>
    <definedName name="MT">#REF!</definedName>
    <definedName name="MTC">#REF!</definedName>
    <definedName name="MutXPL">#REF!</definedName>
    <definedName name="MutXPLMil">#REF!</definedName>
    <definedName name="mxn">#REF!</definedName>
    <definedName name="MXP">[10]MBMex!$A$5:$U$47</definedName>
    <definedName name="MXP_Bdge_OpPft_MBMex">#REF!</definedName>
    <definedName name="MXP_Bdge_OpPft_NAFTA">#REF!</definedName>
    <definedName name="MXP_Bdge_OpPft_SECAM">#REF!</definedName>
    <definedName name="MXP_Op_Pft_SECAM">#REF!</definedName>
    <definedName name="MXP_Op_Pft_Tot_MBMex">#REF!</definedName>
    <definedName name="MXP_Op_Pft_Trucks_NAFTA">#REF!</definedName>
    <definedName name="MXPAUT">'[10]PC SECAM'!$A$5:$U$48</definedName>
    <definedName name="MXPCAM">'[10]CV Nafta'!$A$5:$U$48</definedName>
    <definedName name="N">#REF!</definedName>
    <definedName name="NA">"NA   "</definedName>
    <definedName name="Nacional">#REF!</definedName>
    <definedName name="NAME1">#REF!</definedName>
    <definedName name="nao">#REF!</definedName>
    <definedName name="NEG">#REF!</definedName>
    <definedName name="NEWISS98_1998_List">#REF!</definedName>
    <definedName name="NF">'[27]FATURAMENTO POR TIPO DE DOCUME'!#REF!</definedName>
    <definedName name="NF_MWH_CONTABIL">#REF!</definedName>
    <definedName name="NNove">#REF!</definedName>
    <definedName name="NOito">#REF!</definedName>
    <definedName name="nova" hidden="1">{#N/A,#N/A,FALSE,"BLDC";#N/A,#N/A,FALSE,"RESDC";#N/A,#N/A,FALSE,"BLFV";#N/A,#N/A,FALSE,"RESFV"}</definedName>
    <definedName name="novo" hidden="1">{#N/A,#N/A,FALSE,"Aging Summary";#N/A,#N/A,FALSE,"Ratio Analysis";#N/A,#N/A,FALSE,"Test 120 Day Accts";#N/A,#N/A,FALSE,"Tickmarks"}</definedName>
    <definedName name="NOVO1">#REF!</definedName>
    <definedName name="NOVO2">#REF!</definedName>
    <definedName name="novo3">#REF!</definedName>
    <definedName name="NOVO4">#REF!</definedName>
    <definedName name="NPV">#REF!</definedName>
    <definedName name="nrmes">#REF!</definedName>
    <definedName name="NSete">#REF!</definedName>
    <definedName name="NúmerodoMês">#REF!</definedName>
    <definedName name="NúmeroGrade">9.99E+307</definedName>
    <definedName name="OBRIG.TRIB.2TRIM">#REF!</definedName>
    <definedName name="OBRIG.TRIB.3TRIM">#REF!</definedName>
    <definedName name="OBRIG.TRIB.4TRIM">#REF!</definedName>
    <definedName name="OCORRENCIAS">[23]PREMISSAS!$A$87:$A$93</definedName>
    <definedName name="ok">#REF!</definedName>
    <definedName name="onça">#REF!</definedName>
    <definedName name="OP">#REF!</definedName>
    <definedName name="OPBE">#REF!</definedName>
    <definedName name="OPBEV">#REF!</definedName>
    <definedName name="OPBI">#REF!</definedName>
    <definedName name="OPBIV">#REF!</definedName>
    <definedName name="OPBIVV">#REF!</definedName>
    <definedName name="opcase">#REF!</definedName>
    <definedName name="OPCE">#REF!</definedName>
    <definedName name="OPCH">#REF!</definedName>
    <definedName name="OPEE">#REF!</definedName>
    <definedName name="OPEI">#REF!</definedName>
    <definedName name="Operating_Profit_CARS_MBMex_03_98">[10]Resumen!$B$108:$P$157</definedName>
    <definedName name="Operating_Profit_SECAM_DEM_98">#REF!</definedName>
    <definedName name="Operating_Profit_SECAM_MXP_98">#REF!</definedName>
    <definedName name="Operating_Profit_Total_MBMex_03_98">[10]Resumen!$B$3:$P$52</definedName>
    <definedName name="Operating_Profit_Total_MBMex_98">#REF!</definedName>
    <definedName name="Operating_Profit_Total_MBMex_DEM_98">#REF!</definedName>
    <definedName name="Operating_Profit_Total_MBMex_MXP_98">#REF!</definedName>
    <definedName name="Operating_Profit_TRUCKS_NAFTA_MBMex_03_98">[10]Resumen!$B$55:$P$104</definedName>
    <definedName name="Operating_Profit_Trucks_NAFTA_MXP_98">#REF!</definedName>
    <definedName name="Operating_Profit_Trucks_NAFTA_USD_98">#REF!</definedName>
    <definedName name="ops">#REF!</definedName>
    <definedName name="OPSE">#REF!</definedName>
    <definedName name="OPSEV">#REF!</definedName>
    <definedName name="OPSI">#REF!</definedName>
    <definedName name="OPSIV">#REF!</definedName>
    <definedName name="OPSO">#REF!</definedName>
    <definedName name="ordem">#REF!</definedName>
    <definedName name="ordinarias">#REF!</definedName>
    <definedName name="OSA">#REF!,#REF!</definedName>
    <definedName name="Other_non_current_assets">#N/A</definedName>
    <definedName name="OTHERBORDER">#REF!</definedName>
    <definedName name="othercollections">#REF!</definedName>
    <definedName name="OTHERNC">#REF!</definedName>
    <definedName name="OTHERTITLES">#REF!</definedName>
    <definedName name="OUT_PROD">#REF!</definedName>
    <definedName name="P_ESPIGA_BALL">#REF!</definedName>
    <definedName name="P_ESPIGA_VTTO">#REF!</definedName>
    <definedName name="P_GRANEL_BALL">#REF!</definedName>
    <definedName name="P_GRANEL_CHAC">#REF!</definedName>
    <definedName name="P_GRANEL_VTTO">#REF!</definedName>
    <definedName name="Paç">#REF!</definedName>
    <definedName name="PAGE1">#REF!</definedName>
    <definedName name="PAGTO_CANA">#REF!</definedName>
    <definedName name="Palc">#REF!</definedName>
    <definedName name="PARADA">#REF!</definedName>
    <definedName name="PARC.">#REF!</definedName>
    <definedName name="ParcDeduzirIR">#REF!</definedName>
    <definedName name="Pareto_Mês">#REF!</definedName>
    <definedName name="Pareto_Produção_Mês_Cianetos">#REF!</definedName>
    <definedName name="partial_year_factor">#REF!</definedName>
    <definedName name="partner_partial_year_factor">#REF!</definedName>
    <definedName name="Passenger_Cars__MBMex_99">[10]ResultadosUSD!$H$49:$Q$80</definedName>
    <definedName name="PASSIVO">#REF!</definedName>
    <definedName name="past">#REF!</definedName>
    <definedName name="Patr">#REF!</definedName>
    <definedName name="Patrimônio">#REF!</definedName>
    <definedName name="Payment_Needed">"Pago necesario"</definedName>
    <definedName name="pbFileName">MID(CELL("filename"),FIND("[",CELL("FILENAME"))+1,(FIND("]",CELL("FILENAME"))) - (FIND("[",CELL("FILENAME"))+1))</definedName>
    <definedName name="pbPrinterFormat">"Acrobat PDFWriter on LPT1:"</definedName>
    <definedName name="pbStartPageNumber">1</definedName>
    <definedName name="PBU">#REF!</definedName>
    <definedName name="pbUpdatePageNumbering">TRUE</definedName>
    <definedName name="PC_0212">'[28]BUDGET 2012'!$G$42,'[28]BUDGET 2012'!$G$43,'[28]BUDGET 2012'!$G$49:$G$54,'[28]BUDGET 2012'!$G$60,'[28]BUDGET 2012'!$G$102,'[28]BUDGET 2012'!$G$104,'[28]BUDGET 2012'!$G$153,'[28]BUDGET 2012'!$G$154,'[28]BUDGET 2012'!$G$156,'[28]BUDGET 2012'!$G$157,'[28]BUDGET 2012'!$G$163:$G$165,'[28]BUDGET 2012'!$G$167,'[28]BUDGET 2012'!$G$169,'[28]BUDGET 2012'!$G$171,'[28]BUDGET 2012'!$G$178:$G$181,'[28]BUDGET 2012'!$G$183:$G$188,'[28]BUDGET 2012'!$G$227</definedName>
    <definedName name="PC_0312">'[28]BUDGET 2012'!$H$42,'[28]BUDGET 2012'!$H$43,'[28]BUDGET 2012'!$H$49:$H$54,'[28]BUDGET 2012'!$H$60,'[28]BUDGET 2012'!$H$102,'[28]BUDGET 2012'!$H$104,'[28]BUDGET 2012'!$H$153,'[28]BUDGET 2012'!$H$154,'[28]BUDGET 2012'!$H$156,'[28]BUDGET 2012'!$H$157,'[28]BUDGET 2012'!$H$163,'[28]BUDGET 2012'!$H$164,'[28]BUDGET 2012'!$H$165,'[28]BUDGET 2012'!$H$167,'[28]BUDGET 2012'!$H$169,'[28]BUDGET 2012'!$H$171,'[28]BUDGET 2012'!$H$178,'[28]BUDGET 2012'!$H$179,'[28]BUDGET 2012'!$H$180,'[28]BUDGET 2012'!$H$181,'[28]BUDGET 2012'!$H$183,'[28]BUDGET 2012'!$H$184,'[28]BUDGET 2012'!$H$185,'[28]BUDGET 2012'!$H$186,'[28]BUDGET 2012'!$H$187,'[28]BUDGET 2012'!$H$188,'[28]BUDGET 2012'!$H$227</definedName>
    <definedName name="PC_0412">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</definedName>
    <definedName name="PC_04121">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,'[20]2014'!#REF!</definedName>
    <definedName name="PC_042012">'[28]BUDGET 2012'!$I$42,'[28]BUDGET 2012'!$I$43,'[28]BUDGET 2012'!$I$49:$I$54,'[28]BUDGET 2012'!$I$60,'[28]BUDGET 2012'!$I$102,'[28]BUDGET 2012'!$I$104,'[28]BUDGET 2012'!$I$153,'[28]BUDGET 2012'!$I$154,'[28]BUDGET 2012'!$I$156,'[28]BUDGET 2012'!$I$157,'[28]BUDGET 2012'!$I$163,'[28]BUDGET 2012'!$I$164,'[28]BUDGET 2012'!$I$165,'[28]BUDGET 2012'!$I$167,'[28]BUDGET 2012'!$I$169,'[28]BUDGET 2012'!$I$171,'[28]BUDGET 2012'!$I$178,'[28]BUDGET 2012'!$I$179,'[28]BUDGET 2012'!$I$180,'[28]BUDGET 2012'!$I$181,'[28]BUDGET 2012'!$I$183,'[28]BUDGET 2012'!$I$184,'[28]BUDGET 2012'!$I$185,'[28]BUDGET 2012'!$I$186,'[28]BUDGET 2012'!$I$187,'[28]BUDGET 2012'!$I$188,'[28]BUDGET 2012'!$I$227</definedName>
    <definedName name="pedro" hidden="1">{#N/A,"30% Success",TRUE,"Sales Forecast";#N/A,#N/A,TRUE,"Sheet2"}</definedName>
    <definedName name="Periodo">#REF!</definedName>
    <definedName name="PeriodoTaxa">#REF!</definedName>
    <definedName name="perpetuo">#REF!</definedName>
    <definedName name="peso">[6]DADOS2!$K$2:$K$5</definedName>
    <definedName name="Peso1">#REF!</definedName>
    <definedName name="Peso2">#REF!</definedName>
    <definedName name="PHASE_II">#REF!</definedName>
    <definedName name="Pie">Word</definedName>
    <definedName name="PIS">#REF!</definedName>
    <definedName name="PL_Amortization">#REF!</definedName>
    <definedName name="PL_BasicSO">#REF!</definedName>
    <definedName name="PL_COGS">#REF!</definedName>
    <definedName name="PL_Convertible_Interest">#REF!</definedName>
    <definedName name="PL_Convertible_PDividend">#REF!</definedName>
    <definedName name="PL_Depreciation">#REF!</definedName>
    <definedName name="PL_Equity_Earnings">#REF!</definedName>
    <definedName name="PL_FDEPS">#REF!</definedName>
    <definedName name="PL_FDSO">#REF!</definedName>
    <definedName name="PL_Income_Taxes">#REF!</definedName>
    <definedName name="PL_Interest_Income">#REF!</definedName>
    <definedName name="PL_Loss_Debt">#REF!</definedName>
    <definedName name="PL_Loss_Preferred">#REF!</definedName>
    <definedName name="PL_Minority_NI">#REF!</definedName>
    <definedName name="PL_Non_Operating_Expenses">#REF!</definedName>
    <definedName name="PL_Operating_Expenses">#REF!</definedName>
    <definedName name="PL_Rent">#REF!</definedName>
    <definedName name="PL_Revenues">#REF!</definedName>
    <definedName name="PL_SGA">#REF!</definedName>
    <definedName name="PL_Straight_Interest">#REF!</definedName>
    <definedName name="PL_Straight_PDividend">#REF!</definedName>
    <definedName name="PL_XO">#REF!</definedName>
    <definedName name="PLANTING">#REF!</definedName>
    <definedName name="PN_auction_FX">#REF!</definedName>
    <definedName name="PN_purch_prcnt">#REF!</definedName>
    <definedName name="PNfctr">#REF!</definedName>
    <definedName name="POL_RES">#REF!</definedName>
    <definedName name="POLCALDO">#REF!</definedName>
    <definedName name="POLCALDO2">#REF!</definedName>
    <definedName name="POLCANA">#REF!</definedName>
    <definedName name="Porra">#REF!</definedName>
    <definedName name="POS">#REF!</definedName>
    <definedName name="PR">#REF!</definedName>
    <definedName name="PR_ALL_ENCL">#REF!</definedName>
    <definedName name="PR_BALANCE_SH">#REF!</definedName>
    <definedName name="PR_CONTENTS">#REF!</definedName>
    <definedName name="PR_NARRATIVE">#REF!</definedName>
    <definedName name="PR_SELECT_ENCL">#REF!</definedName>
    <definedName name="PRBAL">#REF!</definedName>
    <definedName name="PRBIJLM">#REF!</definedName>
    <definedName name="pre">#REF!</definedName>
    <definedName name="PreçATR">#REF!</definedName>
    <definedName name="PREÇO">#REF!</definedName>
    <definedName name="preço_cobre">#REF!</definedName>
    <definedName name="preferenciais">#REF!</definedName>
    <definedName name="PREJFISC_ACUM">#REF!</definedName>
    <definedName name="Premissas" hidden="1">{"summary1",#N/A,TRUE,"Comps";"summary2",#N/A,TRUE,"Comps";"summary3",#N/A,TRUE,"Comps"}</definedName>
    <definedName name="PREMISSAS_1">#REF!</definedName>
    <definedName name="PREMISSAS_2">#REF!</definedName>
    <definedName name="PREMISSAS_3">#REF!</definedName>
    <definedName name="pressões">#REF!</definedName>
    <definedName name="prev">#REF!</definedName>
    <definedName name="previsão">#REF!</definedName>
    <definedName name="PRIENC98">#REF!</definedName>
    <definedName name="PRINCIPAL98">#REF!</definedName>
    <definedName name="PRINCIPAL99">#REF!</definedName>
    <definedName name="PRINENC99">#REF!</definedName>
    <definedName name="PRINT_AREA_MI">#REF!</definedName>
    <definedName name="Print_Titles_MI">#REF!,#REF!</definedName>
    <definedName name="PRIORBB">#REF!</definedName>
    <definedName name="ProBaccaro">#REF!</definedName>
    <definedName name="ProdCat">'[11]MasterData Product'!$U$5:$U$33</definedName>
    <definedName name="Produção_Cianeto_Sólido">#REF!</definedName>
    <definedName name="Produção_Cianeto_Solução">#REF!</definedName>
    <definedName name="Produção_EA">#REF!</definedName>
    <definedName name="Produção_EMA">#REF!</definedName>
    <definedName name="Produção_MMA">#REF!</definedName>
    <definedName name="Produção_SA">#REF!</definedName>
    <definedName name="ProImportExport.ImportFile">[3]!ProImportExport.ImportFile</definedName>
    <definedName name="ProImportExport.SaveNewFile">[3]!ProImportExport.SaveNewFile</definedName>
    <definedName name="proll">#REF!</definedName>
    <definedName name="PRT_RNG_AA">#REF!</definedName>
    <definedName name="Puesto_Ctto">#REF!</definedName>
    <definedName name="Puesto_Ctto_CC_SCC">#REF!</definedName>
    <definedName name="Puesto1">#REF!</definedName>
    <definedName name="pulpcap">#REF!</definedName>
    <definedName name="PUREZA">#REF!</definedName>
    <definedName name="PurMel">#REF!</definedName>
    <definedName name="qtl">#REF!</definedName>
    <definedName name="QUADRO">#REF!</definedName>
    <definedName name="quarter">[29]Plan1!$C$127:$C$130</definedName>
    <definedName name="Quatro">#REF!</definedName>
    <definedName name="QUEIMA">#REF!</definedName>
    <definedName name="RAC_GDP_TABLE">#REF!</definedName>
    <definedName name="RangeChange" hidden="1">#N/A</definedName>
    <definedName name="re">PPt</definedName>
    <definedName name="Reajuste">#REF!</definedName>
    <definedName name="REAL">#REF!</definedName>
    <definedName name="RealcedeAgenda">#REF!</definedName>
    <definedName name="Rec">#REF!</definedName>
    <definedName name="RECEITA_CONTABIL">#REF!</definedName>
    <definedName name="Reentregas_Junho">#REF!</definedName>
    <definedName name="ReentregasRom">#REF!</definedName>
    <definedName name="REF">#REF!</definedName>
    <definedName name="referenciaCR">#REF!</definedName>
    <definedName name="Reimbursement">"Reembolso"</definedName>
    <definedName name="REL_GERENCIA">#REF!</definedName>
    <definedName name="RENOVACAO">#REF!</definedName>
    <definedName name="REPASSE">#REF!</definedName>
    <definedName name="REPORT">#REF!</definedName>
    <definedName name="RES">#REF!,#REF!,#REF!,#REF!,#REF!,#REF!,#REF!,#REF!</definedName>
    <definedName name="resLinha_I">#REF!,#REF!,#REF!</definedName>
    <definedName name="resLinha_P">#REF!,#REF!,#REF!</definedName>
    <definedName name="RESPONSAVEL">[8]Classif_Produtos!$N$2:$P$1048576</definedName>
    <definedName name="restricao">#REF!</definedName>
    <definedName name="result">#REF!</definedName>
    <definedName name="RESULTADO">#REF!</definedName>
    <definedName name="ResultXMutMil">#REF!</definedName>
    <definedName name="ResultXPL">#REF!</definedName>
    <definedName name="ResultXPLMil">#REF!</definedName>
    <definedName name="ResumaPlanReal">#REF!</definedName>
    <definedName name="REVAPRACT">#REF!</definedName>
    <definedName name="REVAPRBUD">#REF!</definedName>
    <definedName name="REVAUGACT">#REF!</definedName>
    <definedName name="REVAUGBUD">#REF!</definedName>
    <definedName name="REVDECACT">#REF!</definedName>
    <definedName name="REVDECBUD">#REF!</definedName>
    <definedName name="REVFEBACT">#REF!</definedName>
    <definedName name="REVFEBBUD">#REF!</definedName>
    <definedName name="REVJANACT">#REF!</definedName>
    <definedName name="REVJANBUD">#REF!</definedName>
    <definedName name="REVJULACT">#REF!</definedName>
    <definedName name="REVJULBUD">#REF!</definedName>
    <definedName name="REVJUNACT">#REF!</definedName>
    <definedName name="REVJUNBUD">#REF!</definedName>
    <definedName name="REVMARACT">#REF!</definedName>
    <definedName name="REVMARBUD">#REF!</definedName>
    <definedName name="REVMAYACT">#REF!</definedName>
    <definedName name="REVMAYBUD">#REF!</definedName>
    <definedName name="REVNOVACT">#REF!</definedName>
    <definedName name="REVNOVBUD">#REF!</definedName>
    <definedName name="REVOCTACT">#REF!</definedName>
    <definedName name="REVOCTBUD">#REF!</definedName>
    <definedName name="Revolver_Interest">#REF!</definedName>
    <definedName name="REVSEPACT">#REF!</definedName>
    <definedName name="REVSEPBUD">#REF!</definedName>
    <definedName name="rf5f">[3]!rf5f</definedName>
    <definedName name="rlrelat">#REF!</definedName>
    <definedName name="RM_FX_usa">#REF!</definedName>
    <definedName name="ROCEoper">#REF!</definedName>
    <definedName name="rouanet">#REF!</definedName>
    <definedName name="rr">#REF!</definedName>
    <definedName name="rrrrr">#REF!</definedName>
    <definedName name="RS">#REF!</definedName>
    <definedName name="Rtitle">#REF!</definedName>
    <definedName name="RWER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s" hidden="1">Word</definedName>
    <definedName name="Saca">#REF!</definedName>
    <definedName name="SACARÍMETRO">#REF!</definedName>
    <definedName name="Sacast">#REF!</definedName>
    <definedName name="saida">#REF!</definedName>
    <definedName name="SALDODÍVIDA">#REF!</definedName>
    <definedName name="SALDOMÊS">#REF!</definedName>
    <definedName name="SAPBEXhrIndnt" hidden="1">1</definedName>
    <definedName name="SAPBEXrevision" hidden="1">14</definedName>
    <definedName name="SAPBEXsysID" hidden="1">"BWP"</definedName>
    <definedName name="SAPBEXwbID" hidden="1">"623QZ84PUK2NIZHZCA3ORSZZK"</definedName>
    <definedName name="SAPFuncF4Help">Main.SAPF4Help()</definedName>
    <definedName name="SAPRangeDOCTY_Tabelle1_Tabelle1D2">#REF!</definedName>
    <definedName name="SAPRangeDOCTY_Tabelle1_Tabelle1D3">#REF!</definedName>
    <definedName name="SAPRangeKEYFIG_Tabelle1_Tabelle1D1">#REF!</definedName>
    <definedName name="SAPRangeKEYFIG_Tabelle1_Tabelle1D2">#REF!</definedName>
    <definedName name="SAPRangeKEYFIG_Tabelle1_Tabelle1D3">#REF!</definedName>
    <definedName name="SAPRangePOPER_Tabelle1_Tabelle1D1">#REF!</definedName>
    <definedName name="SAPRangePOPER_Tabelle1_Tabelle1D2">#REF!</definedName>
    <definedName name="SAPRangePOPER_Tabelle1_Tabelle1D3">#REF!</definedName>
    <definedName name="SAPRangeRBUNIT_Tabelle1_Tabelle1D1">#REF!</definedName>
    <definedName name="SAPRangeRCONGR_Tabelle1_Tabelle1D2">#REF!</definedName>
    <definedName name="SAPRangeRCONGR_Tabelle1_Tabelle1D3">#REF!</definedName>
    <definedName name="SAPRangeRDIMEN_Tabelle1_Tabelle1D1">#REF!</definedName>
    <definedName name="SAPRangeRDIMEN_Tabelle1_Tabelle1D2">#REF!</definedName>
    <definedName name="SAPRangeRDIMEN_Tabelle1_Tabelle1D3">#REF!</definedName>
    <definedName name="SAPRangeRITCLG_Tabelle1_Tabelle1D1">#REF!</definedName>
    <definedName name="SAPRangeRITCLG_Tabelle1_Tabelle1D2">#REF!</definedName>
    <definedName name="SAPRangeRITCLG_Tabelle1_Tabelle1D3">#REF!</definedName>
    <definedName name="SAPRangeRITEM_Tabelle1_Tabelle1D1">#REF!</definedName>
    <definedName name="SAPRangeRITEM_Tabelle1_Tabelle1D2">#REF!</definedName>
    <definedName name="SAPRangeRITEM_Tabelle1_Tabelle1D3">#REF!</definedName>
    <definedName name="SAPRangeRLDNR_Tabelle1_Tabelle1D1">#REF!</definedName>
    <definedName name="SAPRangeRLDNR_Tabelle1_Tabelle1D2">#REF!</definedName>
    <definedName name="SAPRangeRLDNR_Tabelle1_Tabelle1D3">#REF!</definedName>
    <definedName name="SAPRangeRVERS_Tabelle1_Tabelle1D1">#REF!</definedName>
    <definedName name="SAPRangeRVERS_Tabelle1_Tabelle1D2">#REF!</definedName>
    <definedName name="SAPRangeRVERS_Tabelle1_Tabelle1D3">#REF!</definedName>
    <definedName name="SAPRangeRYEAR_Tabelle1_Tabelle1D1">#REF!</definedName>
    <definedName name="SAPRangeRYEAR_Tabelle1_Tabelle1D2">#REF!</definedName>
    <definedName name="SAPRangeRYEAR_Tabelle1_Tabelle1D3">#REF!</definedName>
    <definedName name="saude">#REF!</definedName>
    <definedName name="SaveNewFile">[3]!SaveNewFile</definedName>
    <definedName name="Scenario">#REF!</definedName>
    <definedName name="sdfghjklkjdfghjkljgvfccfvbnmnbvcvbnmnbvbnnbvcvbnmnbvfcvbnmmnbvc">#REF!</definedName>
    <definedName name="SEGMC">#REF!</definedName>
    <definedName name="SEGMC1">#REF!</definedName>
    <definedName name="SEK_FX">#REF!</definedName>
    <definedName name="sencount" hidden="1">1</definedName>
    <definedName name="sens">#REF!</definedName>
    <definedName name="sfasfasdfasd">#REF!</definedName>
    <definedName name="shares">#REF!</definedName>
    <definedName name="shares_print">#REF!</definedName>
    <definedName name="SHIT">#REF!</definedName>
    <definedName name="Soca">#REF!</definedName>
    <definedName name="solver_lin" hidden="1">0</definedName>
    <definedName name="SP">#REF!</definedName>
    <definedName name="SPADRE1_VTTO">#REF!</definedName>
    <definedName name="SPADRE2_VTTO">#REF!</definedName>
    <definedName name="SPADRE3_VTTO">#REF!</definedName>
    <definedName name="SPARES">#REF!</definedName>
    <definedName name="Spread">#REF!</definedName>
    <definedName name="Spread1">#REF!</definedName>
    <definedName name="Spread2">#REF!</definedName>
    <definedName name="Spread3">#REF!</definedName>
    <definedName name="Spread4">#REF!</definedName>
    <definedName name="Spread5">#REF!</definedName>
    <definedName name="Spread6">#REF!</definedName>
    <definedName name="stariff">#REF!</definedName>
    <definedName name="STARTCONST">#REF!</definedName>
    <definedName name="startconst1">#REF!</definedName>
    <definedName name="STARTYR">#REF!</definedName>
    <definedName name="StrGrande">REPT("z",255)</definedName>
    <definedName name="Structure_switch">#REF!</definedName>
    <definedName name="STWBD_StatToolsConfidenceInterval_AnalysisType" hidden="1">" 0"</definedName>
    <definedName name="STWBD_StatToolsConfidenceInterval_CalculateMeanInterval" hidden="1">"TRUE"</definedName>
    <definedName name="STWBD_StatToolsConfidenceInterval_CalculateStdDevInterval" hidden="1">"TRUE"</definedName>
    <definedName name="STWBD_StatToolsConfidenceInterval_DefaultDataFormat" hidden="1">" 0"</definedName>
    <definedName name="STWBD_StatToolsConfidenceInterval_HasDefaultInfo" hidden="1">"TRUE"</definedName>
    <definedName name="STWBD_StatToolsConfidenceInterval_MeanConfidenceLevel" hidden="1">" .95"</definedName>
    <definedName name="STWBD_StatToolsConfidenceInterval_StdDevConfidenceLevel" hidden="1">" .95"</definedName>
    <definedName name="STWBD_StatToolsConfidenceInterval_VariableList" hidden="1">1</definedName>
    <definedName name="STWBD_StatToolsConfidenceInterval_VariableList_1" hidden="1">"U_x0001_VG18C68F7C_x0001_"</definedName>
    <definedName name="STWBD_StatToolsConfidenceInterval_VarSelectorDefaultDataSet" hidden="1">"DG1557C622"</definedName>
    <definedName name="STWBD_StatToolsOneVarSummary_Count" hidden="1">"TRUE"</definedName>
    <definedName name="STWBD_StatToolsOneVarSummary_DefaultDataFormat" hidden="1">" 0"</definedName>
    <definedName name="STWBD_StatToolsOneVarSummary_FirstQuartile" hidden="1">"TRUE"</definedName>
    <definedName name="STWBD_StatToolsOneVarSummary_HasDefaultInfo" hidden="1">"TRUE"</definedName>
    <definedName name="STWBD_StatToolsOneVarSummary_InterQuartileRange" hidden="1">"TRUE"</definedName>
    <definedName name="STWBD_StatToolsOneVarSummary_Kurtosis" hidden="1">"TRUE"</definedName>
    <definedName name="STWBD_StatToolsOneVarSummary_Maximum" hidden="1">"TRUE"</definedName>
    <definedName name="STWBD_StatToolsOneVarSummary_Mean" hidden="1">"TRUE"</definedName>
    <definedName name="STWBD_StatToolsOneVarSummary_MeanAbsDeviation" hidden="1">"TRUE"</definedName>
    <definedName name="STWBD_StatToolsOneVarSummary_Median" hidden="1">"TRUE"</definedName>
    <definedName name="STWBD_StatToolsOneVarSummary_Minimum" hidden="1">"TRUE"</definedName>
    <definedName name="STWBD_StatToolsOneVarSummary_OtherPercentiles" hidden="1">"TRUE"</definedName>
    <definedName name="STWBD_StatToolsOneVarSummary_PercentileList" hidden="1">" .01, .025, .05, .1, .2, .8, .9, .95, .975, .99"</definedName>
    <definedName name="STWBD_StatToolsOneVarSummary_Range" hidden="1">"TRUE"</definedName>
    <definedName name="STWBD_StatToolsOneVarSummary_Skewness" hidden="1">"TRUE"</definedName>
    <definedName name="STWBD_StatToolsOneVarSummary_StandardDeviation" hidden="1">"TRUE"</definedName>
    <definedName name="STWBD_StatToolsOneVarSummary_Sum" hidden="1">"TRUE"</definedName>
    <definedName name="STWBD_StatToolsOneVarSummary_ThirdQuartile" hidden="1">"TRUE"</definedName>
    <definedName name="STWBD_StatToolsOneVarSummary_VariableList" hidden="1">4</definedName>
    <definedName name="STWBD_StatToolsOneVarSummary_VariableList_1" hidden="1">"U_x0001_VG2D1B584C_x0001_"</definedName>
    <definedName name="STWBD_StatToolsOneVarSummary_VariableList_2" hidden="1">"U_x0001_VG421EEB3_x0001_"</definedName>
    <definedName name="STWBD_StatToolsOneVarSummary_VariableList_3" hidden="1">"U_x0001_VG2000A935_x0001_"</definedName>
    <definedName name="STWBD_StatToolsOneVarSummary_VariableList_4" hidden="1">"U_x0001_VG330F36D6_x0001_"</definedName>
    <definedName name="STWBD_StatToolsOneVarSummary_Variance" hidden="1">"TRUE"</definedName>
    <definedName name="STWBD_StatToolsOneVarSummary_VarSelectorDefaultDataSet" hidden="1">"ALL DATA SETS"</definedName>
    <definedName name="STWBD_StatToolsRegression_blockList" hidden="1">"-1"</definedName>
    <definedName name="STWBD_StatToolsRegression_FValueToEnter" hidden="1">" 2.2"</definedName>
    <definedName name="STWBD_StatToolsRegression_FValueToLeave" hidden="1">" 1.1"</definedName>
    <definedName name="STWBD_StatToolsRegression_GraphFittedValueVsActualYValue" hidden="1">"TRUE"</definedName>
    <definedName name="STWBD_StatToolsRegression_GraphFittedValueVsXValue" hidden="1">"FALSE"</definedName>
    <definedName name="STWBD_StatToolsRegression_GraphResidualVsFittedValue" hidden="1">"TRUE"</definedName>
    <definedName name="STWBD_StatToolsRegression_GraphResidualVsXValue" hidden="1">"FALSE"</definedName>
    <definedName name="STWBD_StatToolsRegression_HasDefaultInfo" hidden="1">"TRUE"</definedName>
    <definedName name="STWBD_StatToolsRegression_IncludePrediction" hidden="1">"FALSE"</definedName>
    <definedName name="STWBD_StatToolsRegression_IncludeSteps" hidden="1">"FALSE"</definedName>
    <definedName name="STWBD_StatToolsRegression_NumberOfBlocks" hidden="1">" 0"</definedName>
    <definedName name="STWBD_StatToolsRegression_pValueToEnter" hidden="1">" .05"</definedName>
    <definedName name="STWBD_StatToolsRegression_pValueToLeave" hidden="1">" .1"</definedName>
    <definedName name="STWBD_StatToolsRegression_RegressionType" hidden="1">" 0"</definedName>
    <definedName name="STWBD_StatToolsRegression_useFValue" hidden="1">"FALSE"</definedName>
    <definedName name="STWBD_StatToolsRegression_usePValue" hidden="1">"TRUE"</definedName>
    <definedName name="STWBD_StatToolsRegression_VariableDependent" hidden="1">"U_x0001_VG2D35B001_x0001_"</definedName>
    <definedName name="STWBD_StatToolsRegression_VariableListIndependent" hidden="1">1</definedName>
    <definedName name="STWBD_StatToolsRegression_VariableListIndependent_1" hidden="1">"U_x0001_VG18C68F7C_x0001_"</definedName>
    <definedName name="STWBD_StatToolsRegression_VarSelectorDefaultDataSet" hidden="1">"ALL DATA SETS"</definedName>
    <definedName name="t">#REF!</definedName>
    <definedName name="TAB_INDIC">#REF!</definedName>
    <definedName name="TAB_INDICE">#REF!</definedName>
    <definedName name="TAB_JUROS">#REF!</definedName>
    <definedName name="Tabela">#REF!</definedName>
    <definedName name="tabelaufesp">#REF!</definedName>
    <definedName name="TABPRECO">'[6]TAB PRECO'!$A$2:$K$55</definedName>
    <definedName name="TALLER1_VTTO">#REF!</definedName>
    <definedName name="TALLER2_VTTO">#REF!</definedName>
    <definedName name="TALLER3_VTTO">#REF!</definedName>
    <definedName name="TARGET">#REF!</definedName>
    <definedName name="Tarifa">[30]Tarifas!#REF!</definedName>
    <definedName name="TARIFAS_MEDIA_CONTABIL">#REF!</definedName>
    <definedName name="TARIFAS_MÉDIAS_NFCONTÁBIL">#REF!</definedName>
    <definedName name="TARIFF">#REF!</definedName>
    <definedName name="Tax_Amortization">#REF!</definedName>
    <definedName name="tax_COFINS">#REF!</definedName>
    <definedName name="tax_ICMS">#REF!</definedName>
    <definedName name="tax_PASEP">#REF!</definedName>
    <definedName name="Tax_rate">#REF!</definedName>
    <definedName name="Tax_Summary_For_Valuation">Word</definedName>
    <definedName name="TaxaDesconto">#REF!</definedName>
    <definedName name="TAXAS_DE__CÂMBIO___REAL_10_20_30">#REF!</definedName>
    <definedName name="TAXRATE">#REF!</definedName>
    <definedName name="TEMP">#REF!</definedName>
    <definedName name="Template.WIRE">"DBACCESS"</definedName>
    <definedName name="TERM">#REF!</definedName>
    <definedName name="TERM_C">#REF!</definedName>
    <definedName name="TerminalValue">#REF!</definedName>
    <definedName name="TEST1">#REF!</definedName>
    <definedName name="TEST2">#REF!</definedName>
    <definedName name="teste">#REF!</definedName>
    <definedName name="teste1">[31]Input!$A$25:$B$37</definedName>
    <definedName name="teste2">#REF!</definedName>
    <definedName name="TESTHKEY">#REF!</definedName>
    <definedName name="TESTKEYS">[1]SAPxMK!#REF!</definedName>
    <definedName name="TESTVKEY">[1]SAPxMK!#REF!</definedName>
    <definedName name="Titles_Rptg_Grp_Wks">#REF!</definedName>
    <definedName name="TK">#REF!</definedName>
    <definedName name="tlmenint">#REF!</definedName>
    <definedName name="tlmenu">#REF!</definedName>
    <definedName name="tlstart">#REF!</definedName>
    <definedName name="TOPO">#REF!</definedName>
    <definedName name="totais">#REF!</definedName>
    <definedName name="Total_MBMex_Operating_Profit_1998__Mio_Peso">'[7]Operating Profit (1)'!$A$1:$J$33</definedName>
    <definedName name="TRANP1_VTTO">#REF!</definedName>
    <definedName name="TRANP2_VTTO">#REF!</definedName>
    <definedName name="transaction_date">#REF!</definedName>
    <definedName name="TRANSP">'[5]Base de dados'!$B$5578:$B$5581</definedName>
    <definedName name="TratC">#REF!</definedName>
    <definedName name="Tres">#REF!</definedName>
    <definedName name="TS">#REF!</definedName>
    <definedName name="ttttttttttt">#REF!</definedName>
    <definedName name="TX_CAMBIAL">#REF!</definedName>
    <definedName name="Tx_Desc">#REF!</definedName>
    <definedName name="U_ESPIGA_BALL">#REF!</definedName>
    <definedName name="U_ESPIGA_VTTO">#REF!</definedName>
    <definedName name="U_GRANEL_BALL">#REF!</definedName>
    <definedName name="U_GRANEL_CHAC">#REF!</definedName>
    <definedName name="U_GRANEL_VTTO">#REF!</definedName>
    <definedName name="UCM_9" hidden="1">{"FS`s",#N/A,TRUE,"FS's";"Icome St",#N/A,TRUE,"Income St.";"Balance Sh",#N/A,TRUE,"Balance Sh.";"Gross Margin",#N/A,TRUE,"Gross Margin"}</definedName>
    <definedName name="UF">#REF!</definedName>
    <definedName name="ufir">#REF!</definedName>
    <definedName name="Um">#REF!</definedName>
    <definedName name="us00">#REF!</definedName>
    <definedName name="uscur">#REF!</definedName>
    <definedName name="USD">[10]MBMex!$A$98:$U$145</definedName>
    <definedName name="USD_Bdge_OpPft_MBMex">#REF!</definedName>
    <definedName name="USD_Bdge_OpPft_NAFTA">#REF!</definedName>
    <definedName name="USD_Bdge_OpPft_SECAM">#REF!</definedName>
    <definedName name="Usd_Monthly_Development_Mbmex_resultlines_99">[10]ResultadosUSD!$B$1:$J$42</definedName>
    <definedName name="USD_Op_Pft_SECAM">#REF!</definedName>
    <definedName name="USD_Op_Pft_Tot_MBMex">#REF!</definedName>
    <definedName name="USD_Op_Pft_Trucks_NAFTA">#REF!</definedName>
    <definedName name="USDAUT">'[10]PC SECAM'!$A$98:$U$144</definedName>
    <definedName name="USDCAM">'[10]CV Nafta'!$A$98:$U$145</definedName>
    <definedName name="usmo">#REF!</definedName>
    <definedName name="USTAX">#REF!</definedName>
    <definedName name="V">#REF!</definedName>
    <definedName name="Vail" hidden="1">{"PVGraph2",#N/A,FALSE,"PV Data"}</definedName>
    <definedName name="ValData">#REF!</definedName>
    <definedName name="valInícioD">#REF!</definedName>
    <definedName name="valTérminoD">#REF!</definedName>
    <definedName name="ValuationYear">#REF!</definedName>
    <definedName name="VALUES">#REF!</definedName>
    <definedName name="varnum">#REF!</definedName>
    <definedName name="VAT">#REF!</definedName>
    <definedName name="vbnhgfdsadfghfdszdxfcghngfdsa\sdxfgbd" hidden="1">#REF!</definedName>
    <definedName name="vdfgfjhndbvjcksdocfhbdxjxkçcxjnvmc">#REF!</definedName>
    <definedName name="veic">'[15]RELAÇÃO DE PLACAS'!$A$5:$A$179</definedName>
    <definedName name="veic.">'[23]RELAÇÃO DE PLACAS'!$E$5:$E$10</definedName>
    <definedName name="VENC">#REF!</definedName>
    <definedName name="Venda">#REF!</definedName>
    <definedName name="Version.WIRE">1</definedName>
    <definedName name="VIC">'[32]VEÍCULOS GOLDEN'!$A$2:$A$227</definedName>
    <definedName name="vlrmerc">[6]DADOS2!$J$2:$J$5</definedName>
    <definedName name="vne_01_99">#REF!</definedName>
    <definedName name="volumes">[6]DADOS2!#REF!</definedName>
    <definedName name="w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acc">#REF!</definedName>
    <definedName name="WCAP">#REF!</definedName>
    <definedName name="Wellpont">Word</definedName>
    <definedName name="WHTAX">#REF!</definedName>
    <definedName name="wrn.1." hidden="1">{"cover",#N/A,TRUE,"Cover";"toc1",#N/A,TRUE,"TOC";"ts1",#N/A,TRUE,"Transaction Summary";"ei",#N/A,TRUE,"Earnings Impact";"ad",#N/A,TRUE,"accretion dilution"}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.Per._.Cent._.Success." hidden="1">{#N/A,"10% Success",FALSE,"Sales Forecast";#N/A,#N/A,FALSE,"Sheet2"}</definedName>
    <definedName name="wrn.100._.Per._.Cent._.Success." hidden="1">{#N/A,"100% Success",TRUE,"Sales Forecast";#N/A,#N/A,TRUE,"Sheet2"}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hidden="1">{"cover",#N/A,TRUE,"Cover";"toc1",#N/A,TRUE,"TOC";"ts1",#N/A,TRUE,"Transaction Summary";"ei1",#N/A,TRUE,"Earnings Impact";"ad1",#N/A,TRUE,"accretion dilution"}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.Per._.Cent." hidden="1">{#N/A,"30% Success",TRUE,"Sales Forecast";#N/A,#N/A,TRUE,"Sheet2"}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.Per._.Cent._.Success." hidden="1">{#N/A,"70% Success",FALSE,"Sales Forecast";#N/A,#N/A,FALSE,"Sheet2"}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dm_pl." hidden="1">{"adm_pl",#N/A,FALSE,"PL"}</definedName>
    <definedName name="wrn.adm_rtp." hidden="1">{"adm_rtp",#N/A,FALSE,"PQ"}</definedName>
    <definedName name="wrn.Aging._.and._.Trend._.Analysis." hidden="1">{#N/A,#N/A,FALSE,"Aging Summary";#N/A,#N/A,FALSE,"Ratio Analysis";#N/A,#N/A,FALSE,"Test 120 Day Accts";#N/A,#N/A,FALSE,"Tickmarks"}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rgentina." hidden="1">{"argentina",#N/A,FALSE,"PL"}</definedName>
    <definedName name="wrn.Balanço." hidden="1">{#N/A,#N/A,FALSE,"BLDC";#N/A,#N/A,FALSE,"RESDC";#N/A,#N/A,FALSE,"BLFV";#N/A,#N/A,FALSE,"RESFV"}</definedName>
    <definedName name="wrn.Balanço2." hidden="1">{#N/A,#N/A,FALSE,"BLDC";#N/A,#N/A,FALSE,"RESDC";#N/A,#N/A,FALSE,"BLFV";#N/A,#N/A,FALSE,"RESFV"}</definedName>
    <definedName name="wrn.balanço3." hidden="1">{#N/A,#N/A,FALSE,"BLDC";#N/A,#N/A,FALSE,"RESDC";#N/A,#N/A,FALSE,"BLFV";#N/A,#N/A,FALSE,"RESFV"}</definedName>
    <definedName name="wrn.bow_argentina." hidden="1">{"bow_argentina",#N/A,FALSE,"AMF"}</definedName>
    <definedName name="wrn.bow_brasil." hidden="1">{"bow_brasil",#N/A,FALSE,"AMF"}</definedName>
    <definedName name="wrn.CONSOLIDADO." hidden="1">{"CONSOLIDADO",#N/A,FALSE,"TOT"}</definedName>
    <definedName name="wrn.CPV." hidden="1">{#N/A,#N/A,FALSE,"C.P.V."}</definedName>
    <definedName name="wrn.CPV2." hidden="1">{#N/A,#N/A,FALSE,"C.P.V."}</definedName>
    <definedName name="wrn.Decision._.Memo.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iv_bow." hidden="1">{"div_bow",#N/A,FALSE,"AMF"}</definedName>
    <definedName name="wrn.div_pls." hidden="1">{"div_pls",#N/A,FALSE,"PL"}</definedName>
    <definedName name="wrn.div_rtp." hidden="1">{"div_rtp",#N/A,FALSE,"PQ"}</definedName>
    <definedName name="wrn.divisões." hidden="1">{"divisões",#N/A,FALSE,"TOT"}</definedName>
    <definedName name="wrn.DLPs._.DFCs.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IMP01." hidden="1">{#N/A,#N/A,FALSE,"PREVISÃO DE VENDAS"}</definedName>
    <definedName name="wrn.IMP02." hidden="1">{"IMP02",#N/A,FALSE,"PREVISÃO DE VENDAS"}</definedName>
    <definedName name="wrn.IMP03." hidden="1">{"IMP03",#N/A,FALSE,"PREVISÃO DE VENDAS"}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kleyner.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MergerModel." hidden="1">{"Deal",#N/A,FALSE,"Deal";"acquiror",#N/A,FALSE,"Acquiror";"Target",#N/A,FALSE,"Target"}</definedName>
    <definedName name="wrn.Model.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Nico." hidden="1">{#N/A,#N/A,TRUE,"Cover";#N/A,#N/A,TRUE,"Transaction Summary";#N/A,#N/A,TRUE,"Earnings Impact";#N/A,#N/A,TRUE,"accretion dilution"}</definedName>
    <definedName name="wrn.Orçamento._.Geral.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RCSA." hidden="1">{"E001 - GERAÇÃO DE CAIXA GERAL",#N/A,FALSE,"Ajuste";"E002 - DLP GERAL",#N/A,FALSE,"Ajuste"}</definedName>
    <definedName name="wrn.Parametros." hidden="1">{#N/A,#N/A,FALSE,"BLDC";#N/A,#N/A,FALSE,"RESDC";#N/A,#N/A,FALSE,"BLFV";#N/A,#N/A,FALSE,"RESFV"}</definedName>
    <definedName name="wrn.parametros2." hidden="1">{#N/A,#N/A,FALSE,"C.P.V."}</definedName>
    <definedName name="wrn.parametros3." hidden="1">{#N/A,#N/A,FALSE,"C.P.V."}</definedName>
    <definedName name="wrn.pl_brasil." hidden="1">{"PL_Brasil",#N/A,FALSE,"PL"}</definedName>
    <definedName name="wrn.PLANEJAMENTO._.1999.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LANEJAMENTO2._.1999.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ortugal." hidden="1">{"portugal",#N/A,FALSE,"PL"}</definedName>
    <definedName name="wrn.pq_dr." hidden="1">{"pq_dr",#N/A,FALSE,"PQ"}</definedName>
    <definedName name="wrn.pq_pe." hidden="1">{"pq_pe",#N/A,FALSE,"PQ"}</definedName>
    <definedName name="wrn.pq_sp." hidden="1">{"pq_sp",#N/A,FALSE,"PQ"}</definedName>
    <definedName name="wrn.Print._.All." hidden="1">{#N/A,#N/A,FALSE,"TOC";#N/A,#N/A,FALSE,"ASS";#N/A,#N/A,FALSE,"CF";#N/A,#N/A,FALSE,"FUEL&amp;MTC"}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Quick._.Summary." hidden="1">{"Decision Memo",#N/A,TRUE,"Ratios";"IRR",#N/A,TRUE,"IRR";"Decision Memo",#N/A,TRUE,"Fin. Stat.";"Summary",#N/A,TRUE,"Debt"}</definedName>
    <definedName name="wrn.Relatório._.1." hidden="1">{"FS`s",#N/A,TRUE,"FS's";"Icome St",#N/A,TRUE,"Income St.";"Balance Sh",#N/A,TRUE,"Balance Sh.";"Gross Margin",#N/A,TRUE,"Gross Margin"}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sociedades." hidden="1">{"sociedades",#N/A,FALSE,"PL"}</definedName>
    <definedName name="wrn.Test." hidden="1">{"test",#N/A,TRUE,"Summary";"test",#N/A,TRUE,"Assumptions"}</definedName>
    <definedName name="wrn.test._.2." hidden="1">{"test",#N/A,TRUE,"Summary";"test",#N/A,TRUE,"Assumptions"}</definedName>
    <definedName name="wrn.Teste" hidden="1">{#N/A,#N/A,FALSE,"BLDC";#N/A,#N/A,FALSE,"RESDC";#N/A,#N/A,FALSE,"BLFV";#N/A,#N/A,FALSE,"RESFV"}</definedName>
    <definedName name="wrn.tot_bow." hidden="1">{"tot_bow",#N/A,FALSE,"AMF"}</definedName>
    <definedName name="wrn.TOT_DIVISÕES." hidden="1">{"TOT_DIVISÕES",#N/A,FALSE,"TOT"}</definedName>
    <definedName name="wrn.tot_pls." hidden="1">{"tot_pls",#N/A,FALSE,"PL"}</definedName>
    <definedName name="wrn.tot_pqs." hidden="1">{"tot_pqs",#N/A,FALSE,"PQ"}</definedName>
    <definedName name="wrn.UNISER." hidden="1">{"UNISER",#N/A,FALSE,"TOT"}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>sss*ee</definedName>
    <definedName name="X">#REF!</definedName>
    <definedName name="XREF_COLUMN_1" hidden="1">#REF!</definedName>
    <definedName name="XREF_COLUMN_2" hidden="1">#REF!</definedName>
    <definedName name="XREF_COLUMN_4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33</definedName>
    <definedName name="XRefPaste1" hidden="1">#REF!</definedName>
    <definedName name="XRefPaste1Row" hidden="1">#REF!</definedName>
    <definedName name="XRefPasteRangeCount" hidden="1">1</definedName>
    <definedName name="XX">#REF!</definedName>
    <definedName name="XXX">#REF!</definedName>
    <definedName name="XXXXXX">#REF!</definedName>
    <definedName name="YAAPRCAP">#REF!</definedName>
    <definedName name="YAAPRCO">#REF!</definedName>
    <definedName name="YAAPRCOAL">#REF!</definedName>
    <definedName name="YAAPRDA">#REF!</definedName>
    <definedName name="YAAPRDEP">#REF!</definedName>
    <definedName name="YAAPREOS">#REF!</definedName>
    <definedName name="YAAPREQ">#REF!</definedName>
    <definedName name="YAAPRIAT">#REF!</definedName>
    <definedName name="YAAPRIBIT">#REF!</definedName>
    <definedName name="YAAPRINT">#REF!</definedName>
    <definedName name="YAAPRISN">#REF!</definedName>
    <definedName name="YAAPRNETCONT">#REF!</definedName>
    <definedName name="YAAPRSTEAM">#REF!</definedName>
    <definedName name="YAAPRTAX">#REF!</definedName>
    <definedName name="YAAPRTO">#REF!</definedName>
    <definedName name="YAAPRWHEEL">#REF!</definedName>
    <definedName name="YAAUGCAP">#REF!</definedName>
    <definedName name="YAAUGCO">#REF!</definedName>
    <definedName name="YAAUGCOAL">#REF!</definedName>
    <definedName name="YAAUGDA">#REF!</definedName>
    <definedName name="YAAUGDEP">#REF!</definedName>
    <definedName name="YAAUGEOS">#REF!</definedName>
    <definedName name="YAAUGEQ">#REF!</definedName>
    <definedName name="YAAUGIAT">#REF!</definedName>
    <definedName name="YAAUGIBIT">#REF!</definedName>
    <definedName name="YAAUGINT">#REF!</definedName>
    <definedName name="YAAUGISN">#REF!</definedName>
    <definedName name="YAAUGNETCONT">#REF!</definedName>
    <definedName name="YAAUGSTEAM">#REF!</definedName>
    <definedName name="YAAUGTAX">#REF!</definedName>
    <definedName name="YAAUGTO">#REF!</definedName>
    <definedName name="YAAUGWHEEL">#REF!</definedName>
    <definedName name="YACOTISN">#REF!</definedName>
    <definedName name="YADECCAP">#REF!</definedName>
    <definedName name="YADECCO">#REF!</definedName>
    <definedName name="YADECCOAL">#REF!</definedName>
    <definedName name="YADECDA">#REF!</definedName>
    <definedName name="YADECDEP">#REF!</definedName>
    <definedName name="YADECEOS">#REF!</definedName>
    <definedName name="YADECEQ">#REF!</definedName>
    <definedName name="YADECIAT">#REF!</definedName>
    <definedName name="YADECIBIT">#REF!</definedName>
    <definedName name="YADECINT">#REF!</definedName>
    <definedName name="YADECISN">#REF!</definedName>
    <definedName name="YADECNETCONT">#REF!</definedName>
    <definedName name="YADECSTEAM">#REF!</definedName>
    <definedName name="YADECTAX">#REF!</definedName>
    <definedName name="YADECTO">#REF!</definedName>
    <definedName name="YADECWHEEL">#REF!</definedName>
    <definedName name="YAFEBCAP">#REF!</definedName>
    <definedName name="YAFEBCO">#REF!</definedName>
    <definedName name="YAFEBCOAL">#REF!</definedName>
    <definedName name="YAFEBDA">#REF!</definedName>
    <definedName name="YAFEBDEP">#REF!</definedName>
    <definedName name="YAFEBEOS">#REF!</definedName>
    <definedName name="YAFEBEQ">#REF!</definedName>
    <definedName name="YAFEBIAT">#REF!</definedName>
    <definedName name="YAFEBIBIT">#REF!</definedName>
    <definedName name="YAFEBINT">#REF!</definedName>
    <definedName name="YAFEBISN">#REF!</definedName>
    <definedName name="YAFEBNETCONT">#REF!</definedName>
    <definedName name="YAFEBSTEAM">#REF!</definedName>
    <definedName name="YAFEBTAX">#REF!</definedName>
    <definedName name="YAFEBTO">#REF!</definedName>
    <definedName name="YAFEBWHEEL">#REF!</definedName>
    <definedName name="YAGWAPR">#REF!</definedName>
    <definedName name="YAGWAUG">#REF!</definedName>
    <definedName name="YAGWFEB">#REF!</definedName>
    <definedName name="YAGWJAN">#REF!</definedName>
    <definedName name="YAGWJUL">#REF!</definedName>
    <definedName name="YAGWJUN">#REF!</definedName>
    <definedName name="YAGWMAR">#REF!</definedName>
    <definedName name="YAGWMAY">#REF!</definedName>
    <definedName name="YAISNAPR">#REF!</definedName>
    <definedName name="YAISNFEB">#REF!</definedName>
    <definedName name="YAISNJAN">#REF!</definedName>
    <definedName name="YAISNJUN">#REF!</definedName>
    <definedName name="YAISNMAR">#REF!</definedName>
    <definedName name="YAISNMAY">#REF!</definedName>
    <definedName name="YAJANCAP">#REF!</definedName>
    <definedName name="YAJANCO">#REF!</definedName>
    <definedName name="YAJANCOAL">#REF!</definedName>
    <definedName name="YAJANDA">#REF!</definedName>
    <definedName name="YAJANDEP">#REF!</definedName>
    <definedName name="YAJANEOS">#REF!</definedName>
    <definedName name="YAJANEQ">#REF!</definedName>
    <definedName name="YAJANIAT">#REF!</definedName>
    <definedName name="YAJANIBIT">#REF!</definedName>
    <definedName name="YAJANINT">#REF!</definedName>
    <definedName name="YAJANISN">#REF!</definedName>
    <definedName name="YAJANNETCONT">#REF!</definedName>
    <definedName name="YAJANSTEAM">#REF!</definedName>
    <definedName name="YAJANTAX">#REF!</definedName>
    <definedName name="YAJANTO">#REF!</definedName>
    <definedName name="YAJANWHEEL">#REF!</definedName>
    <definedName name="YAJULCAP">#REF!</definedName>
    <definedName name="YAJULCO">#REF!</definedName>
    <definedName name="YAJULCOAL">#REF!</definedName>
    <definedName name="YAJULDA">#REF!</definedName>
    <definedName name="YAJULDEP">#REF!</definedName>
    <definedName name="YAJULEOS">#REF!</definedName>
    <definedName name="YAJULEQ">#REF!</definedName>
    <definedName name="YAJULIAT">#REF!</definedName>
    <definedName name="YAJULIBIT">#REF!</definedName>
    <definedName name="YAJULINT">#REF!</definedName>
    <definedName name="YAJULISN">#REF!</definedName>
    <definedName name="YAJULNETCONT">#REF!</definedName>
    <definedName name="YAJULSTEAM">#REF!</definedName>
    <definedName name="YAJULTAX">#REF!</definedName>
    <definedName name="YAJULTO">#REF!</definedName>
    <definedName name="YAJULWHEEL">#REF!</definedName>
    <definedName name="YAJULYCOAL">#REF!</definedName>
    <definedName name="YAJUNCAP">#REF!</definedName>
    <definedName name="YAJUNCO">#REF!</definedName>
    <definedName name="YAJUNCOAL">#REF!</definedName>
    <definedName name="YAJUNDA">#REF!</definedName>
    <definedName name="YAJUNDEP">#REF!</definedName>
    <definedName name="YAJUNEOS">#REF!</definedName>
    <definedName name="YAJUNEQ">#REF!</definedName>
    <definedName name="YAJUNIAT">#REF!</definedName>
    <definedName name="YAJUNIBIT">#REF!</definedName>
    <definedName name="YAJUNINT">#REF!</definedName>
    <definedName name="YAJUNISN">#REF!</definedName>
    <definedName name="YAJUNNETCONT">#REF!</definedName>
    <definedName name="YAJUNSTEAM">#REF!</definedName>
    <definedName name="YAJUNTAX">#REF!</definedName>
    <definedName name="YAJUNTO">#REF!</definedName>
    <definedName name="YAJUNWHEEL">#REF!</definedName>
    <definedName name="YAMARCAP">#REF!</definedName>
    <definedName name="YAMARCO">#REF!</definedName>
    <definedName name="YAMARCOAL">#REF!</definedName>
    <definedName name="YAMARDA">#REF!</definedName>
    <definedName name="YAMARDEP">#REF!</definedName>
    <definedName name="YAMAREOS">#REF!</definedName>
    <definedName name="YAMAREQ">#REF!</definedName>
    <definedName name="YAMARIAT">#REF!</definedName>
    <definedName name="YAMARIBIT">#REF!</definedName>
    <definedName name="YAMARINT">#REF!</definedName>
    <definedName name="YAMARISN">#REF!</definedName>
    <definedName name="YAMARNETCONT">#REF!</definedName>
    <definedName name="YAMARSTEAM">#REF!</definedName>
    <definedName name="YAMARTAX">#REF!</definedName>
    <definedName name="YAMARTO">#REF!</definedName>
    <definedName name="YAMARWHEEL">#REF!</definedName>
    <definedName name="YAMAYCAP">#REF!</definedName>
    <definedName name="YAMAYCO">#REF!</definedName>
    <definedName name="YAMAYCOAL">#REF!</definedName>
    <definedName name="YAMAYDA">#REF!</definedName>
    <definedName name="YAMAYDEP">#REF!</definedName>
    <definedName name="YAMAYEOS">#REF!</definedName>
    <definedName name="YAMAYEQ">#REF!</definedName>
    <definedName name="YAMAYIAT">#REF!</definedName>
    <definedName name="YAMAYIBIT">#REF!</definedName>
    <definedName name="YAMAYINT">#REF!</definedName>
    <definedName name="YAMAYISN">#REF!</definedName>
    <definedName name="YAMAYNETCONT">#REF!</definedName>
    <definedName name="YAMAYSTEAM">#REF!</definedName>
    <definedName name="YAMAYTAX">#REF!</definedName>
    <definedName name="YAMAYTO">#REF!</definedName>
    <definedName name="YAMAYWHEEL">#REF!</definedName>
    <definedName name="YAMIAPR">#REF!</definedName>
    <definedName name="YAMIAUG">#REF!</definedName>
    <definedName name="YAMIDEC">#REF!</definedName>
    <definedName name="YAMIFEB">#REF!</definedName>
    <definedName name="YAMIJAN">#REF!</definedName>
    <definedName name="YAMIJUL">#REF!</definedName>
    <definedName name="YAMIJUN">#REF!</definedName>
    <definedName name="YAMIMAR">#REF!</definedName>
    <definedName name="YAMIMAY">#REF!</definedName>
    <definedName name="YAMINOV">#REF!</definedName>
    <definedName name="YAMIOCT">#REF!</definedName>
    <definedName name="YAMISEP">#REF!</definedName>
    <definedName name="YANOVCAP">#REF!</definedName>
    <definedName name="YANOVCO">#REF!</definedName>
    <definedName name="YANOVCOAL">#REF!</definedName>
    <definedName name="YANOVDA">#REF!</definedName>
    <definedName name="YANOVDEP">#REF!</definedName>
    <definedName name="YANOVEOS">#REF!</definedName>
    <definedName name="YANOVEQ">#REF!</definedName>
    <definedName name="YANOVIAT">#REF!</definedName>
    <definedName name="YANOVIBIT">#REF!</definedName>
    <definedName name="YANOVINT">#REF!</definedName>
    <definedName name="YANOVISN">#REF!</definedName>
    <definedName name="YANOVNETCONT">#REF!</definedName>
    <definedName name="YANOVSTEAM">#REF!</definedName>
    <definedName name="YANOVTAX">#REF!</definedName>
    <definedName name="YANOVTO">#REF!</definedName>
    <definedName name="YANOVWHEEL">#REF!</definedName>
    <definedName name="YAOCTCAP">#REF!</definedName>
    <definedName name="YAOCTCO">#REF!</definedName>
    <definedName name="YAOCTCOAL">#REF!</definedName>
    <definedName name="YAOCTDA">#REF!</definedName>
    <definedName name="YAOCTDEP">#REF!</definedName>
    <definedName name="YAOCTEOS">#REF!</definedName>
    <definedName name="YAOCTEQ">#REF!</definedName>
    <definedName name="YAOCTIAT">#REF!</definedName>
    <definedName name="YAOCTIBIT">#REF!</definedName>
    <definedName name="YAOCTINT">#REF!</definedName>
    <definedName name="YAOCTISN">#REF!</definedName>
    <definedName name="YAOCTNETCONT">#REF!</definedName>
    <definedName name="YAOCTSTEAM">#REF!</definedName>
    <definedName name="YAOCTTAX">#REF!</definedName>
    <definedName name="YAOCTTO">#REF!</definedName>
    <definedName name="YAOCTWHEEL">#REF!</definedName>
    <definedName name="YASEPCAP">#REF!</definedName>
    <definedName name="YASEPCO">#REF!</definedName>
    <definedName name="YASEPCOAL">#REF!</definedName>
    <definedName name="YASEPDA">#REF!</definedName>
    <definedName name="YASEPDEP">#REF!</definedName>
    <definedName name="YASEPEOS">#REF!</definedName>
    <definedName name="YASEPEQ">#REF!</definedName>
    <definedName name="YASEPIAT">#REF!</definedName>
    <definedName name="YASEPIBIT">#REF!</definedName>
    <definedName name="YASEPINT">#REF!</definedName>
    <definedName name="YASEPISN">#REF!</definedName>
    <definedName name="YASEPNETCONT">#REF!</definedName>
    <definedName name="YASEPSTEAM">#REF!</definedName>
    <definedName name="YASEPTAX">#REF!</definedName>
    <definedName name="YASEPTO">#REF!</definedName>
    <definedName name="YASEPWHEEL">#REF!</definedName>
    <definedName name="YBAPRBANKINT">#REF!</definedName>
    <definedName name="YBAPRCAP">#REF!</definedName>
    <definedName name="YBAPRCO">#REF!</definedName>
    <definedName name="YBAPRCOAL">#REF!</definedName>
    <definedName name="YBAPRDA">#REF!</definedName>
    <definedName name="YBAPRDEP">#REF!</definedName>
    <definedName name="YBAPREOS">#REF!</definedName>
    <definedName name="YBAPREQ">#REF!</definedName>
    <definedName name="YBAPRIAT">#REF!</definedName>
    <definedName name="YBAPRIBIT">#REF!</definedName>
    <definedName name="YBAPRINT">#REF!</definedName>
    <definedName name="YBAPRNETCONT">#REF!</definedName>
    <definedName name="YBAPRSTEAM">#REF!</definedName>
    <definedName name="YBAPRTAX">#REF!</definedName>
    <definedName name="YBAPRTO">#REF!</definedName>
    <definedName name="YBAPRWHEEL">#REF!</definedName>
    <definedName name="YBAUGBANKINT">#REF!</definedName>
    <definedName name="YBAUGCAP">#REF!</definedName>
    <definedName name="YBAUGCO">#REF!</definedName>
    <definedName name="YBAUGCOAL">#REF!</definedName>
    <definedName name="YBAUGDA">#REF!</definedName>
    <definedName name="YBAUGDEP">#REF!</definedName>
    <definedName name="YBAUGEOS">#REF!</definedName>
    <definedName name="YBAUGEQ">#REF!</definedName>
    <definedName name="YBAUGIAT">#REF!</definedName>
    <definedName name="YBAUGIBIT">#REF!</definedName>
    <definedName name="YBAUGINT">#REF!</definedName>
    <definedName name="YBAUGNETCONT">#REF!</definedName>
    <definedName name="YBAUGSTEAM">#REF!</definedName>
    <definedName name="YBAUGTAX">#REF!</definedName>
    <definedName name="YBAUGWHEEL">#REF!</definedName>
    <definedName name="YBDECBANKINT">#REF!</definedName>
    <definedName name="YBDECCAP">#REF!</definedName>
    <definedName name="YBDECCO">#REF!</definedName>
    <definedName name="YBDECCOAL">#REF!</definedName>
    <definedName name="YBDECDA">#REF!</definedName>
    <definedName name="YBDECDEP">#REF!</definedName>
    <definedName name="YBDECEOS">#REF!</definedName>
    <definedName name="YBDECEQ">#REF!</definedName>
    <definedName name="YBDECGW">#REF!</definedName>
    <definedName name="YBDECIAT">#REF!</definedName>
    <definedName name="YBDECIBIT">#REF!</definedName>
    <definedName name="YBDECINT">#REF!</definedName>
    <definedName name="YBDECISN">#REF!</definedName>
    <definedName name="YBDECNETCONT">#REF!</definedName>
    <definedName name="YBDECSTEAM">#REF!</definedName>
    <definedName name="YBDECTAX">#REF!</definedName>
    <definedName name="YBDECWHEEL">#REF!</definedName>
    <definedName name="YBFEBBANKINT">#REF!</definedName>
    <definedName name="YBFEBCAP">#REF!</definedName>
    <definedName name="YBFEBCO">#REF!</definedName>
    <definedName name="YBFEBCOAL">#REF!</definedName>
    <definedName name="YBFEBDA">#REF!</definedName>
    <definedName name="YBFEBDEP">#REF!</definedName>
    <definedName name="YBFEBEOS">#REF!</definedName>
    <definedName name="YBFEBEQ">#REF!</definedName>
    <definedName name="YBFEBIAT">#REF!</definedName>
    <definedName name="YBFEBIBIT">#REF!</definedName>
    <definedName name="YBFEBINT">#REF!</definedName>
    <definedName name="YBFEBNETCONT">#REF!</definedName>
    <definedName name="YBFEBSTEAM">#REF!</definedName>
    <definedName name="YBFEBTAX">#REF!</definedName>
    <definedName name="YBFEBTO">#REF!</definedName>
    <definedName name="YBFEBWHEEL">#REF!</definedName>
    <definedName name="YBISNAPR">#REF!</definedName>
    <definedName name="YBISNAUG">#REF!</definedName>
    <definedName name="YBISNDEC">#REF!</definedName>
    <definedName name="YBISNFEB">#REF!</definedName>
    <definedName name="YBISNJAN">#REF!</definedName>
    <definedName name="YBISNJUL">#REF!</definedName>
    <definedName name="YBISNJUN">#REF!</definedName>
    <definedName name="YBISNMAR">#REF!</definedName>
    <definedName name="YBISNMAY">#REF!</definedName>
    <definedName name="YBISNNOV">#REF!</definedName>
    <definedName name="YBISNOCT">#REF!</definedName>
    <definedName name="YBISNSEP">#REF!</definedName>
    <definedName name="YBJANBANKINT">#REF!</definedName>
    <definedName name="YBJANCAP">#REF!</definedName>
    <definedName name="YBJANCO">#REF!</definedName>
    <definedName name="YBJANCOAL">#REF!</definedName>
    <definedName name="YBJANDA">#REF!</definedName>
    <definedName name="YBJANDEP">#REF!</definedName>
    <definedName name="YBJANEOS">#REF!</definedName>
    <definedName name="YBJANEQ">#REF!</definedName>
    <definedName name="YBJANIAT">#REF!</definedName>
    <definedName name="YBJANIBIT">#REF!</definedName>
    <definedName name="YBJANINT">#REF!</definedName>
    <definedName name="YBJANNETCONT">#REF!</definedName>
    <definedName name="YBJANSTEAM">#REF!</definedName>
    <definedName name="YBJANTAX">#REF!</definedName>
    <definedName name="YBJANTO">#REF!</definedName>
    <definedName name="YBJANWHEEL">#REF!</definedName>
    <definedName name="YBJULBANKINT">#REF!</definedName>
    <definedName name="YBJULCAP">#REF!</definedName>
    <definedName name="YBJULCO">#REF!</definedName>
    <definedName name="YBJULCOAL">#REF!</definedName>
    <definedName name="YBJULDA">#REF!</definedName>
    <definedName name="YBJULDEP">#REF!</definedName>
    <definedName name="YBJULEOS">#REF!</definedName>
    <definedName name="YBJULEQ">#REF!</definedName>
    <definedName name="YBJULIAT">#REF!</definedName>
    <definedName name="YBJULIBIT">#REF!</definedName>
    <definedName name="YBJULINT">#REF!</definedName>
    <definedName name="YBJULNETCONT">#REF!</definedName>
    <definedName name="YBJULSTEAM">#REF!</definedName>
    <definedName name="YBJULTAX">#REF!</definedName>
    <definedName name="YBJULTO">#REF!</definedName>
    <definedName name="YBJULWHEEL">#REF!</definedName>
    <definedName name="YBJUNBANKINT">#REF!</definedName>
    <definedName name="YBJUNCAP">#REF!</definedName>
    <definedName name="YBJUNCO">#REF!</definedName>
    <definedName name="YBJUNCOAL">#REF!</definedName>
    <definedName name="YBJUNDA">#REF!</definedName>
    <definedName name="YBJUNDEP">#REF!</definedName>
    <definedName name="YBJUNEOS">#REF!</definedName>
    <definedName name="YBJUNEQ">#REF!</definedName>
    <definedName name="YBJUNIAT">#REF!</definedName>
    <definedName name="YBJUNIBIT">#REF!</definedName>
    <definedName name="YBJUNINT">#REF!</definedName>
    <definedName name="YBJUNNETCONT">#REF!</definedName>
    <definedName name="YBJUNSTEAM">#REF!</definedName>
    <definedName name="YBJUNTAX">#REF!</definedName>
    <definedName name="YBJUNTO">#REF!</definedName>
    <definedName name="YBJUNWHEEL">#REF!</definedName>
    <definedName name="YBMARBANKINT">#REF!</definedName>
    <definedName name="YBMARCAP">#REF!</definedName>
    <definedName name="YBMARCO">#REF!</definedName>
    <definedName name="YBMARCOAL">#REF!</definedName>
    <definedName name="YBMARDA">#REF!</definedName>
    <definedName name="YBMARDEP">#REF!</definedName>
    <definedName name="YBMAREOS">#REF!</definedName>
    <definedName name="YBMAREQ">#REF!</definedName>
    <definedName name="YBMARIAT">#REF!</definedName>
    <definedName name="YBMARIBIT">#REF!</definedName>
    <definedName name="YBMARINT">#REF!</definedName>
    <definedName name="YBMARNETCONT">#REF!</definedName>
    <definedName name="YBMARSTEAM">#REF!</definedName>
    <definedName name="YBMARTAX">#REF!</definedName>
    <definedName name="YBMARTO">#REF!</definedName>
    <definedName name="YBMARWHEEL">#REF!</definedName>
    <definedName name="YBMAYBANKINT">#REF!</definedName>
    <definedName name="YBMAYCAP">#REF!</definedName>
    <definedName name="YBMAYCO">#REF!</definedName>
    <definedName name="YBMAYCOAL">#REF!</definedName>
    <definedName name="YBMAYDA">#REF!</definedName>
    <definedName name="YBMAYDEP">#REF!</definedName>
    <definedName name="YBMAYEOS">#REF!</definedName>
    <definedName name="YBMAYEQ">#REF!</definedName>
    <definedName name="YBMAYIAT">#REF!</definedName>
    <definedName name="YBMAYIBIT">#REF!</definedName>
    <definedName name="YBMAYINT">#REF!</definedName>
    <definedName name="YBMAYNETCONT">#REF!</definedName>
    <definedName name="YBMAYSTEAM">#REF!</definedName>
    <definedName name="YBMAYTAX">#REF!</definedName>
    <definedName name="YBMAYTO">#REF!</definedName>
    <definedName name="YBMAYWHEEL">#REF!</definedName>
    <definedName name="YBMIAPR">#REF!</definedName>
    <definedName name="YBMIAUG">#REF!</definedName>
    <definedName name="YBMIDEC">#REF!</definedName>
    <definedName name="YBMIFEB">#REF!</definedName>
    <definedName name="YBMIJAN">#REF!</definedName>
    <definedName name="YBMIJUL">#REF!</definedName>
    <definedName name="YBMIJUN">#REF!</definedName>
    <definedName name="YBMIMAR">#REF!</definedName>
    <definedName name="YBMINOV">#REF!</definedName>
    <definedName name="YBMIOCT">#REF!</definedName>
    <definedName name="YBMISEP">#REF!</definedName>
    <definedName name="YBNOVCAP">#REF!</definedName>
    <definedName name="YBNOVCO">#REF!</definedName>
    <definedName name="YBNOVCOAL">#REF!</definedName>
    <definedName name="YBNOVDA">#REF!</definedName>
    <definedName name="YBNOVDEP">#REF!</definedName>
    <definedName name="YBNOVEOS">#REF!</definedName>
    <definedName name="YBNOVEQ">#REF!</definedName>
    <definedName name="YBNOVIAT">#REF!</definedName>
    <definedName name="YBNOVIBIT">#REF!</definedName>
    <definedName name="YBNOVINT">#REF!</definedName>
    <definedName name="YBNOVNETCONT">#REF!</definedName>
    <definedName name="YBNOVSTEAM">#REF!</definedName>
    <definedName name="YBNOVTAX">#REF!</definedName>
    <definedName name="YBNOVWHEEL">#REF!</definedName>
    <definedName name="YBOCTBANKINT">#REF!</definedName>
    <definedName name="YBOCTCAP">#REF!</definedName>
    <definedName name="YBOCTCO">#REF!</definedName>
    <definedName name="YBOCTCOAL">#REF!</definedName>
    <definedName name="YBOCTDA">#REF!</definedName>
    <definedName name="YBOCTDEP">#REF!</definedName>
    <definedName name="YBOCTEOS">#REF!</definedName>
    <definedName name="YBOCTEQ">#REF!</definedName>
    <definedName name="YBOCTIAT">#REF!</definedName>
    <definedName name="YBOCTIBIT">#REF!</definedName>
    <definedName name="YBOCTINT">#REF!</definedName>
    <definedName name="YBOCTNETCONT">#REF!</definedName>
    <definedName name="YBOCTSTEAM">#REF!</definedName>
    <definedName name="YBOCTTAX">#REF!</definedName>
    <definedName name="YBOCTWHEEL">#REF!</definedName>
    <definedName name="YBOJANCO">#REF!</definedName>
    <definedName name="YBSEPBANKINT">#REF!</definedName>
    <definedName name="YBSEPCAP">#REF!</definedName>
    <definedName name="YBSEPCO">#REF!</definedName>
    <definedName name="YBSEPCOAL">#REF!</definedName>
    <definedName name="YBSEPDA">#REF!</definedName>
    <definedName name="YBSEPDEP">#REF!</definedName>
    <definedName name="YBSEPEOS">#REF!</definedName>
    <definedName name="YBSEPEQ">#REF!</definedName>
    <definedName name="YBSEPIAT">#REF!</definedName>
    <definedName name="YBSEPIBIT">#REF!</definedName>
    <definedName name="YBSEPINT">#REF!</definedName>
    <definedName name="YBSEPNETCONT">#REF!</definedName>
    <definedName name="YBSEPSTEAM">#REF!</definedName>
    <definedName name="YBSEPTAX">#REF!</definedName>
    <definedName name="YBSEPWHEEL">#REF!</definedName>
    <definedName name="Year">#REF!</definedName>
    <definedName name="Year0">#REF!</definedName>
    <definedName name="YMISNAPR">#REF!</definedName>
    <definedName name="YN">[33]Capa!$K$4:$K$5</definedName>
    <definedName name="YTDACTAPRFEE">#REF!</definedName>
    <definedName name="YTDACTAPRINT">#REF!</definedName>
    <definedName name="YTDACTAUGFEE">#REF!</definedName>
    <definedName name="YTDACTAUGINT">#REF!</definedName>
    <definedName name="YTDACTDECFEE">#REF!</definedName>
    <definedName name="YTDACTDECINT">#REF!</definedName>
    <definedName name="YTDACTFEBFEE">#REF!</definedName>
    <definedName name="YTDACTFEBINT">#REF!</definedName>
    <definedName name="YTDACTJANFEE">#REF!</definedName>
    <definedName name="YTDACTJANINT">#REF!</definedName>
    <definedName name="YTDACTJULFEE">#REF!</definedName>
    <definedName name="YTDACTJULINT">#REF!</definedName>
    <definedName name="YTDACTJUNFEE">#REF!</definedName>
    <definedName name="YTDACTJUNINT">#REF!</definedName>
    <definedName name="YTDACTMARFEE">#REF!</definedName>
    <definedName name="YTDACTMARINT">#REF!</definedName>
    <definedName name="YTDACTMAYFEE">#REF!</definedName>
    <definedName name="YTDACTMAYINT">#REF!</definedName>
    <definedName name="YTDACTNOVFEE">#REF!</definedName>
    <definedName name="YTDACTNOVINT">#REF!</definedName>
    <definedName name="YTDACTOCTFEE">#REF!</definedName>
    <definedName name="YTDACTOCTINT">#REF!</definedName>
    <definedName name="YTDACTSEPFEE">#REF!</definedName>
    <definedName name="YTDACTSEPINT">#REF!</definedName>
    <definedName name="YTDBB">#REF!</definedName>
    <definedName name="YTDBUDAPRFEE">#REF!</definedName>
    <definedName name="YTDBUDAPRINT">#REF!</definedName>
    <definedName name="YTDBUDAUGFEE">#REF!</definedName>
    <definedName name="YTDBUDAUGINT">#REF!</definedName>
    <definedName name="YTDBUDDECFEE">#REF!</definedName>
    <definedName name="YTDBUDDECINT">#REF!</definedName>
    <definedName name="YTDBUDFEBFEE">#REF!</definedName>
    <definedName name="YTDBUDFEBINT">#REF!</definedName>
    <definedName name="YTDBUDJANFEE">#REF!</definedName>
    <definedName name="YTDBUDJANINT">#REF!</definedName>
    <definedName name="YTDBUDJULFEE">#REF!</definedName>
    <definedName name="YTDBUDJULINT">#REF!</definedName>
    <definedName name="YTDBUDJUNFEE">#REF!</definedName>
    <definedName name="YTDBUDJUNINT">#REF!</definedName>
    <definedName name="YTDBUDMARFEE">#REF!</definedName>
    <definedName name="YTDBUDMARINT">#REF!</definedName>
    <definedName name="YTDBUDMAYFEE">#REF!</definedName>
    <definedName name="YTDBUDMAYINT">#REF!</definedName>
    <definedName name="YTDBUDNOVFEE">#REF!</definedName>
    <definedName name="YTDBUDNOVINT">#REF!</definedName>
    <definedName name="YTDBUDOCTFEE">#REF!</definedName>
    <definedName name="YTDBUDOCTINT">#REF!</definedName>
    <definedName name="YTDBUDSEPINT">#REF!</definedName>
    <definedName name="z" hidden="1">{"FS`s",#N/A,TRUE,"FS's";"Icome St",#N/A,TRUE,"Income St.";"Balance Sh",#N/A,TRUE,"Balance Sh.";"Gross Margin",#N/A,TRUE,"Gross Margin"}</definedName>
    <definedName name="zdsfsdfsdfdfss">#REF!</definedName>
    <definedName name="Zero">#REF!</definedName>
    <definedName name="ZeroOneChec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79" i="1" l="1"/>
  <c r="AE878" i="1"/>
  <c r="U878" i="1"/>
  <c r="AD878" i="1"/>
  <c r="AF878" i="1" s="1"/>
  <c r="AE877" i="1"/>
  <c r="U877" i="1"/>
  <c r="AD877" i="1"/>
  <c r="AF877" i="1" s="1"/>
  <c r="AE876" i="1"/>
  <c r="U876" i="1"/>
  <c r="AD876" i="1"/>
  <c r="AF876" i="1" s="1"/>
  <c r="AE875" i="1"/>
  <c r="U875" i="1"/>
  <c r="AD875" i="1"/>
  <c r="AF875" i="1" s="1"/>
  <c r="AE874" i="1"/>
  <c r="U874" i="1"/>
  <c r="AD874" i="1"/>
  <c r="AF874" i="1" s="1"/>
  <c r="AE873" i="1"/>
  <c r="U873" i="1"/>
  <c r="AD873" i="1"/>
  <c r="AF873" i="1" s="1"/>
  <c r="AE872" i="1"/>
  <c r="U872" i="1"/>
  <c r="AD872" i="1"/>
  <c r="AF872" i="1" s="1"/>
  <c r="AE871" i="1"/>
  <c r="U871" i="1"/>
  <c r="AD871" i="1"/>
  <c r="AF871" i="1" s="1"/>
  <c r="AE870" i="1"/>
  <c r="U870" i="1"/>
  <c r="AD870" i="1"/>
  <c r="AF870" i="1" s="1"/>
  <c r="AE869" i="1"/>
  <c r="U869" i="1"/>
  <c r="AD869" i="1"/>
  <c r="AF869" i="1" s="1"/>
  <c r="AE868" i="1"/>
  <c r="U868" i="1"/>
  <c r="AD868" i="1"/>
  <c r="AF868" i="1" s="1"/>
  <c r="AE867" i="1"/>
  <c r="U867" i="1"/>
  <c r="AD867" i="1"/>
  <c r="AF867" i="1" s="1"/>
  <c r="AE866" i="1"/>
  <c r="U866" i="1"/>
  <c r="AD866" i="1"/>
  <c r="AF866" i="1" s="1"/>
  <c r="AE865" i="1"/>
  <c r="U865" i="1"/>
  <c r="AD865" i="1"/>
  <c r="AF865" i="1" s="1"/>
  <c r="AE864" i="1"/>
  <c r="U864" i="1"/>
  <c r="AD864" i="1"/>
  <c r="AF864" i="1" s="1"/>
  <c r="AE863" i="1"/>
  <c r="U863" i="1"/>
  <c r="AD863" i="1"/>
  <c r="AF863" i="1" s="1"/>
  <c r="AE862" i="1"/>
  <c r="U862" i="1"/>
  <c r="AD862" i="1"/>
  <c r="AF862" i="1" s="1"/>
  <c r="AE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AD861" i="1"/>
  <c r="AF861" i="1" s="1"/>
  <c r="AE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AD860" i="1"/>
  <c r="AF860" i="1" s="1"/>
  <c r="AE859" i="1"/>
  <c r="U859" i="1"/>
  <c r="AD859" i="1"/>
  <c r="AF859" i="1" s="1"/>
  <c r="AE858" i="1"/>
  <c r="U858" i="1"/>
  <c r="AD858" i="1"/>
  <c r="AF858" i="1" s="1"/>
  <c r="AE857" i="1"/>
  <c r="U857" i="1"/>
  <c r="AD857" i="1"/>
  <c r="AF857" i="1" s="1"/>
  <c r="AE856" i="1"/>
  <c r="U856" i="1"/>
  <c r="AD856" i="1"/>
  <c r="AF856" i="1" s="1"/>
  <c r="AE855" i="1"/>
  <c r="U855" i="1"/>
  <c r="AD855" i="1"/>
  <c r="AF855" i="1" s="1"/>
  <c r="AE854" i="1"/>
  <c r="U854" i="1"/>
  <c r="AD854" i="1"/>
  <c r="AF854" i="1" s="1"/>
  <c r="AE853" i="1"/>
  <c r="U853" i="1"/>
  <c r="AD853" i="1"/>
  <c r="AF853" i="1" s="1"/>
  <c r="AE852" i="1"/>
  <c r="U852" i="1"/>
  <c r="AD852" i="1"/>
  <c r="AF852" i="1" s="1"/>
  <c r="AE851" i="1"/>
  <c r="U851" i="1"/>
  <c r="AD851" i="1"/>
  <c r="AF851" i="1" s="1"/>
  <c r="AE850" i="1"/>
  <c r="U850" i="1"/>
  <c r="AD850" i="1"/>
  <c r="AF850" i="1" s="1"/>
  <c r="AE849" i="1"/>
  <c r="U849" i="1"/>
  <c r="AD849" i="1"/>
  <c r="AF849" i="1" s="1"/>
  <c r="AE848" i="1"/>
  <c r="U848" i="1"/>
  <c r="AD848" i="1"/>
  <c r="AF848" i="1" s="1"/>
  <c r="AE847" i="1"/>
  <c r="U847" i="1"/>
  <c r="AD847" i="1"/>
  <c r="AF847" i="1" s="1"/>
  <c r="AE846" i="1"/>
  <c r="U846" i="1"/>
  <c r="AD846" i="1"/>
  <c r="AF846" i="1" s="1"/>
  <c r="AE845" i="1"/>
  <c r="U845" i="1"/>
  <c r="AD845" i="1"/>
  <c r="AF845" i="1" s="1"/>
  <c r="AE844" i="1"/>
  <c r="U844" i="1"/>
  <c r="AD844" i="1"/>
  <c r="AF844" i="1" s="1"/>
  <c r="AE843" i="1"/>
  <c r="U843" i="1"/>
  <c r="AD843" i="1"/>
  <c r="AF843" i="1" s="1"/>
  <c r="AE842" i="1"/>
  <c r="U842" i="1"/>
  <c r="AD842" i="1"/>
  <c r="AF842" i="1" s="1"/>
  <c r="AE841" i="1"/>
  <c r="U841" i="1"/>
  <c r="AD841" i="1"/>
  <c r="AF841" i="1" s="1"/>
  <c r="AE840" i="1"/>
  <c r="U840" i="1"/>
  <c r="AD840" i="1"/>
  <c r="AF840" i="1" s="1"/>
  <c r="AE839" i="1"/>
  <c r="U839" i="1"/>
  <c r="AD839" i="1"/>
  <c r="AF839" i="1" s="1"/>
  <c r="AE838" i="1"/>
  <c r="U838" i="1"/>
  <c r="AD838" i="1"/>
  <c r="AF838" i="1" s="1"/>
  <c r="U837" i="1"/>
  <c r="AD837" i="1"/>
  <c r="AF837" i="1" s="1"/>
  <c r="AE836" i="1"/>
  <c r="U836" i="1"/>
  <c r="AD836" i="1"/>
  <c r="AF836" i="1" s="1"/>
  <c r="AE835" i="1"/>
  <c r="U835" i="1"/>
  <c r="AD835" i="1"/>
  <c r="AF835" i="1" s="1"/>
  <c r="AE834" i="1"/>
  <c r="U834" i="1"/>
  <c r="AD834" i="1"/>
  <c r="AF834" i="1" s="1"/>
  <c r="AE833" i="1"/>
  <c r="U833" i="1"/>
  <c r="AD833" i="1"/>
  <c r="AF833" i="1" s="1"/>
  <c r="AE832" i="1"/>
  <c r="U832" i="1"/>
  <c r="AD832" i="1"/>
  <c r="AF832" i="1" s="1"/>
  <c r="AE831" i="1"/>
  <c r="U831" i="1"/>
  <c r="AD831" i="1"/>
  <c r="AF831" i="1" s="1"/>
  <c r="AE830" i="1"/>
  <c r="U830" i="1"/>
  <c r="AD830" i="1"/>
  <c r="AF830" i="1" s="1"/>
  <c r="AE829" i="1"/>
  <c r="U829" i="1"/>
  <c r="AD829" i="1"/>
  <c r="AF829" i="1" s="1"/>
  <c r="AE828" i="1"/>
  <c r="U828" i="1"/>
  <c r="AD828" i="1"/>
  <c r="AF828" i="1" s="1"/>
  <c r="AE827" i="1"/>
  <c r="U827" i="1"/>
  <c r="AD827" i="1"/>
  <c r="AF827" i="1" s="1"/>
  <c r="AE826" i="1"/>
  <c r="U826" i="1"/>
  <c r="AD826" i="1"/>
  <c r="AF826" i="1" s="1"/>
  <c r="AE825" i="1"/>
  <c r="U825" i="1"/>
  <c r="AD825" i="1"/>
  <c r="AF825" i="1" s="1"/>
  <c r="AE824" i="1"/>
  <c r="U824" i="1"/>
  <c r="AD824" i="1"/>
  <c r="AF824" i="1" s="1"/>
  <c r="AE823" i="1"/>
  <c r="U823" i="1"/>
  <c r="AD823" i="1"/>
  <c r="AF823" i="1" s="1"/>
  <c r="AE822" i="1"/>
  <c r="U822" i="1"/>
  <c r="AD822" i="1"/>
  <c r="AF822" i="1" s="1"/>
  <c r="AE821" i="1"/>
  <c r="U821" i="1"/>
  <c r="AD821" i="1"/>
  <c r="AF821" i="1" s="1"/>
  <c r="AE820" i="1"/>
  <c r="U820" i="1"/>
  <c r="AD820" i="1"/>
  <c r="AF820" i="1" s="1"/>
  <c r="AE819" i="1"/>
  <c r="U819" i="1"/>
  <c r="AD819" i="1"/>
  <c r="AF819" i="1" s="1"/>
  <c r="AE818" i="1"/>
  <c r="U818" i="1"/>
  <c r="AD818" i="1"/>
  <c r="AF818" i="1" s="1"/>
  <c r="AE817" i="1"/>
  <c r="U817" i="1"/>
  <c r="AD817" i="1"/>
  <c r="AF817" i="1" s="1"/>
  <c r="AE816" i="1"/>
  <c r="U816" i="1"/>
  <c r="AD816" i="1"/>
  <c r="AF816" i="1" s="1"/>
  <c r="AE815" i="1"/>
  <c r="U815" i="1"/>
  <c r="AD815" i="1"/>
  <c r="AF815" i="1" s="1"/>
  <c r="AE814" i="1"/>
  <c r="U814" i="1"/>
  <c r="AD814" i="1"/>
  <c r="AF814" i="1" s="1"/>
  <c r="AE813" i="1"/>
  <c r="U813" i="1"/>
  <c r="AD813" i="1"/>
  <c r="AF813" i="1" s="1"/>
  <c r="AE812" i="1"/>
  <c r="U812" i="1"/>
  <c r="AD812" i="1"/>
  <c r="AF812" i="1" s="1"/>
  <c r="AE811" i="1"/>
  <c r="U811" i="1"/>
  <c r="AD811" i="1"/>
  <c r="AF811" i="1" s="1"/>
  <c r="AE810" i="1"/>
  <c r="U810" i="1"/>
  <c r="AD810" i="1"/>
  <c r="AF810" i="1" s="1"/>
  <c r="AE809" i="1"/>
  <c r="U809" i="1"/>
  <c r="AD809" i="1"/>
  <c r="AF809" i="1" s="1"/>
  <c r="AE808" i="1"/>
  <c r="U808" i="1"/>
  <c r="AD808" i="1"/>
  <c r="AF808" i="1" s="1"/>
  <c r="AE807" i="1"/>
  <c r="U807" i="1"/>
  <c r="AD807" i="1"/>
  <c r="AF807" i="1" s="1"/>
  <c r="AE806" i="1"/>
  <c r="U806" i="1"/>
  <c r="AD806" i="1"/>
  <c r="AF806" i="1" s="1"/>
  <c r="AE805" i="1"/>
  <c r="U805" i="1"/>
  <c r="AD805" i="1"/>
  <c r="AF805" i="1" s="1"/>
  <c r="AE804" i="1"/>
  <c r="U804" i="1"/>
  <c r="AD804" i="1"/>
  <c r="AF804" i="1" s="1"/>
  <c r="AE803" i="1"/>
  <c r="U803" i="1"/>
  <c r="AD803" i="1"/>
  <c r="AF803" i="1" s="1"/>
  <c r="AE802" i="1"/>
  <c r="U802" i="1"/>
  <c r="AD802" i="1"/>
  <c r="AF802" i="1" s="1"/>
  <c r="AE801" i="1"/>
  <c r="U801" i="1"/>
  <c r="AD801" i="1"/>
  <c r="AF801" i="1" s="1"/>
  <c r="AE800" i="1"/>
  <c r="U800" i="1"/>
  <c r="AD800" i="1"/>
  <c r="AF800" i="1" s="1"/>
  <c r="AE799" i="1"/>
  <c r="U799" i="1"/>
  <c r="AD799" i="1"/>
  <c r="AF799" i="1" s="1"/>
  <c r="AE798" i="1"/>
  <c r="U798" i="1"/>
  <c r="AD798" i="1"/>
  <c r="AF798" i="1" s="1"/>
  <c r="AE797" i="1"/>
  <c r="U797" i="1"/>
  <c r="AD797" i="1"/>
  <c r="AF797" i="1" s="1"/>
  <c r="AE796" i="1"/>
  <c r="U796" i="1"/>
  <c r="AD796" i="1"/>
  <c r="AF796" i="1" s="1"/>
  <c r="AE795" i="1"/>
  <c r="U795" i="1"/>
  <c r="AD795" i="1"/>
  <c r="AF795" i="1" s="1"/>
  <c r="AE794" i="1"/>
  <c r="U794" i="1"/>
  <c r="AD794" i="1"/>
  <c r="AF794" i="1" s="1"/>
  <c r="AE793" i="1"/>
  <c r="U793" i="1"/>
  <c r="AD793" i="1"/>
  <c r="AF793" i="1" s="1"/>
  <c r="AE792" i="1"/>
  <c r="U792" i="1"/>
  <c r="AD792" i="1"/>
  <c r="AF792" i="1" s="1"/>
  <c r="AE791" i="1"/>
  <c r="U791" i="1"/>
  <c r="AD791" i="1"/>
  <c r="AF791" i="1" s="1"/>
  <c r="AE790" i="1"/>
  <c r="U790" i="1"/>
  <c r="AD790" i="1"/>
  <c r="AF790" i="1" s="1"/>
  <c r="AE789" i="1"/>
  <c r="U789" i="1"/>
  <c r="AD789" i="1"/>
  <c r="AF789" i="1" s="1"/>
  <c r="AE788" i="1"/>
  <c r="U788" i="1"/>
  <c r="AD788" i="1"/>
  <c r="AF788" i="1" s="1"/>
  <c r="AE787" i="1"/>
  <c r="U787" i="1"/>
  <c r="AD787" i="1"/>
  <c r="AF787" i="1" s="1"/>
  <c r="AE786" i="1"/>
  <c r="U786" i="1"/>
  <c r="AD786" i="1"/>
  <c r="AF786" i="1" s="1"/>
  <c r="AE785" i="1"/>
  <c r="U785" i="1"/>
  <c r="AD785" i="1"/>
  <c r="AF785" i="1" s="1"/>
  <c r="AE784" i="1"/>
  <c r="U784" i="1"/>
  <c r="AD784" i="1"/>
  <c r="AF784" i="1" s="1"/>
  <c r="AE783" i="1"/>
  <c r="U783" i="1"/>
  <c r="AD783" i="1"/>
  <c r="AF783" i="1" s="1"/>
  <c r="AE782" i="1"/>
  <c r="U782" i="1"/>
  <c r="AD782" i="1"/>
  <c r="AF782" i="1" s="1"/>
  <c r="AE781" i="1"/>
  <c r="U781" i="1"/>
  <c r="AD781" i="1"/>
  <c r="AF781" i="1" s="1"/>
  <c r="AE780" i="1"/>
  <c r="U780" i="1"/>
  <c r="AD780" i="1"/>
  <c r="AF780" i="1" s="1"/>
  <c r="AE779" i="1"/>
  <c r="U779" i="1"/>
  <c r="AD779" i="1"/>
  <c r="AF779" i="1" s="1"/>
  <c r="AE778" i="1"/>
  <c r="U778" i="1"/>
  <c r="AD778" i="1"/>
  <c r="AF778" i="1" s="1"/>
  <c r="AE777" i="1"/>
  <c r="U777" i="1"/>
  <c r="AD777" i="1"/>
  <c r="AF777" i="1" s="1"/>
  <c r="AE776" i="1"/>
  <c r="U776" i="1"/>
  <c r="AD776" i="1"/>
  <c r="AF776" i="1" s="1"/>
  <c r="AE775" i="1"/>
  <c r="U775" i="1"/>
  <c r="AD775" i="1"/>
  <c r="AF775" i="1" s="1"/>
  <c r="AE774" i="1"/>
  <c r="U774" i="1"/>
  <c r="AD774" i="1"/>
  <c r="AF774" i="1" s="1"/>
  <c r="AE773" i="1"/>
  <c r="U773" i="1"/>
  <c r="AD773" i="1"/>
  <c r="AF773" i="1" s="1"/>
  <c r="AE772" i="1"/>
  <c r="U772" i="1"/>
  <c r="AD772" i="1"/>
  <c r="AF772" i="1" s="1"/>
  <c r="AE771" i="1"/>
  <c r="U771" i="1"/>
  <c r="AD771" i="1"/>
  <c r="AF771" i="1" s="1"/>
  <c r="AE770" i="1"/>
  <c r="U770" i="1"/>
  <c r="AD770" i="1"/>
  <c r="AF770" i="1" s="1"/>
  <c r="AE769" i="1"/>
  <c r="U769" i="1"/>
  <c r="AD769" i="1"/>
  <c r="AF769" i="1" s="1"/>
  <c r="AE768" i="1"/>
  <c r="U768" i="1"/>
  <c r="AD768" i="1"/>
  <c r="AF768" i="1" s="1"/>
  <c r="AE767" i="1"/>
  <c r="U767" i="1"/>
  <c r="AD767" i="1"/>
  <c r="AF767" i="1" s="1"/>
  <c r="AE766" i="1"/>
  <c r="U766" i="1"/>
  <c r="AD766" i="1"/>
  <c r="AF766" i="1" s="1"/>
  <c r="AE765" i="1"/>
  <c r="U765" i="1"/>
  <c r="AD765" i="1"/>
  <c r="AF765" i="1" s="1"/>
  <c r="AE764" i="1"/>
  <c r="U764" i="1"/>
  <c r="AD764" i="1"/>
  <c r="AF764" i="1" s="1"/>
  <c r="AE763" i="1"/>
  <c r="U763" i="1"/>
  <c r="AD763" i="1"/>
  <c r="AF763" i="1" s="1"/>
  <c r="AE762" i="1"/>
  <c r="U762" i="1"/>
  <c r="AD762" i="1"/>
  <c r="AF762" i="1" s="1"/>
  <c r="AE761" i="1"/>
  <c r="U761" i="1"/>
  <c r="AD761" i="1"/>
  <c r="AF761" i="1" s="1"/>
  <c r="AE760" i="1"/>
  <c r="U760" i="1"/>
  <c r="AD760" i="1"/>
  <c r="AF760" i="1" s="1"/>
  <c r="AE759" i="1"/>
  <c r="U759" i="1"/>
  <c r="AD759" i="1"/>
  <c r="AF759" i="1" s="1"/>
  <c r="AE758" i="1"/>
  <c r="U758" i="1"/>
  <c r="AD758" i="1"/>
  <c r="AF758" i="1" s="1"/>
  <c r="AE757" i="1"/>
  <c r="U757" i="1"/>
  <c r="AD757" i="1"/>
  <c r="AF757" i="1" s="1"/>
  <c r="AE756" i="1"/>
  <c r="U756" i="1"/>
  <c r="AD756" i="1"/>
  <c r="AF756" i="1" s="1"/>
  <c r="AE755" i="1"/>
  <c r="U755" i="1"/>
  <c r="AD755" i="1"/>
  <c r="AF755" i="1" s="1"/>
  <c r="AE754" i="1"/>
  <c r="U754" i="1"/>
  <c r="AD754" i="1"/>
  <c r="AF754" i="1" s="1"/>
  <c r="AE753" i="1"/>
  <c r="U753" i="1"/>
  <c r="AD753" i="1"/>
  <c r="AF753" i="1" s="1"/>
  <c r="AE752" i="1"/>
  <c r="U752" i="1"/>
  <c r="AD752" i="1"/>
  <c r="AF752" i="1" s="1"/>
  <c r="AE751" i="1"/>
  <c r="U751" i="1"/>
  <c r="AD751" i="1"/>
  <c r="AF751" i="1" s="1"/>
  <c r="AE750" i="1"/>
  <c r="U750" i="1"/>
  <c r="AD750" i="1"/>
  <c r="AF750" i="1" s="1"/>
  <c r="AE749" i="1"/>
  <c r="U749" i="1"/>
  <c r="AD749" i="1"/>
  <c r="AF749" i="1" s="1"/>
  <c r="AE748" i="1"/>
  <c r="U748" i="1"/>
  <c r="AD748" i="1"/>
  <c r="AF748" i="1" s="1"/>
  <c r="AE747" i="1"/>
  <c r="U747" i="1"/>
  <c r="AD747" i="1"/>
  <c r="AF747" i="1" s="1"/>
  <c r="AE746" i="1"/>
  <c r="U746" i="1"/>
  <c r="AD746" i="1"/>
  <c r="AF746" i="1" s="1"/>
  <c r="AE745" i="1"/>
  <c r="U745" i="1"/>
  <c r="AD745" i="1"/>
  <c r="AF745" i="1" s="1"/>
  <c r="AE744" i="1"/>
  <c r="U744" i="1"/>
  <c r="AD744" i="1"/>
  <c r="AF744" i="1" s="1"/>
  <c r="AE743" i="1"/>
  <c r="U743" i="1"/>
  <c r="AD743" i="1"/>
  <c r="AF743" i="1" s="1"/>
  <c r="AE742" i="1"/>
  <c r="U742" i="1"/>
  <c r="AD742" i="1"/>
  <c r="AF742" i="1" s="1"/>
  <c r="AE741" i="1"/>
  <c r="U741" i="1"/>
  <c r="AD741" i="1"/>
  <c r="AF741" i="1" s="1"/>
  <c r="AE740" i="1"/>
  <c r="U740" i="1"/>
  <c r="AD740" i="1"/>
  <c r="AF740" i="1" s="1"/>
  <c r="AE739" i="1"/>
  <c r="U739" i="1"/>
  <c r="AD739" i="1"/>
  <c r="AF739" i="1" s="1"/>
  <c r="AE738" i="1"/>
  <c r="U738" i="1"/>
  <c r="AD738" i="1"/>
  <c r="AF738" i="1" s="1"/>
  <c r="AE737" i="1"/>
  <c r="U737" i="1"/>
  <c r="AD737" i="1"/>
  <c r="AF737" i="1" s="1"/>
  <c r="AE736" i="1"/>
  <c r="U736" i="1"/>
  <c r="AD736" i="1"/>
  <c r="AF736" i="1" s="1"/>
  <c r="AE735" i="1"/>
  <c r="U735" i="1"/>
  <c r="AD735" i="1"/>
  <c r="AF735" i="1" s="1"/>
  <c r="AE734" i="1"/>
  <c r="U734" i="1"/>
  <c r="AD734" i="1"/>
  <c r="AF734" i="1" s="1"/>
  <c r="AE733" i="1"/>
  <c r="U733" i="1"/>
  <c r="AD733" i="1"/>
  <c r="AF733" i="1" s="1"/>
  <c r="AE732" i="1"/>
  <c r="U732" i="1"/>
  <c r="AD732" i="1"/>
  <c r="AF732" i="1" s="1"/>
  <c r="AE731" i="1"/>
  <c r="U731" i="1"/>
  <c r="AD731" i="1"/>
  <c r="AF731" i="1" s="1"/>
  <c r="AE730" i="1"/>
  <c r="U730" i="1"/>
  <c r="AD730" i="1"/>
  <c r="AF730" i="1" s="1"/>
  <c r="AE729" i="1"/>
  <c r="U729" i="1"/>
  <c r="AD729" i="1"/>
  <c r="AF729" i="1" s="1"/>
  <c r="AE728" i="1"/>
  <c r="U728" i="1"/>
  <c r="AD728" i="1"/>
  <c r="AF728" i="1" s="1"/>
  <c r="AE727" i="1"/>
  <c r="U727" i="1"/>
  <c r="AD727" i="1"/>
  <c r="AF727" i="1" s="1"/>
  <c r="AE726" i="1"/>
  <c r="U726" i="1"/>
  <c r="AD726" i="1"/>
  <c r="AF726" i="1" s="1"/>
  <c r="AE725" i="1"/>
  <c r="U725" i="1"/>
  <c r="AD725" i="1"/>
  <c r="AF725" i="1" s="1"/>
  <c r="AE724" i="1"/>
  <c r="U724" i="1"/>
  <c r="AD724" i="1"/>
  <c r="AF724" i="1" s="1"/>
  <c r="AE723" i="1"/>
  <c r="U723" i="1"/>
  <c r="AD723" i="1"/>
  <c r="AF723" i="1" s="1"/>
  <c r="AE722" i="1"/>
  <c r="U722" i="1"/>
  <c r="AD722" i="1"/>
  <c r="AF722" i="1" s="1"/>
  <c r="AE721" i="1"/>
  <c r="U721" i="1"/>
  <c r="AD721" i="1"/>
  <c r="AF721" i="1" s="1"/>
  <c r="AE720" i="1"/>
  <c r="U720" i="1"/>
  <c r="AD720" i="1"/>
  <c r="AF720" i="1" s="1"/>
  <c r="AE719" i="1"/>
  <c r="U719" i="1"/>
  <c r="AD719" i="1"/>
  <c r="AF719" i="1" s="1"/>
  <c r="AE718" i="1"/>
  <c r="U718" i="1"/>
  <c r="AD718" i="1"/>
  <c r="AF718" i="1" s="1"/>
  <c r="AE717" i="1"/>
  <c r="U717" i="1"/>
  <c r="AD717" i="1"/>
  <c r="AF717" i="1" s="1"/>
  <c r="AE716" i="1"/>
  <c r="U716" i="1"/>
  <c r="AD716" i="1"/>
  <c r="AF716" i="1" s="1"/>
  <c r="AE715" i="1"/>
  <c r="U715" i="1"/>
  <c r="AD715" i="1"/>
  <c r="AF715" i="1" s="1"/>
  <c r="AE714" i="1"/>
  <c r="U714" i="1"/>
  <c r="AD714" i="1"/>
  <c r="AF714" i="1" s="1"/>
  <c r="AE713" i="1"/>
  <c r="U713" i="1"/>
  <c r="AD713" i="1"/>
  <c r="AF713" i="1" s="1"/>
  <c r="AE712" i="1"/>
  <c r="U712" i="1"/>
  <c r="AD712" i="1"/>
  <c r="AF712" i="1" s="1"/>
  <c r="AE711" i="1"/>
  <c r="U711" i="1"/>
  <c r="AD711" i="1"/>
  <c r="AF711" i="1" s="1"/>
  <c r="AE710" i="1"/>
  <c r="U710" i="1"/>
  <c r="AD710" i="1"/>
  <c r="AF710" i="1" s="1"/>
  <c r="AE709" i="1"/>
  <c r="U709" i="1"/>
  <c r="AD709" i="1"/>
  <c r="AF709" i="1" s="1"/>
  <c r="AE708" i="1"/>
  <c r="U708" i="1"/>
  <c r="AD708" i="1"/>
  <c r="AF708" i="1" s="1"/>
  <c r="AE707" i="1"/>
  <c r="U707" i="1"/>
  <c r="AD707" i="1"/>
  <c r="AF707" i="1" s="1"/>
  <c r="AE706" i="1"/>
  <c r="U706" i="1"/>
  <c r="AD706" i="1"/>
  <c r="AF706" i="1" s="1"/>
  <c r="AE705" i="1"/>
  <c r="U705" i="1"/>
  <c r="AD705" i="1"/>
  <c r="AF705" i="1" s="1"/>
  <c r="AE704" i="1"/>
  <c r="U704" i="1"/>
  <c r="AD704" i="1"/>
  <c r="AF704" i="1" s="1"/>
  <c r="AE703" i="1"/>
  <c r="U703" i="1"/>
  <c r="AD703" i="1"/>
  <c r="AF703" i="1" s="1"/>
  <c r="AE702" i="1"/>
  <c r="U702" i="1"/>
  <c r="AD702" i="1"/>
  <c r="AF702" i="1" s="1"/>
  <c r="AE701" i="1"/>
  <c r="U701" i="1"/>
  <c r="AD701" i="1"/>
  <c r="AF701" i="1" s="1"/>
  <c r="AE700" i="1"/>
  <c r="U700" i="1"/>
  <c r="AD700" i="1"/>
  <c r="AF700" i="1" s="1"/>
  <c r="AE699" i="1"/>
  <c r="U699" i="1"/>
  <c r="AD699" i="1"/>
  <c r="AF699" i="1" s="1"/>
  <c r="AE698" i="1"/>
  <c r="U698" i="1"/>
  <c r="AD698" i="1"/>
  <c r="AF698" i="1" s="1"/>
  <c r="AE697" i="1"/>
  <c r="U697" i="1"/>
  <c r="AD697" i="1"/>
  <c r="AF697" i="1" s="1"/>
  <c r="AE696" i="1"/>
  <c r="U696" i="1"/>
  <c r="AD696" i="1"/>
  <c r="AF696" i="1" s="1"/>
  <c r="AE695" i="1"/>
  <c r="U695" i="1"/>
  <c r="AD695" i="1"/>
  <c r="AF695" i="1" s="1"/>
  <c r="AE694" i="1"/>
  <c r="U694" i="1"/>
  <c r="AD694" i="1"/>
  <c r="AF694" i="1" s="1"/>
  <c r="AE693" i="1"/>
  <c r="U693" i="1"/>
  <c r="AD693" i="1"/>
  <c r="AF693" i="1" s="1"/>
  <c r="AE692" i="1"/>
  <c r="U692" i="1"/>
  <c r="AD692" i="1"/>
  <c r="AF692" i="1" s="1"/>
  <c r="AE691" i="1"/>
  <c r="U691" i="1"/>
  <c r="AD691" i="1"/>
  <c r="AF691" i="1" s="1"/>
  <c r="AE690" i="1"/>
  <c r="U690" i="1"/>
  <c r="AD690" i="1"/>
  <c r="AF690" i="1" s="1"/>
  <c r="AE689" i="1"/>
  <c r="U689" i="1"/>
  <c r="AD689" i="1"/>
  <c r="AF689" i="1" s="1"/>
  <c r="AE688" i="1"/>
  <c r="U688" i="1"/>
  <c r="AD688" i="1"/>
  <c r="AF688" i="1" s="1"/>
  <c r="AE687" i="1"/>
  <c r="U687" i="1"/>
  <c r="AD687" i="1"/>
  <c r="AF687" i="1" s="1"/>
  <c r="AE686" i="1"/>
  <c r="U686" i="1"/>
  <c r="AD686" i="1"/>
  <c r="AF686" i="1" s="1"/>
  <c r="AE685" i="1"/>
  <c r="U685" i="1"/>
  <c r="AD685" i="1"/>
  <c r="AF685" i="1" s="1"/>
  <c r="AE684" i="1"/>
  <c r="U684" i="1"/>
  <c r="AD684" i="1"/>
  <c r="AF684" i="1" s="1"/>
  <c r="AE683" i="1"/>
  <c r="U683" i="1"/>
  <c r="AD683" i="1"/>
  <c r="AF683" i="1" s="1"/>
  <c r="AE682" i="1"/>
  <c r="U682" i="1"/>
  <c r="AD682" i="1"/>
  <c r="AF682" i="1" s="1"/>
  <c r="AE681" i="1"/>
  <c r="U681" i="1"/>
  <c r="AD681" i="1"/>
  <c r="AF681" i="1" s="1"/>
  <c r="AE680" i="1"/>
  <c r="U680" i="1"/>
  <c r="AD680" i="1"/>
  <c r="AF680" i="1" s="1"/>
  <c r="AE679" i="1"/>
  <c r="U679" i="1"/>
  <c r="AD679" i="1"/>
  <c r="AF679" i="1" s="1"/>
  <c r="AE678" i="1"/>
  <c r="U678" i="1"/>
  <c r="AD678" i="1"/>
  <c r="AF678" i="1" s="1"/>
  <c r="AE677" i="1"/>
  <c r="U677" i="1"/>
  <c r="AD677" i="1"/>
  <c r="AF677" i="1" s="1"/>
  <c r="AE676" i="1"/>
  <c r="U676" i="1"/>
  <c r="AD676" i="1"/>
  <c r="AF676" i="1" s="1"/>
  <c r="AE675" i="1"/>
  <c r="U675" i="1"/>
  <c r="AD675" i="1"/>
  <c r="AF675" i="1" s="1"/>
  <c r="AE674" i="1"/>
  <c r="U674" i="1"/>
  <c r="AD674" i="1"/>
  <c r="AF674" i="1" s="1"/>
  <c r="AE673" i="1"/>
  <c r="U673" i="1"/>
  <c r="AD673" i="1"/>
  <c r="AF673" i="1" s="1"/>
  <c r="AE672" i="1"/>
  <c r="U672" i="1"/>
  <c r="AD672" i="1"/>
  <c r="AF672" i="1" s="1"/>
  <c r="AE671" i="1"/>
  <c r="U671" i="1"/>
  <c r="AD671" i="1"/>
  <c r="AF671" i="1" s="1"/>
  <c r="AE670" i="1"/>
  <c r="U670" i="1"/>
  <c r="AD670" i="1"/>
  <c r="AF670" i="1" s="1"/>
  <c r="AE669" i="1"/>
  <c r="U669" i="1"/>
  <c r="AD669" i="1"/>
  <c r="AF669" i="1" s="1"/>
  <c r="AE668" i="1"/>
  <c r="U668" i="1"/>
  <c r="AD668" i="1"/>
  <c r="AF668" i="1" s="1"/>
  <c r="AE667" i="1"/>
  <c r="U667" i="1"/>
  <c r="AD667" i="1"/>
  <c r="AF667" i="1" s="1"/>
  <c r="AE666" i="1"/>
  <c r="U666" i="1"/>
  <c r="AD666" i="1"/>
  <c r="AF666" i="1" s="1"/>
  <c r="AE665" i="1"/>
  <c r="U665" i="1"/>
  <c r="AD665" i="1"/>
  <c r="AF665" i="1" s="1"/>
  <c r="AE664" i="1"/>
  <c r="U664" i="1"/>
  <c r="AD664" i="1"/>
  <c r="AF664" i="1" s="1"/>
  <c r="AE663" i="1"/>
  <c r="U663" i="1"/>
  <c r="AD663" i="1"/>
  <c r="AF663" i="1" s="1"/>
  <c r="AE662" i="1"/>
  <c r="U662" i="1"/>
  <c r="AD662" i="1"/>
  <c r="AF662" i="1" s="1"/>
  <c r="AE661" i="1"/>
  <c r="U661" i="1"/>
  <c r="AD661" i="1"/>
  <c r="AF661" i="1" s="1"/>
  <c r="AE660" i="1"/>
  <c r="U660" i="1"/>
  <c r="AD660" i="1"/>
  <c r="AF660" i="1" s="1"/>
  <c r="AE659" i="1"/>
  <c r="U659" i="1"/>
  <c r="AD659" i="1"/>
  <c r="AF659" i="1" s="1"/>
  <c r="AE658" i="1"/>
  <c r="U658" i="1"/>
  <c r="AD658" i="1"/>
  <c r="AF658" i="1" s="1"/>
  <c r="AE657" i="1"/>
  <c r="U657" i="1"/>
  <c r="AD657" i="1"/>
  <c r="AF657" i="1" s="1"/>
  <c r="AE656" i="1"/>
  <c r="U656" i="1"/>
  <c r="AD656" i="1"/>
  <c r="AF656" i="1" s="1"/>
  <c r="AE655" i="1"/>
  <c r="U655" i="1"/>
  <c r="AD655" i="1"/>
  <c r="AF655" i="1" s="1"/>
  <c r="AE654" i="1"/>
  <c r="U654" i="1"/>
  <c r="AD654" i="1"/>
  <c r="AF654" i="1" s="1"/>
  <c r="AE653" i="1"/>
  <c r="U653" i="1"/>
  <c r="AD653" i="1"/>
  <c r="AF653" i="1" s="1"/>
  <c r="AE652" i="1"/>
  <c r="U652" i="1"/>
  <c r="AD652" i="1"/>
  <c r="AF652" i="1" s="1"/>
  <c r="AE651" i="1"/>
  <c r="U651" i="1"/>
  <c r="AD651" i="1"/>
  <c r="AF651" i="1" s="1"/>
  <c r="AE650" i="1"/>
  <c r="U650" i="1"/>
  <c r="AD650" i="1"/>
  <c r="AF650" i="1" s="1"/>
  <c r="AE649" i="1"/>
  <c r="U649" i="1"/>
  <c r="AD649" i="1"/>
  <c r="AF649" i="1" s="1"/>
  <c r="AE648" i="1"/>
  <c r="U648" i="1"/>
  <c r="AD648" i="1"/>
  <c r="AF648" i="1" s="1"/>
  <c r="AE647" i="1"/>
  <c r="U647" i="1"/>
  <c r="AD647" i="1"/>
  <c r="AF647" i="1" s="1"/>
  <c r="AE646" i="1"/>
  <c r="U646" i="1"/>
  <c r="AD646" i="1"/>
  <c r="AF646" i="1" s="1"/>
  <c r="AE645" i="1"/>
  <c r="U645" i="1"/>
  <c r="AD645" i="1"/>
  <c r="AF645" i="1" s="1"/>
  <c r="AE644" i="1"/>
  <c r="U644" i="1"/>
  <c r="AD644" i="1"/>
  <c r="AF644" i="1" s="1"/>
  <c r="AE643" i="1"/>
  <c r="U643" i="1"/>
  <c r="AD643" i="1"/>
  <c r="AF643" i="1" s="1"/>
  <c r="AE642" i="1"/>
  <c r="U642" i="1"/>
  <c r="AD642" i="1"/>
  <c r="AF642" i="1" s="1"/>
  <c r="AE641" i="1"/>
  <c r="U641" i="1"/>
  <c r="AD641" i="1"/>
  <c r="AF641" i="1" s="1"/>
  <c r="AE640" i="1"/>
  <c r="U640" i="1"/>
  <c r="AD640" i="1"/>
  <c r="AF640" i="1" s="1"/>
  <c r="AE639" i="1"/>
  <c r="U639" i="1"/>
  <c r="AD639" i="1"/>
  <c r="AF639" i="1" s="1"/>
  <c r="AE638" i="1"/>
  <c r="U638" i="1"/>
  <c r="AD638" i="1"/>
  <c r="AF638" i="1" s="1"/>
  <c r="AE637" i="1"/>
  <c r="U637" i="1"/>
  <c r="AD637" i="1"/>
  <c r="AF637" i="1" s="1"/>
  <c r="AE636" i="1"/>
  <c r="U636" i="1"/>
  <c r="AD636" i="1"/>
  <c r="AF636" i="1" s="1"/>
  <c r="AE635" i="1"/>
  <c r="U635" i="1"/>
  <c r="AD635" i="1"/>
  <c r="AF635" i="1" s="1"/>
  <c r="AE634" i="1"/>
  <c r="U634" i="1"/>
  <c r="AD634" i="1"/>
  <c r="AF634" i="1" s="1"/>
  <c r="AE633" i="1"/>
  <c r="U633" i="1"/>
  <c r="AD633" i="1"/>
  <c r="AF633" i="1" s="1"/>
  <c r="AE632" i="1"/>
  <c r="U632" i="1"/>
  <c r="AD632" i="1"/>
  <c r="AF632" i="1" s="1"/>
  <c r="AE631" i="1"/>
  <c r="U631" i="1"/>
  <c r="AD631" i="1"/>
  <c r="AF631" i="1" s="1"/>
  <c r="AE630" i="1"/>
  <c r="U630" i="1"/>
  <c r="AD630" i="1"/>
  <c r="AF630" i="1" s="1"/>
  <c r="AE629" i="1"/>
  <c r="U629" i="1"/>
  <c r="AD629" i="1"/>
  <c r="AF629" i="1" s="1"/>
  <c r="AE628" i="1"/>
  <c r="U628" i="1"/>
  <c r="AD628" i="1"/>
  <c r="AF628" i="1" s="1"/>
  <c r="AE627" i="1"/>
  <c r="U627" i="1"/>
  <c r="AD627" i="1"/>
  <c r="AF627" i="1" s="1"/>
  <c r="AE626" i="1"/>
  <c r="U626" i="1"/>
  <c r="AD626" i="1"/>
  <c r="AF626" i="1" s="1"/>
  <c r="AE625" i="1"/>
  <c r="U625" i="1"/>
  <c r="AD625" i="1"/>
  <c r="AF625" i="1" s="1"/>
  <c r="AE624" i="1"/>
  <c r="U624" i="1"/>
  <c r="AD624" i="1"/>
  <c r="AF624" i="1" s="1"/>
  <c r="AE623" i="1"/>
  <c r="U623" i="1"/>
  <c r="AD623" i="1"/>
  <c r="AF623" i="1" s="1"/>
  <c r="AE622" i="1"/>
  <c r="U622" i="1"/>
  <c r="AD622" i="1"/>
  <c r="AF622" i="1" s="1"/>
  <c r="AE621" i="1"/>
  <c r="U621" i="1"/>
  <c r="AD621" i="1"/>
  <c r="AF621" i="1" s="1"/>
  <c r="AE620" i="1"/>
  <c r="U620" i="1"/>
  <c r="AD620" i="1"/>
  <c r="AF620" i="1" s="1"/>
  <c r="AE619" i="1"/>
  <c r="U619" i="1"/>
  <c r="AD619" i="1"/>
  <c r="AF619" i="1" s="1"/>
  <c r="AE618" i="1"/>
  <c r="U618" i="1"/>
  <c r="AD618" i="1"/>
  <c r="AF618" i="1" s="1"/>
  <c r="AE617" i="1"/>
  <c r="U617" i="1"/>
  <c r="AD617" i="1"/>
  <c r="AF617" i="1" s="1"/>
  <c r="AE616" i="1"/>
  <c r="U616" i="1"/>
  <c r="AD616" i="1"/>
  <c r="AF616" i="1" s="1"/>
  <c r="AE615" i="1"/>
  <c r="U615" i="1"/>
  <c r="AD615" i="1"/>
  <c r="AF615" i="1" s="1"/>
  <c r="AE614" i="1"/>
  <c r="U614" i="1"/>
  <c r="AD614" i="1"/>
  <c r="AF614" i="1" s="1"/>
  <c r="AE613" i="1"/>
  <c r="U613" i="1"/>
  <c r="AD613" i="1"/>
  <c r="AF613" i="1" s="1"/>
  <c r="AE612" i="1"/>
  <c r="U612" i="1"/>
  <c r="AD612" i="1"/>
  <c r="AF612" i="1" s="1"/>
  <c r="AE611" i="1"/>
  <c r="U611" i="1"/>
  <c r="AD611" i="1"/>
  <c r="AF611" i="1" s="1"/>
  <c r="AE610" i="1"/>
  <c r="U610" i="1"/>
  <c r="AD610" i="1"/>
  <c r="AF610" i="1" s="1"/>
  <c r="AE609" i="1"/>
  <c r="U609" i="1"/>
  <c r="AD609" i="1"/>
  <c r="AF609" i="1" s="1"/>
  <c r="AE608" i="1"/>
  <c r="U608" i="1"/>
  <c r="AD608" i="1"/>
  <c r="AF608" i="1" s="1"/>
  <c r="AE607" i="1"/>
  <c r="U607" i="1"/>
  <c r="AD607" i="1"/>
  <c r="AF607" i="1" s="1"/>
  <c r="AE606" i="1"/>
  <c r="U606" i="1"/>
  <c r="AD606" i="1"/>
  <c r="AF606" i="1" s="1"/>
  <c r="AE605" i="1"/>
  <c r="U605" i="1"/>
  <c r="AD605" i="1"/>
  <c r="AF605" i="1" s="1"/>
  <c r="AE604" i="1"/>
  <c r="U604" i="1"/>
  <c r="AD604" i="1"/>
  <c r="AF604" i="1" s="1"/>
  <c r="AE603" i="1"/>
  <c r="U603" i="1"/>
  <c r="AD603" i="1"/>
  <c r="AF603" i="1" s="1"/>
  <c r="AE602" i="1"/>
  <c r="U602" i="1"/>
  <c r="AD602" i="1"/>
  <c r="AF602" i="1" s="1"/>
  <c r="AE601" i="1"/>
  <c r="U601" i="1"/>
  <c r="AD601" i="1"/>
  <c r="AF601" i="1" s="1"/>
  <c r="AE600" i="1"/>
  <c r="U600" i="1"/>
  <c r="AD600" i="1"/>
  <c r="AF600" i="1" s="1"/>
  <c r="AE599" i="1"/>
  <c r="U599" i="1"/>
  <c r="AD599" i="1"/>
  <c r="AF599" i="1" s="1"/>
  <c r="AE598" i="1"/>
  <c r="U598" i="1"/>
  <c r="AD598" i="1"/>
  <c r="AF598" i="1" s="1"/>
  <c r="AE597" i="1"/>
  <c r="U597" i="1"/>
  <c r="AD597" i="1"/>
  <c r="AF597" i="1" s="1"/>
  <c r="AE596" i="1"/>
  <c r="U596" i="1"/>
  <c r="AD596" i="1"/>
  <c r="AF596" i="1" s="1"/>
  <c r="AE595" i="1"/>
  <c r="U595" i="1"/>
  <c r="AD595" i="1"/>
  <c r="AF595" i="1" s="1"/>
  <c r="AE594" i="1"/>
  <c r="U594" i="1"/>
  <c r="AD594" i="1"/>
  <c r="AF594" i="1" s="1"/>
  <c r="AE593" i="1"/>
  <c r="U593" i="1"/>
  <c r="AD593" i="1"/>
  <c r="AF593" i="1" s="1"/>
  <c r="AE592" i="1"/>
  <c r="U592" i="1"/>
  <c r="AD592" i="1"/>
  <c r="AF592" i="1" s="1"/>
  <c r="AE591" i="1"/>
  <c r="U591" i="1"/>
  <c r="AD591" i="1"/>
  <c r="AF591" i="1" s="1"/>
  <c r="AE590" i="1"/>
  <c r="U590" i="1"/>
  <c r="AD590" i="1"/>
  <c r="AF590" i="1" s="1"/>
  <c r="AE589" i="1"/>
  <c r="U589" i="1"/>
  <c r="AD589" i="1"/>
  <c r="AF589" i="1" s="1"/>
  <c r="AE588" i="1"/>
  <c r="U588" i="1"/>
  <c r="AD588" i="1"/>
  <c r="AF588" i="1" s="1"/>
  <c r="AE587" i="1"/>
  <c r="U587" i="1"/>
  <c r="AD587" i="1"/>
  <c r="AF587" i="1" s="1"/>
  <c r="AE586" i="1"/>
  <c r="U586" i="1"/>
  <c r="AD586" i="1"/>
  <c r="AF586" i="1" s="1"/>
  <c r="AE585" i="1"/>
  <c r="U585" i="1"/>
  <c r="AD585" i="1"/>
  <c r="AF585" i="1" s="1"/>
  <c r="AE584" i="1"/>
  <c r="U584" i="1"/>
  <c r="AD584" i="1"/>
  <c r="AF584" i="1" s="1"/>
  <c r="AE583" i="1"/>
  <c r="U583" i="1"/>
  <c r="AD583" i="1"/>
  <c r="AF583" i="1" s="1"/>
  <c r="AE582" i="1"/>
  <c r="U582" i="1"/>
  <c r="AD582" i="1"/>
  <c r="AF582" i="1" s="1"/>
  <c r="AE581" i="1"/>
  <c r="U581" i="1"/>
  <c r="AD581" i="1"/>
  <c r="AF581" i="1" s="1"/>
  <c r="AE580" i="1"/>
  <c r="U580" i="1"/>
  <c r="AD580" i="1"/>
  <c r="AF580" i="1" s="1"/>
  <c r="AE579" i="1"/>
  <c r="U579" i="1"/>
  <c r="AD579" i="1"/>
  <c r="AF579" i="1" s="1"/>
  <c r="AE578" i="1"/>
  <c r="U578" i="1"/>
  <c r="AD578" i="1"/>
  <c r="AF578" i="1" s="1"/>
  <c r="AE577" i="1"/>
  <c r="U577" i="1"/>
  <c r="AD577" i="1"/>
  <c r="AF577" i="1" s="1"/>
  <c r="AE576" i="1"/>
  <c r="U576" i="1"/>
  <c r="AD576" i="1"/>
  <c r="AF576" i="1" s="1"/>
  <c r="AE575" i="1"/>
  <c r="U575" i="1"/>
  <c r="AD575" i="1"/>
  <c r="AF575" i="1" s="1"/>
  <c r="AE574" i="1"/>
  <c r="U574" i="1"/>
  <c r="AD574" i="1"/>
  <c r="AF574" i="1" s="1"/>
  <c r="AE573" i="1"/>
  <c r="U573" i="1"/>
  <c r="AD573" i="1"/>
  <c r="AF573" i="1" s="1"/>
  <c r="AE572" i="1"/>
  <c r="U572" i="1"/>
  <c r="AD572" i="1"/>
  <c r="AF572" i="1" s="1"/>
  <c r="AE571" i="1"/>
  <c r="U571" i="1"/>
  <c r="AD571" i="1"/>
  <c r="AF571" i="1" s="1"/>
  <c r="AE570" i="1"/>
  <c r="U570" i="1"/>
  <c r="AD570" i="1"/>
  <c r="AF570" i="1" s="1"/>
  <c r="AE569" i="1"/>
  <c r="U569" i="1"/>
  <c r="AD569" i="1"/>
  <c r="AF569" i="1" s="1"/>
  <c r="AE568" i="1"/>
  <c r="U568" i="1"/>
  <c r="AD568" i="1"/>
  <c r="AF568" i="1" s="1"/>
  <c r="AE567" i="1"/>
  <c r="U567" i="1"/>
  <c r="AD567" i="1"/>
  <c r="AF567" i="1" s="1"/>
  <c r="AE566" i="1"/>
  <c r="U566" i="1"/>
  <c r="AD566" i="1"/>
  <c r="AF566" i="1" s="1"/>
  <c r="AE565" i="1"/>
  <c r="U565" i="1"/>
  <c r="AD565" i="1"/>
  <c r="AF565" i="1" s="1"/>
  <c r="AE564" i="1"/>
  <c r="U564" i="1"/>
  <c r="AD564" i="1"/>
  <c r="AF564" i="1" s="1"/>
  <c r="AE563" i="1"/>
  <c r="U563" i="1"/>
  <c r="AD563" i="1"/>
  <c r="AF563" i="1" s="1"/>
  <c r="AE562" i="1"/>
  <c r="U562" i="1"/>
  <c r="AD562" i="1"/>
  <c r="AF562" i="1" s="1"/>
  <c r="AE561" i="1"/>
  <c r="U561" i="1"/>
  <c r="AD561" i="1"/>
  <c r="AF561" i="1" s="1"/>
  <c r="AE560" i="1"/>
  <c r="U560" i="1"/>
  <c r="AD560" i="1"/>
  <c r="AF560" i="1" s="1"/>
  <c r="AE559" i="1"/>
  <c r="U559" i="1"/>
  <c r="AD559" i="1"/>
  <c r="AF559" i="1" s="1"/>
  <c r="AE558" i="1"/>
  <c r="U558" i="1"/>
  <c r="AD558" i="1"/>
  <c r="AF558" i="1" s="1"/>
  <c r="AE557" i="1"/>
  <c r="U557" i="1"/>
  <c r="AD557" i="1"/>
  <c r="AF557" i="1" s="1"/>
  <c r="AE556" i="1"/>
  <c r="U556" i="1"/>
  <c r="AD556" i="1"/>
  <c r="AF556" i="1" s="1"/>
  <c r="AE555" i="1"/>
  <c r="U555" i="1"/>
  <c r="AD555" i="1"/>
  <c r="AF555" i="1" s="1"/>
  <c r="AE554" i="1"/>
  <c r="U554" i="1"/>
  <c r="AD554" i="1"/>
  <c r="AF554" i="1" s="1"/>
  <c r="AE553" i="1"/>
  <c r="U553" i="1"/>
  <c r="AD553" i="1"/>
  <c r="AF553" i="1" s="1"/>
  <c r="AE552" i="1"/>
  <c r="U552" i="1"/>
  <c r="AD552" i="1"/>
  <c r="AF552" i="1" s="1"/>
  <c r="AE551" i="1"/>
  <c r="U551" i="1"/>
  <c r="AD551" i="1"/>
  <c r="AF551" i="1" s="1"/>
  <c r="AE550" i="1"/>
  <c r="U550" i="1"/>
  <c r="AD550" i="1"/>
  <c r="AF550" i="1" s="1"/>
  <c r="AE549" i="1"/>
  <c r="U549" i="1"/>
  <c r="AD549" i="1"/>
  <c r="AF549" i="1" s="1"/>
  <c r="AE548" i="1"/>
  <c r="U548" i="1"/>
  <c r="AD548" i="1"/>
  <c r="AF548" i="1" s="1"/>
  <c r="AE547" i="1"/>
  <c r="U547" i="1"/>
  <c r="AD547" i="1"/>
  <c r="AF547" i="1" s="1"/>
  <c r="AE546" i="1"/>
  <c r="U546" i="1"/>
  <c r="AD546" i="1"/>
  <c r="AF546" i="1" s="1"/>
  <c r="AE545" i="1"/>
  <c r="U545" i="1"/>
  <c r="AD545" i="1"/>
  <c r="AF545" i="1" s="1"/>
  <c r="AE544" i="1"/>
  <c r="U544" i="1"/>
  <c r="AD544" i="1"/>
  <c r="AF544" i="1" s="1"/>
  <c r="AE543" i="1"/>
  <c r="U543" i="1"/>
  <c r="AD543" i="1"/>
  <c r="AF543" i="1" s="1"/>
  <c r="AE542" i="1"/>
  <c r="U542" i="1"/>
  <c r="AD542" i="1"/>
  <c r="AF542" i="1" s="1"/>
  <c r="AE541" i="1"/>
  <c r="U541" i="1"/>
  <c r="AD541" i="1"/>
  <c r="AF541" i="1" s="1"/>
  <c r="AE540" i="1"/>
  <c r="U540" i="1"/>
  <c r="AD540" i="1"/>
  <c r="AF540" i="1" s="1"/>
  <c r="AE539" i="1"/>
  <c r="U539" i="1"/>
  <c r="AD539" i="1"/>
  <c r="AF539" i="1" s="1"/>
  <c r="AE538" i="1"/>
  <c r="U538" i="1"/>
  <c r="AD538" i="1"/>
  <c r="AF538" i="1" s="1"/>
  <c r="AE537" i="1"/>
  <c r="U537" i="1"/>
  <c r="AD537" i="1"/>
  <c r="AF537" i="1" s="1"/>
  <c r="AE536" i="1"/>
  <c r="U536" i="1"/>
  <c r="AD536" i="1"/>
  <c r="AF536" i="1" s="1"/>
  <c r="AE535" i="1"/>
  <c r="U535" i="1"/>
  <c r="AD535" i="1"/>
  <c r="AF535" i="1" s="1"/>
  <c r="AE534" i="1"/>
  <c r="U534" i="1"/>
  <c r="AD534" i="1"/>
  <c r="AF534" i="1" s="1"/>
  <c r="AE533" i="1"/>
  <c r="U533" i="1"/>
  <c r="AD533" i="1"/>
  <c r="AF533" i="1" s="1"/>
  <c r="AE532" i="1"/>
  <c r="U532" i="1"/>
  <c r="AD532" i="1"/>
  <c r="AF532" i="1" s="1"/>
  <c r="AE531" i="1"/>
  <c r="U531" i="1"/>
  <c r="AD531" i="1"/>
  <c r="AF531" i="1" s="1"/>
  <c r="AE530" i="1"/>
  <c r="U530" i="1"/>
  <c r="AD530" i="1"/>
  <c r="AF530" i="1" s="1"/>
  <c r="AE529" i="1"/>
  <c r="U529" i="1"/>
  <c r="AD529" i="1"/>
  <c r="AF529" i="1" s="1"/>
  <c r="AE528" i="1"/>
  <c r="U528" i="1"/>
  <c r="AD528" i="1"/>
  <c r="AF528" i="1" s="1"/>
  <c r="AE527" i="1"/>
  <c r="U527" i="1"/>
  <c r="AD527" i="1"/>
  <c r="AF527" i="1" s="1"/>
  <c r="AE526" i="1"/>
  <c r="U526" i="1"/>
  <c r="AD526" i="1"/>
  <c r="AF526" i="1" s="1"/>
  <c r="AE525" i="1"/>
  <c r="U525" i="1"/>
  <c r="AD525" i="1"/>
  <c r="AF525" i="1" s="1"/>
  <c r="AE524" i="1"/>
  <c r="U524" i="1"/>
  <c r="AD524" i="1"/>
  <c r="AF524" i="1" s="1"/>
  <c r="AE523" i="1"/>
  <c r="U523" i="1"/>
  <c r="AD523" i="1"/>
  <c r="AF523" i="1" s="1"/>
  <c r="AE522" i="1"/>
  <c r="U522" i="1"/>
  <c r="AD522" i="1"/>
  <c r="AF522" i="1" s="1"/>
  <c r="AE521" i="1"/>
  <c r="U521" i="1"/>
  <c r="AD521" i="1"/>
  <c r="AF521" i="1" s="1"/>
  <c r="AE520" i="1"/>
  <c r="U520" i="1"/>
  <c r="AD520" i="1"/>
  <c r="AF520" i="1" s="1"/>
  <c r="AE519" i="1"/>
  <c r="U519" i="1"/>
  <c r="AD519" i="1"/>
  <c r="AF519" i="1" s="1"/>
  <c r="AE518" i="1"/>
  <c r="U518" i="1"/>
  <c r="AD518" i="1"/>
  <c r="AF518" i="1" s="1"/>
  <c r="AE517" i="1"/>
  <c r="U517" i="1"/>
  <c r="AD517" i="1"/>
  <c r="AF517" i="1" s="1"/>
  <c r="AE516" i="1"/>
  <c r="U516" i="1"/>
  <c r="AD516" i="1"/>
  <c r="AF516" i="1" s="1"/>
  <c r="AE515" i="1"/>
  <c r="U515" i="1"/>
  <c r="AD515" i="1"/>
  <c r="AF515" i="1" s="1"/>
  <c r="AE514" i="1"/>
  <c r="U514" i="1"/>
  <c r="AD514" i="1"/>
  <c r="AF514" i="1" s="1"/>
  <c r="AE513" i="1"/>
  <c r="U513" i="1"/>
  <c r="AD513" i="1"/>
  <c r="AF513" i="1" s="1"/>
  <c r="AE512" i="1"/>
  <c r="U512" i="1"/>
  <c r="AD512" i="1"/>
  <c r="AF512" i="1" s="1"/>
  <c r="AE511" i="1"/>
  <c r="U511" i="1"/>
  <c r="AD511" i="1"/>
  <c r="AF511" i="1" s="1"/>
  <c r="AE510" i="1"/>
  <c r="U510" i="1"/>
  <c r="AD510" i="1"/>
  <c r="AF510" i="1" s="1"/>
  <c r="AE509" i="1"/>
  <c r="U509" i="1"/>
  <c r="AD509" i="1"/>
  <c r="AF509" i="1" s="1"/>
  <c r="AE508" i="1"/>
  <c r="U508" i="1"/>
  <c r="AD508" i="1"/>
  <c r="AF508" i="1" s="1"/>
  <c r="AE507" i="1"/>
  <c r="U507" i="1"/>
  <c r="AD507" i="1"/>
  <c r="AF507" i="1" s="1"/>
  <c r="AE506" i="1"/>
  <c r="U506" i="1"/>
  <c r="AD506" i="1"/>
  <c r="AF506" i="1" s="1"/>
  <c r="AE505" i="1"/>
  <c r="U505" i="1"/>
  <c r="AD505" i="1"/>
  <c r="AF505" i="1" s="1"/>
  <c r="AE504" i="1"/>
  <c r="U504" i="1"/>
  <c r="AD504" i="1"/>
  <c r="AF504" i="1" s="1"/>
  <c r="AE503" i="1"/>
  <c r="U503" i="1"/>
  <c r="AD503" i="1"/>
  <c r="AF503" i="1" s="1"/>
  <c r="AE502" i="1"/>
  <c r="U502" i="1"/>
  <c r="AD502" i="1"/>
  <c r="AF502" i="1" s="1"/>
  <c r="AE501" i="1"/>
  <c r="U501" i="1"/>
  <c r="AD501" i="1"/>
  <c r="AF501" i="1" s="1"/>
  <c r="AE500" i="1"/>
  <c r="U500" i="1"/>
  <c r="AD500" i="1"/>
  <c r="AF500" i="1" s="1"/>
  <c r="AE499" i="1"/>
  <c r="U499" i="1"/>
  <c r="AD499" i="1"/>
  <c r="AF499" i="1" s="1"/>
  <c r="AE498" i="1"/>
  <c r="U498" i="1"/>
  <c r="AD498" i="1"/>
  <c r="AF498" i="1" s="1"/>
  <c r="AE497" i="1"/>
  <c r="U497" i="1"/>
  <c r="AD497" i="1"/>
  <c r="AF497" i="1" s="1"/>
  <c r="AE496" i="1"/>
  <c r="U496" i="1"/>
  <c r="AD496" i="1"/>
  <c r="AF496" i="1" s="1"/>
  <c r="AE495" i="1"/>
  <c r="U495" i="1"/>
  <c r="AD495" i="1"/>
  <c r="AF495" i="1" s="1"/>
  <c r="AE494" i="1"/>
  <c r="U494" i="1"/>
  <c r="AD494" i="1"/>
  <c r="AF494" i="1" s="1"/>
  <c r="AE493" i="1"/>
  <c r="U493" i="1"/>
  <c r="AD493" i="1"/>
  <c r="AF493" i="1" s="1"/>
  <c r="AE492" i="1"/>
  <c r="U492" i="1"/>
  <c r="AD492" i="1"/>
  <c r="AF492" i="1" s="1"/>
  <c r="AE491" i="1"/>
  <c r="U491" i="1"/>
  <c r="AD491" i="1"/>
  <c r="AF491" i="1" s="1"/>
  <c r="AE490" i="1"/>
  <c r="U490" i="1"/>
  <c r="AD490" i="1"/>
  <c r="AF490" i="1" s="1"/>
  <c r="AE489" i="1"/>
  <c r="U489" i="1"/>
  <c r="AD489" i="1"/>
  <c r="AF489" i="1" s="1"/>
  <c r="AE488" i="1"/>
  <c r="U488" i="1"/>
  <c r="AD488" i="1"/>
  <c r="AF488" i="1" s="1"/>
  <c r="AE487" i="1"/>
  <c r="U487" i="1"/>
  <c r="AD487" i="1"/>
  <c r="AF487" i="1" s="1"/>
  <c r="AE486" i="1"/>
  <c r="U486" i="1"/>
  <c r="AD486" i="1"/>
  <c r="AF486" i="1" s="1"/>
  <c r="AE485" i="1"/>
  <c r="U485" i="1"/>
  <c r="AD485" i="1"/>
  <c r="AF485" i="1" s="1"/>
  <c r="AE484" i="1"/>
  <c r="U484" i="1"/>
  <c r="AD484" i="1"/>
  <c r="AF484" i="1" s="1"/>
  <c r="AE483" i="1"/>
  <c r="U483" i="1"/>
  <c r="AD483" i="1"/>
  <c r="AF483" i="1" s="1"/>
  <c r="AE482" i="1"/>
  <c r="U482" i="1"/>
  <c r="AD482" i="1"/>
  <c r="AF482" i="1" s="1"/>
  <c r="AE481" i="1"/>
  <c r="U481" i="1"/>
  <c r="AD481" i="1"/>
  <c r="AF481" i="1" s="1"/>
  <c r="AE480" i="1"/>
  <c r="U480" i="1"/>
  <c r="AD480" i="1"/>
  <c r="AF480" i="1" s="1"/>
  <c r="AE479" i="1"/>
  <c r="U479" i="1"/>
  <c r="AD479" i="1"/>
  <c r="AF479" i="1" s="1"/>
  <c r="AE478" i="1"/>
  <c r="U478" i="1"/>
  <c r="AD478" i="1"/>
  <c r="AF478" i="1" s="1"/>
  <c r="AE477" i="1"/>
  <c r="U477" i="1"/>
  <c r="AD477" i="1"/>
  <c r="AF477" i="1" s="1"/>
  <c r="AE476" i="1"/>
  <c r="U476" i="1"/>
  <c r="AD476" i="1"/>
  <c r="AF476" i="1" s="1"/>
  <c r="AE475" i="1"/>
  <c r="U475" i="1"/>
  <c r="AD475" i="1"/>
  <c r="AF475" i="1" s="1"/>
  <c r="AE474" i="1"/>
  <c r="U474" i="1"/>
  <c r="AD474" i="1"/>
  <c r="AF474" i="1" s="1"/>
  <c r="AE473" i="1"/>
  <c r="U473" i="1"/>
  <c r="AD473" i="1"/>
  <c r="AF473" i="1" s="1"/>
  <c r="AE472" i="1"/>
  <c r="U472" i="1"/>
  <c r="AD472" i="1"/>
  <c r="AF472" i="1" s="1"/>
  <c r="AE471" i="1"/>
  <c r="U471" i="1"/>
  <c r="AD471" i="1"/>
  <c r="AF471" i="1" s="1"/>
  <c r="AE470" i="1"/>
  <c r="U470" i="1"/>
  <c r="AD470" i="1"/>
  <c r="AF470" i="1" s="1"/>
  <c r="AE469" i="1"/>
  <c r="U469" i="1"/>
  <c r="AD469" i="1"/>
  <c r="AF469" i="1" s="1"/>
  <c r="AE468" i="1"/>
  <c r="U468" i="1"/>
  <c r="AD468" i="1"/>
  <c r="AF468" i="1" s="1"/>
  <c r="AE467" i="1"/>
  <c r="U467" i="1"/>
  <c r="AD467" i="1"/>
  <c r="AF467" i="1" s="1"/>
  <c r="AE466" i="1"/>
  <c r="U466" i="1"/>
  <c r="AD466" i="1"/>
  <c r="AF466" i="1" s="1"/>
  <c r="AE465" i="1"/>
  <c r="U465" i="1"/>
  <c r="AD465" i="1"/>
  <c r="AF465" i="1" s="1"/>
  <c r="AE464" i="1"/>
  <c r="U464" i="1"/>
  <c r="AD464" i="1"/>
  <c r="AF464" i="1" s="1"/>
  <c r="AE463" i="1"/>
  <c r="U463" i="1"/>
  <c r="AD463" i="1"/>
  <c r="AF463" i="1" s="1"/>
  <c r="AE462" i="1"/>
  <c r="U462" i="1"/>
  <c r="AD462" i="1"/>
  <c r="AF462" i="1" s="1"/>
  <c r="AE461" i="1"/>
  <c r="U461" i="1"/>
  <c r="AD461" i="1"/>
  <c r="AF461" i="1" s="1"/>
  <c r="AE460" i="1"/>
  <c r="U460" i="1"/>
  <c r="AD460" i="1"/>
  <c r="AF460" i="1" s="1"/>
  <c r="AE459" i="1"/>
  <c r="U459" i="1"/>
  <c r="AD459" i="1"/>
  <c r="AF459" i="1" s="1"/>
  <c r="AE458" i="1"/>
  <c r="U458" i="1"/>
  <c r="AD458" i="1"/>
  <c r="AF458" i="1" s="1"/>
  <c r="AE457" i="1"/>
  <c r="U457" i="1"/>
  <c r="AD457" i="1"/>
  <c r="AF457" i="1" s="1"/>
  <c r="AE456" i="1"/>
  <c r="U456" i="1"/>
  <c r="AD456" i="1"/>
  <c r="AF456" i="1" s="1"/>
  <c r="AE455" i="1"/>
  <c r="U455" i="1"/>
  <c r="AD455" i="1"/>
  <c r="AF455" i="1" s="1"/>
  <c r="AE454" i="1"/>
  <c r="U454" i="1"/>
  <c r="AD454" i="1"/>
  <c r="AF454" i="1" s="1"/>
  <c r="AE453" i="1"/>
  <c r="U453" i="1"/>
  <c r="AD453" i="1"/>
  <c r="AF453" i="1" s="1"/>
  <c r="AE452" i="1"/>
  <c r="U452" i="1"/>
  <c r="AD452" i="1"/>
  <c r="AF452" i="1" s="1"/>
  <c r="AE451" i="1"/>
  <c r="U451" i="1"/>
  <c r="AD451" i="1"/>
  <c r="AF451" i="1" s="1"/>
  <c r="AE450" i="1"/>
  <c r="U450" i="1"/>
  <c r="AD450" i="1"/>
  <c r="AF450" i="1" s="1"/>
  <c r="AE449" i="1"/>
  <c r="U449" i="1"/>
  <c r="AD449" i="1"/>
  <c r="AF449" i="1" s="1"/>
  <c r="AE448" i="1"/>
  <c r="U448" i="1"/>
  <c r="AD448" i="1"/>
  <c r="AF448" i="1" s="1"/>
  <c r="AE447" i="1"/>
  <c r="U447" i="1"/>
  <c r="AD447" i="1"/>
  <c r="AF447" i="1" s="1"/>
  <c r="AE446" i="1"/>
  <c r="U446" i="1"/>
  <c r="AD446" i="1"/>
  <c r="AF446" i="1" s="1"/>
  <c r="AE445" i="1"/>
  <c r="U445" i="1"/>
  <c r="AD445" i="1"/>
  <c r="AF445" i="1" s="1"/>
  <c r="AE444" i="1"/>
  <c r="U444" i="1"/>
  <c r="AD444" i="1"/>
  <c r="AF444" i="1" s="1"/>
  <c r="AE443" i="1"/>
  <c r="U443" i="1"/>
  <c r="AD443" i="1"/>
  <c r="AF443" i="1" s="1"/>
  <c r="AE442" i="1"/>
  <c r="U442" i="1"/>
  <c r="AD442" i="1"/>
  <c r="AF442" i="1" s="1"/>
  <c r="AE441" i="1"/>
  <c r="U441" i="1"/>
  <c r="AD441" i="1"/>
  <c r="AF441" i="1" s="1"/>
  <c r="AE440" i="1"/>
  <c r="U440" i="1"/>
  <c r="AD440" i="1"/>
  <c r="AF440" i="1" s="1"/>
  <c r="AE439" i="1"/>
  <c r="U439" i="1"/>
  <c r="AD439" i="1"/>
  <c r="AF439" i="1" s="1"/>
  <c r="AE438" i="1"/>
  <c r="U438" i="1"/>
  <c r="AD438" i="1"/>
  <c r="AF438" i="1" s="1"/>
  <c r="AE437" i="1"/>
  <c r="U437" i="1"/>
  <c r="AD437" i="1"/>
  <c r="AF437" i="1" s="1"/>
  <c r="AE436" i="1"/>
  <c r="U436" i="1"/>
  <c r="AD436" i="1"/>
  <c r="AF436" i="1" s="1"/>
  <c r="AE435" i="1"/>
  <c r="U435" i="1"/>
  <c r="AD435" i="1"/>
  <c r="AF435" i="1" s="1"/>
  <c r="AE434" i="1"/>
  <c r="U434" i="1"/>
  <c r="AD434" i="1"/>
  <c r="AF434" i="1" s="1"/>
  <c r="AE433" i="1"/>
  <c r="U433" i="1"/>
  <c r="AD433" i="1"/>
  <c r="AF433" i="1" s="1"/>
  <c r="AE432" i="1"/>
  <c r="U432" i="1"/>
  <c r="AD432" i="1"/>
  <c r="AF432" i="1" s="1"/>
  <c r="AE431" i="1"/>
  <c r="U431" i="1"/>
  <c r="AD431" i="1"/>
  <c r="AF431" i="1" s="1"/>
  <c r="AE430" i="1"/>
  <c r="U430" i="1"/>
  <c r="AD430" i="1"/>
  <c r="AF430" i="1" s="1"/>
  <c r="AE429" i="1"/>
  <c r="U429" i="1"/>
  <c r="AD429" i="1"/>
  <c r="AF429" i="1" s="1"/>
  <c r="AE428" i="1"/>
  <c r="U428" i="1"/>
  <c r="AD428" i="1"/>
  <c r="AF428" i="1" s="1"/>
  <c r="AE427" i="1"/>
  <c r="U427" i="1"/>
  <c r="AD427" i="1"/>
  <c r="AF427" i="1" s="1"/>
  <c r="AE426" i="1"/>
  <c r="U426" i="1"/>
  <c r="AD426" i="1"/>
  <c r="AF426" i="1" s="1"/>
  <c r="AE425" i="1"/>
  <c r="U425" i="1"/>
  <c r="AD425" i="1"/>
  <c r="AF425" i="1" s="1"/>
  <c r="AE424" i="1"/>
  <c r="U424" i="1"/>
  <c r="AD424" i="1"/>
  <c r="AF424" i="1" s="1"/>
  <c r="AE423" i="1"/>
  <c r="U423" i="1"/>
  <c r="AD423" i="1"/>
  <c r="AF423" i="1" s="1"/>
  <c r="AE422" i="1"/>
  <c r="U422" i="1"/>
  <c r="AD422" i="1"/>
  <c r="AF422" i="1" s="1"/>
  <c r="AE421" i="1"/>
  <c r="U421" i="1"/>
  <c r="AD421" i="1"/>
  <c r="AF421" i="1" s="1"/>
  <c r="AE420" i="1"/>
  <c r="U420" i="1"/>
  <c r="AD420" i="1"/>
  <c r="AF420" i="1" s="1"/>
  <c r="AE419" i="1"/>
  <c r="U419" i="1"/>
  <c r="AD419" i="1"/>
  <c r="AF419" i="1" s="1"/>
  <c r="AE418" i="1"/>
  <c r="U418" i="1"/>
  <c r="AD418" i="1"/>
  <c r="AF418" i="1" s="1"/>
  <c r="AE417" i="1"/>
  <c r="U417" i="1"/>
  <c r="AD417" i="1"/>
  <c r="AF417" i="1" s="1"/>
  <c r="AE416" i="1"/>
  <c r="U416" i="1"/>
  <c r="AD416" i="1"/>
  <c r="AF416" i="1" s="1"/>
  <c r="AE415" i="1"/>
  <c r="U415" i="1"/>
  <c r="AD415" i="1"/>
  <c r="AF415" i="1" s="1"/>
  <c r="AE414" i="1"/>
  <c r="U414" i="1"/>
  <c r="AD414" i="1"/>
  <c r="AF414" i="1" s="1"/>
  <c r="AE413" i="1"/>
  <c r="U413" i="1"/>
  <c r="AD413" i="1"/>
  <c r="AF413" i="1" s="1"/>
  <c r="AE412" i="1"/>
  <c r="U412" i="1"/>
  <c r="AD412" i="1"/>
  <c r="AF412" i="1" s="1"/>
  <c r="AE411" i="1"/>
  <c r="U411" i="1"/>
  <c r="AD411" i="1"/>
  <c r="AF411" i="1" s="1"/>
  <c r="AE410" i="1"/>
  <c r="U410" i="1"/>
  <c r="AD410" i="1"/>
  <c r="AF410" i="1" s="1"/>
  <c r="AE409" i="1"/>
  <c r="U409" i="1"/>
  <c r="AD409" i="1"/>
  <c r="AF409" i="1" s="1"/>
  <c r="AE408" i="1"/>
  <c r="U408" i="1"/>
  <c r="AD408" i="1"/>
  <c r="AF408" i="1" s="1"/>
  <c r="AE407" i="1"/>
  <c r="U407" i="1"/>
  <c r="AD407" i="1"/>
  <c r="AF407" i="1" s="1"/>
  <c r="AE406" i="1"/>
  <c r="U406" i="1"/>
  <c r="AD406" i="1"/>
  <c r="AF406" i="1" s="1"/>
  <c r="AE405" i="1"/>
  <c r="U405" i="1"/>
  <c r="AD405" i="1"/>
  <c r="AF405" i="1" s="1"/>
  <c r="AE404" i="1"/>
  <c r="U404" i="1"/>
  <c r="AD404" i="1"/>
  <c r="AF404" i="1" s="1"/>
  <c r="AE403" i="1"/>
  <c r="U403" i="1"/>
  <c r="AD403" i="1"/>
  <c r="AF403" i="1" s="1"/>
  <c r="AE402" i="1"/>
  <c r="U402" i="1"/>
  <c r="AD402" i="1"/>
  <c r="AF402" i="1" s="1"/>
  <c r="AE401" i="1"/>
  <c r="U401" i="1"/>
  <c r="AD401" i="1"/>
  <c r="AF401" i="1" s="1"/>
  <c r="AE400" i="1"/>
  <c r="U400" i="1"/>
  <c r="AD400" i="1"/>
  <c r="AF400" i="1" s="1"/>
  <c r="AE399" i="1"/>
  <c r="U399" i="1"/>
  <c r="AD399" i="1"/>
  <c r="AF399" i="1" s="1"/>
  <c r="AE398" i="1"/>
  <c r="U398" i="1"/>
  <c r="AD398" i="1"/>
  <c r="AF398" i="1" s="1"/>
  <c r="AE397" i="1"/>
  <c r="U397" i="1"/>
  <c r="AD397" i="1"/>
  <c r="AF397" i="1" s="1"/>
  <c r="AE396" i="1"/>
  <c r="U396" i="1"/>
  <c r="AD396" i="1"/>
  <c r="AF396" i="1" s="1"/>
  <c r="AE395" i="1"/>
  <c r="U395" i="1"/>
  <c r="AD395" i="1"/>
  <c r="AF395" i="1" s="1"/>
  <c r="AE394" i="1"/>
  <c r="U394" i="1"/>
  <c r="AD394" i="1"/>
  <c r="AF394" i="1" s="1"/>
  <c r="AE393" i="1"/>
  <c r="U393" i="1"/>
  <c r="AD393" i="1"/>
  <c r="AF393" i="1" s="1"/>
  <c r="AE392" i="1"/>
  <c r="U392" i="1"/>
  <c r="AD392" i="1"/>
  <c r="AF392" i="1" s="1"/>
  <c r="AE391" i="1"/>
  <c r="U391" i="1"/>
  <c r="AD391" i="1"/>
  <c r="AF391" i="1" s="1"/>
  <c r="AE390" i="1"/>
  <c r="U390" i="1"/>
  <c r="AD390" i="1"/>
  <c r="AF390" i="1" s="1"/>
  <c r="AE389" i="1"/>
  <c r="U389" i="1"/>
  <c r="AD389" i="1"/>
  <c r="AF389" i="1" s="1"/>
  <c r="AE388" i="1"/>
  <c r="U388" i="1"/>
  <c r="AD388" i="1"/>
  <c r="AF388" i="1" s="1"/>
  <c r="AE387" i="1"/>
  <c r="U387" i="1"/>
  <c r="AD387" i="1"/>
  <c r="AF387" i="1" s="1"/>
  <c r="AE386" i="1"/>
  <c r="U386" i="1"/>
  <c r="AD386" i="1"/>
  <c r="AF386" i="1" s="1"/>
  <c r="AE385" i="1"/>
  <c r="U385" i="1"/>
  <c r="AD385" i="1"/>
  <c r="AF385" i="1" s="1"/>
  <c r="AE384" i="1"/>
  <c r="U384" i="1"/>
  <c r="AD384" i="1"/>
  <c r="AF384" i="1" s="1"/>
  <c r="AE383" i="1"/>
  <c r="U383" i="1"/>
  <c r="AD383" i="1"/>
  <c r="AF383" i="1" s="1"/>
  <c r="AE382" i="1"/>
  <c r="U382" i="1"/>
  <c r="AD382" i="1"/>
  <c r="AF382" i="1" s="1"/>
  <c r="AE381" i="1"/>
  <c r="I381" i="1"/>
  <c r="AD381" i="1"/>
  <c r="AF381" i="1" s="1"/>
  <c r="AE380" i="1"/>
  <c r="I380" i="1"/>
  <c r="J380" i="1" s="1"/>
  <c r="AD380" i="1"/>
  <c r="AF380" i="1" s="1"/>
  <c r="AE379" i="1"/>
  <c r="I379" i="1"/>
  <c r="J379" i="1" s="1"/>
  <c r="AD379" i="1"/>
  <c r="AF379" i="1" s="1"/>
  <c r="AE378" i="1"/>
  <c r="I378" i="1"/>
  <c r="J378" i="1" s="1"/>
  <c r="AD378" i="1"/>
  <c r="AF378" i="1" s="1"/>
  <c r="AE377" i="1"/>
  <c r="I377" i="1"/>
  <c r="AD377" i="1"/>
  <c r="AF377" i="1" s="1"/>
  <c r="AE376" i="1"/>
  <c r="I376" i="1"/>
  <c r="AD376" i="1"/>
  <c r="AF376" i="1" s="1"/>
  <c r="AE375" i="1"/>
  <c r="I375" i="1"/>
  <c r="J375" i="1" s="1"/>
  <c r="K375" i="1" s="1"/>
  <c r="L375" i="1" s="1"/>
  <c r="M375" i="1" s="1"/>
  <c r="N375" i="1" s="1"/>
  <c r="O375" i="1" s="1"/>
  <c r="P375" i="1" s="1"/>
  <c r="Q375" i="1" s="1"/>
  <c r="R375" i="1" s="1"/>
  <c r="S375" i="1" s="1"/>
  <c r="T375" i="1" s="1"/>
  <c r="AD375" i="1"/>
  <c r="AF375" i="1" s="1"/>
  <c r="AE374" i="1"/>
  <c r="I374" i="1"/>
  <c r="J374" i="1" s="1"/>
  <c r="K374" i="1" s="1"/>
  <c r="L374" i="1" s="1"/>
  <c r="M374" i="1" s="1"/>
  <c r="N374" i="1" s="1"/>
  <c r="O374" i="1" s="1"/>
  <c r="P374" i="1" s="1"/>
  <c r="Q374" i="1" s="1"/>
  <c r="R374" i="1" s="1"/>
  <c r="S374" i="1" s="1"/>
  <c r="T374" i="1" s="1"/>
  <c r="AD374" i="1"/>
  <c r="AF374" i="1" s="1"/>
  <c r="AE373" i="1"/>
  <c r="I373" i="1"/>
  <c r="J373" i="1" s="1"/>
  <c r="K373" i="1" s="1"/>
  <c r="L373" i="1" s="1"/>
  <c r="M373" i="1" s="1"/>
  <c r="N373" i="1" s="1"/>
  <c r="O373" i="1" s="1"/>
  <c r="P373" i="1" s="1"/>
  <c r="Q373" i="1" s="1"/>
  <c r="R373" i="1" s="1"/>
  <c r="S373" i="1" s="1"/>
  <c r="T373" i="1" s="1"/>
  <c r="AD373" i="1"/>
  <c r="AF373" i="1" s="1"/>
  <c r="AE372" i="1"/>
  <c r="I372" i="1"/>
  <c r="J372" i="1" s="1"/>
  <c r="K372" i="1" s="1"/>
  <c r="L372" i="1" s="1"/>
  <c r="M372" i="1" s="1"/>
  <c r="N372" i="1" s="1"/>
  <c r="O372" i="1" s="1"/>
  <c r="P372" i="1" s="1"/>
  <c r="Q372" i="1" s="1"/>
  <c r="R372" i="1" s="1"/>
  <c r="S372" i="1" s="1"/>
  <c r="T372" i="1" s="1"/>
  <c r="AD372" i="1"/>
  <c r="AF372" i="1" s="1"/>
  <c r="AE371" i="1"/>
  <c r="I371" i="1"/>
  <c r="J371" i="1" s="1"/>
  <c r="K371" i="1" s="1"/>
  <c r="L371" i="1" s="1"/>
  <c r="M371" i="1" s="1"/>
  <c r="N371" i="1" s="1"/>
  <c r="O371" i="1" s="1"/>
  <c r="P371" i="1" s="1"/>
  <c r="Q371" i="1" s="1"/>
  <c r="R371" i="1" s="1"/>
  <c r="S371" i="1" s="1"/>
  <c r="T371" i="1" s="1"/>
  <c r="AD371" i="1"/>
  <c r="AF371" i="1" s="1"/>
  <c r="AE370" i="1"/>
  <c r="U370" i="1"/>
  <c r="AD370" i="1"/>
  <c r="AF370" i="1" s="1"/>
  <c r="AE369" i="1"/>
  <c r="I369" i="1"/>
  <c r="J369" i="1" s="1"/>
  <c r="K369" i="1" s="1"/>
  <c r="AD369" i="1"/>
  <c r="AF369" i="1" s="1"/>
  <c r="AE368" i="1"/>
  <c r="I368" i="1"/>
  <c r="J368" i="1" s="1"/>
  <c r="K368" i="1" s="1"/>
  <c r="L368" i="1" s="1"/>
  <c r="M368" i="1" s="1"/>
  <c r="N368" i="1" s="1"/>
  <c r="O368" i="1" s="1"/>
  <c r="AD368" i="1"/>
  <c r="AF368" i="1" s="1"/>
  <c r="AE367" i="1"/>
  <c r="I367" i="1"/>
  <c r="J367" i="1" s="1"/>
  <c r="K367" i="1" s="1"/>
  <c r="L367" i="1" s="1"/>
  <c r="M367" i="1" s="1"/>
  <c r="N367" i="1" s="1"/>
  <c r="O367" i="1" s="1"/>
  <c r="P367" i="1" s="1"/>
  <c r="Q367" i="1" s="1"/>
  <c r="R367" i="1" s="1"/>
  <c r="S367" i="1" s="1"/>
  <c r="T367" i="1" s="1"/>
  <c r="AD367" i="1"/>
  <c r="AF367" i="1" s="1"/>
  <c r="AE366" i="1"/>
  <c r="I366" i="1"/>
  <c r="J366" i="1" s="1"/>
  <c r="AD366" i="1"/>
  <c r="AF366" i="1" s="1"/>
  <c r="AE365" i="1"/>
  <c r="I365" i="1"/>
  <c r="AD365" i="1"/>
  <c r="AF365" i="1" s="1"/>
  <c r="AE364" i="1"/>
  <c r="I364" i="1"/>
  <c r="J364" i="1" s="1"/>
  <c r="K364" i="1" s="1"/>
  <c r="L364" i="1" s="1"/>
  <c r="AD364" i="1"/>
  <c r="AF364" i="1" s="1"/>
  <c r="AE363" i="1"/>
  <c r="I363" i="1"/>
  <c r="J363" i="1" s="1"/>
  <c r="K363" i="1" s="1"/>
  <c r="L363" i="1" s="1"/>
  <c r="M363" i="1" s="1"/>
  <c r="N363" i="1" s="1"/>
  <c r="O363" i="1" s="1"/>
  <c r="P363" i="1" s="1"/>
  <c r="Q363" i="1" s="1"/>
  <c r="R363" i="1" s="1"/>
  <c r="S363" i="1" s="1"/>
  <c r="T363" i="1" s="1"/>
  <c r="AD363" i="1"/>
  <c r="AF363" i="1" s="1"/>
  <c r="AE362" i="1"/>
  <c r="I362" i="1"/>
  <c r="J362" i="1" s="1"/>
  <c r="K362" i="1" s="1"/>
  <c r="L362" i="1" s="1"/>
  <c r="M362" i="1" s="1"/>
  <c r="N362" i="1" s="1"/>
  <c r="O362" i="1" s="1"/>
  <c r="P362" i="1" s="1"/>
  <c r="Q362" i="1" s="1"/>
  <c r="R362" i="1" s="1"/>
  <c r="S362" i="1" s="1"/>
  <c r="T362" i="1" s="1"/>
  <c r="AD362" i="1"/>
  <c r="AF362" i="1" s="1"/>
  <c r="AE361" i="1"/>
  <c r="I361" i="1"/>
  <c r="AD361" i="1"/>
  <c r="AF361" i="1" s="1"/>
  <c r="AE360" i="1"/>
  <c r="I360" i="1"/>
  <c r="AD360" i="1"/>
  <c r="AF360" i="1" s="1"/>
  <c r="AE359" i="1"/>
  <c r="I359" i="1"/>
  <c r="AD359" i="1"/>
  <c r="AF359" i="1" s="1"/>
  <c r="AE358" i="1"/>
  <c r="I358" i="1"/>
  <c r="J358" i="1" s="1"/>
  <c r="K358" i="1" s="1"/>
  <c r="L358" i="1" s="1"/>
  <c r="M358" i="1" s="1"/>
  <c r="N358" i="1" s="1"/>
  <c r="O358" i="1" s="1"/>
  <c r="P358" i="1" s="1"/>
  <c r="Q358" i="1" s="1"/>
  <c r="R358" i="1" s="1"/>
  <c r="S358" i="1" s="1"/>
  <c r="T358" i="1" s="1"/>
  <c r="AD358" i="1"/>
  <c r="AF358" i="1" s="1"/>
  <c r="AE357" i="1"/>
  <c r="I357" i="1"/>
  <c r="AD357" i="1"/>
  <c r="AF357" i="1" s="1"/>
  <c r="AE356" i="1"/>
  <c r="I356" i="1"/>
  <c r="AD356" i="1"/>
  <c r="AF356" i="1" s="1"/>
  <c r="AE355" i="1"/>
  <c r="I355" i="1"/>
  <c r="J355" i="1" s="1"/>
  <c r="AD355" i="1"/>
  <c r="AF355" i="1" s="1"/>
  <c r="AE354" i="1"/>
  <c r="I354" i="1"/>
  <c r="J354" i="1" s="1"/>
  <c r="K354" i="1" s="1"/>
  <c r="L354" i="1" s="1"/>
  <c r="M354" i="1" s="1"/>
  <c r="N354" i="1" s="1"/>
  <c r="AD354" i="1"/>
  <c r="AF354" i="1" s="1"/>
  <c r="AE353" i="1"/>
  <c r="I353" i="1"/>
  <c r="J353" i="1" s="1"/>
  <c r="AD353" i="1"/>
  <c r="AF353" i="1" s="1"/>
  <c r="AE352" i="1"/>
  <c r="I352" i="1"/>
  <c r="J352" i="1" s="1"/>
  <c r="K352" i="1" s="1"/>
  <c r="L352" i="1" s="1"/>
  <c r="M352" i="1" s="1"/>
  <c r="N352" i="1" s="1"/>
  <c r="O352" i="1" s="1"/>
  <c r="P352" i="1" s="1"/>
  <c r="Q352" i="1" s="1"/>
  <c r="R352" i="1" s="1"/>
  <c r="S352" i="1" s="1"/>
  <c r="T352" i="1" s="1"/>
  <c r="AD352" i="1"/>
  <c r="AF352" i="1" s="1"/>
  <c r="AE351" i="1"/>
  <c r="I351" i="1"/>
  <c r="AD351" i="1"/>
  <c r="AF351" i="1" s="1"/>
  <c r="AE350" i="1"/>
  <c r="I350" i="1"/>
  <c r="J350" i="1" s="1"/>
  <c r="AD350" i="1"/>
  <c r="AF350" i="1" s="1"/>
  <c r="AE349" i="1"/>
  <c r="I349" i="1"/>
  <c r="AD349" i="1"/>
  <c r="AF349" i="1" s="1"/>
  <c r="AE348" i="1"/>
  <c r="I348" i="1"/>
  <c r="J348" i="1" s="1"/>
  <c r="AD348" i="1"/>
  <c r="AF348" i="1" s="1"/>
  <c r="AE347" i="1"/>
  <c r="I347" i="1"/>
  <c r="J347" i="1" s="1"/>
  <c r="AD347" i="1"/>
  <c r="AF347" i="1" s="1"/>
  <c r="AE346" i="1"/>
  <c r="I346" i="1"/>
  <c r="J346" i="1" s="1"/>
  <c r="K346" i="1" s="1"/>
  <c r="AD346" i="1"/>
  <c r="AF346" i="1" s="1"/>
  <c r="AE345" i="1"/>
  <c r="I345" i="1"/>
  <c r="J345" i="1" s="1"/>
  <c r="K345" i="1" s="1"/>
  <c r="L345" i="1" s="1"/>
  <c r="M345" i="1" s="1"/>
  <c r="N345" i="1" s="1"/>
  <c r="O345" i="1" s="1"/>
  <c r="P345" i="1" s="1"/>
  <c r="Q345" i="1" s="1"/>
  <c r="R345" i="1" s="1"/>
  <c r="S345" i="1" s="1"/>
  <c r="T345" i="1" s="1"/>
  <c r="AD345" i="1"/>
  <c r="AF345" i="1" s="1"/>
  <c r="AE344" i="1"/>
  <c r="I344" i="1"/>
  <c r="J344" i="1" s="1"/>
  <c r="AD344" i="1"/>
  <c r="AF344" i="1" s="1"/>
  <c r="AE343" i="1"/>
  <c r="I343" i="1"/>
  <c r="J343" i="1" s="1"/>
  <c r="K343" i="1" s="1"/>
  <c r="L343" i="1" s="1"/>
  <c r="M343" i="1" s="1"/>
  <c r="N343" i="1" s="1"/>
  <c r="O343" i="1" s="1"/>
  <c r="P343" i="1" s="1"/>
  <c r="Q343" i="1" s="1"/>
  <c r="R343" i="1" s="1"/>
  <c r="S343" i="1" s="1"/>
  <c r="T343" i="1" s="1"/>
  <c r="AD343" i="1"/>
  <c r="AF343" i="1" s="1"/>
  <c r="AE342" i="1"/>
  <c r="I342" i="1"/>
  <c r="J342" i="1" s="1"/>
  <c r="AD342" i="1"/>
  <c r="AF342" i="1" s="1"/>
  <c r="AE341" i="1"/>
  <c r="I341" i="1"/>
  <c r="J341" i="1" s="1"/>
  <c r="K341" i="1" s="1"/>
  <c r="L341" i="1" s="1"/>
  <c r="M341" i="1" s="1"/>
  <c r="N341" i="1" s="1"/>
  <c r="O341" i="1" s="1"/>
  <c r="P341" i="1" s="1"/>
  <c r="Q341" i="1" s="1"/>
  <c r="R341" i="1" s="1"/>
  <c r="S341" i="1" s="1"/>
  <c r="T341" i="1" s="1"/>
  <c r="AD341" i="1"/>
  <c r="AF341" i="1" s="1"/>
  <c r="AE340" i="1"/>
  <c r="I340" i="1"/>
  <c r="AD340" i="1"/>
  <c r="AF340" i="1" s="1"/>
  <c r="AE339" i="1"/>
  <c r="I339" i="1"/>
  <c r="J339" i="1" s="1"/>
  <c r="K339" i="1" s="1"/>
  <c r="L339" i="1" s="1"/>
  <c r="M339" i="1" s="1"/>
  <c r="N339" i="1" s="1"/>
  <c r="O339" i="1" s="1"/>
  <c r="P339" i="1" s="1"/>
  <c r="Q339" i="1" s="1"/>
  <c r="R339" i="1" s="1"/>
  <c r="S339" i="1" s="1"/>
  <c r="T339" i="1" s="1"/>
  <c r="AD339" i="1"/>
  <c r="AF339" i="1" s="1"/>
  <c r="AE338" i="1"/>
  <c r="I338" i="1"/>
  <c r="J338" i="1" s="1"/>
  <c r="AD338" i="1"/>
  <c r="AF338" i="1" s="1"/>
  <c r="AE337" i="1"/>
  <c r="I337" i="1"/>
  <c r="J337" i="1" s="1"/>
  <c r="K337" i="1" s="1"/>
  <c r="L337" i="1" s="1"/>
  <c r="M337" i="1" s="1"/>
  <c r="N337" i="1" s="1"/>
  <c r="O337" i="1" s="1"/>
  <c r="P337" i="1" s="1"/>
  <c r="Q337" i="1" s="1"/>
  <c r="R337" i="1" s="1"/>
  <c r="S337" i="1" s="1"/>
  <c r="T337" i="1" s="1"/>
  <c r="AD337" i="1"/>
  <c r="AF337" i="1" s="1"/>
  <c r="AE336" i="1"/>
  <c r="I336" i="1"/>
  <c r="J336" i="1" s="1"/>
  <c r="AD336" i="1"/>
  <c r="AF336" i="1" s="1"/>
  <c r="AE335" i="1"/>
  <c r="U335" i="1"/>
  <c r="AD335" i="1"/>
  <c r="AF335" i="1" s="1"/>
  <c r="AE334" i="1"/>
  <c r="I334" i="1"/>
  <c r="AD334" i="1"/>
  <c r="AF334" i="1" s="1"/>
  <c r="AE333" i="1"/>
  <c r="I333" i="1"/>
  <c r="J333" i="1" s="1"/>
  <c r="K333" i="1" s="1"/>
  <c r="L333" i="1" s="1"/>
  <c r="M333" i="1" s="1"/>
  <c r="N333" i="1" s="1"/>
  <c r="O333" i="1" s="1"/>
  <c r="P333" i="1" s="1"/>
  <c r="Q333" i="1" s="1"/>
  <c r="R333" i="1" s="1"/>
  <c r="S333" i="1" s="1"/>
  <c r="T333" i="1" s="1"/>
  <c r="AD333" i="1"/>
  <c r="AF333" i="1" s="1"/>
  <c r="AE332" i="1"/>
  <c r="I332" i="1"/>
  <c r="AD332" i="1"/>
  <c r="AF332" i="1" s="1"/>
  <c r="AE331" i="1"/>
  <c r="I331" i="1"/>
  <c r="J331" i="1" s="1"/>
  <c r="K331" i="1" s="1"/>
  <c r="L331" i="1" s="1"/>
  <c r="M331" i="1" s="1"/>
  <c r="N331" i="1" s="1"/>
  <c r="O331" i="1" s="1"/>
  <c r="P331" i="1" s="1"/>
  <c r="Q331" i="1" s="1"/>
  <c r="R331" i="1" s="1"/>
  <c r="S331" i="1" s="1"/>
  <c r="T331" i="1" s="1"/>
  <c r="AD331" i="1"/>
  <c r="AF331" i="1" s="1"/>
  <c r="AE330" i="1"/>
  <c r="I330" i="1"/>
  <c r="J330" i="1" s="1"/>
  <c r="AD330" i="1"/>
  <c r="AF330" i="1" s="1"/>
  <c r="AE329" i="1"/>
  <c r="I329" i="1"/>
  <c r="J329" i="1" s="1"/>
  <c r="K329" i="1" s="1"/>
  <c r="L329" i="1" s="1"/>
  <c r="M329" i="1" s="1"/>
  <c r="N329" i="1" s="1"/>
  <c r="O329" i="1" s="1"/>
  <c r="P329" i="1" s="1"/>
  <c r="Q329" i="1" s="1"/>
  <c r="R329" i="1" s="1"/>
  <c r="S329" i="1" s="1"/>
  <c r="T329" i="1" s="1"/>
  <c r="AD329" i="1"/>
  <c r="AF329" i="1" s="1"/>
  <c r="AE328" i="1"/>
  <c r="I328" i="1"/>
  <c r="J328" i="1" s="1"/>
  <c r="K328" i="1" s="1"/>
  <c r="L328" i="1" s="1"/>
  <c r="M328" i="1" s="1"/>
  <c r="N328" i="1" s="1"/>
  <c r="O328" i="1" s="1"/>
  <c r="P328" i="1" s="1"/>
  <c r="Q328" i="1" s="1"/>
  <c r="R328" i="1" s="1"/>
  <c r="S328" i="1" s="1"/>
  <c r="T328" i="1" s="1"/>
  <c r="AD328" i="1"/>
  <c r="AF328" i="1" s="1"/>
  <c r="AE327" i="1"/>
  <c r="I327" i="1"/>
  <c r="J327" i="1" s="1"/>
  <c r="K327" i="1" s="1"/>
  <c r="L327" i="1" s="1"/>
  <c r="M327" i="1" s="1"/>
  <c r="N327" i="1" s="1"/>
  <c r="O327" i="1" s="1"/>
  <c r="P327" i="1" s="1"/>
  <c r="Q327" i="1" s="1"/>
  <c r="R327" i="1" s="1"/>
  <c r="S327" i="1" s="1"/>
  <c r="T327" i="1" s="1"/>
  <c r="AD327" i="1"/>
  <c r="AF327" i="1" s="1"/>
  <c r="AE326" i="1"/>
  <c r="I326" i="1"/>
  <c r="J326" i="1" s="1"/>
  <c r="AD326" i="1"/>
  <c r="AF326" i="1" s="1"/>
  <c r="AE325" i="1"/>
  <c r="I325" i="1"/>
  <c r="J325" i="1" s="1"/>
  <c r="K325" i="1" s="1"/>
  <c r="L325" i="1" s="1"/>
  <c r="M325" i="1" s="1"/>
  <c r="N325" i="1" s="1"/>
  <c r="O325" i="1" s="1"/>
  <c r="P325" i="1" s="1"/>
  <c r="Q325" i="1" s="1"/>
  <c r="R325" i="1" s="1"/>
  <c r="S325" i="1" s="1"/>
  <c r="T325" i="1" s="1"/>
  <c r="AD325" i="1"/>
  <c r="AF325" i="1" s="1"/>
  <c r="AE324" i="1"/>
  <c r="I324" i="1"/>
  <c r="J324" i="1" s="1"/>
  <c r="K324" i="1" s="1"/>
  <c r="L324" i="1" s="1"/>
  <c r="M324" i="1" s="1"/>
  <c r="N324" i="1" s="1"/>
  <c r="O324" i="1" s="1"/>
  <c r="P324" i="1" s="1"/>
  <c r="Q324" i="1" s="1"/>
  <c r="R324" i="1" s="1"/>
  <c r="S324" i="1" s="1"/>
  <c r="T324" i="1" s="1"/>
  <c r="AD324" i="1"/>
  <c r="AF324" i="1" s="1"/>
  <c r="AE323" i="1"/>
  <c r="I323" i="1"/>
  <c r="J323" i="1" s="1"/>
  <c r="K323" i="1" s="1"/>
  <c r="L323" i="1" s="1"/>
  <c r="M323" i="1" s="1"/>
  <c r="N323" i="1" s="1"/>
  <c r="O323" i="1" s="1"/>
  <c r="P323" i="1" s="1"/>
  <c r="Q323" i="1" s="1"/>
  <c r="R323" i="1" s="1"/>
  <c r="S323" i="1" s="1"/>
  <c r="T323" i="1" s="1"/>
  <c r="AD323" i="1"/>
  <c r="AF323" i="1" s="1"/>
  <c r="AE322" i="1"/>
  <c r="I322" i="1"/>
  <c r="AD322" i="1"/>
  <c r="AF322" i="1" s="1"/>
  <c r="AE321" i="1"/>
  <c r="I321" i="1"/>
  <c r="J321" i="1" s="1"/>
  <c r="K321" i="1" s="1"/>
  <c r="L321" i="1" s="1"/>
  <c r="M321" i="1" s="1"/>
  <c r="N321" i="1" s="1"/>
  <c r="O321" i="1" s="1"/>
  <c r="P321" i="1" s="1"/>
  <c r="Q321" i="1" s="1"/>
  <c r="R321" i="1" s="1"/>
  <c r="S321" i="1" s="1"/>
  <c r="T321" i="1" s="1"/>
  <c r="AD321" i="1"/>
  <c r="AF321" i="1" s="1"/>
  <c r="AE320" i="1"/>
  <c r="I320" i="1"/>
  <c r="AD320" i="1"/>
  <c r="AF320" i="1" s="1"/>
  <c r="AE319" i="1"/>
  <c r="I319" i="1"/>
  <c r="J319" i="1" s="1"/>
  <c r="K319" i="1" s="1"/>
  <c r="L319" i="1" s="1"/>
  <c r="M319" i="1" s="1"/>
  <c r="N319" i="1" s="1"/>
  <c r="O319" i="1" s="1"/>
  <c r="P319" i="1" s="1"/>
  <c r="Q319" i="1" s="1"/>
  <c r="R319" i="1" s="1"/>
  <c r="S319" i="1" s="1"/>
  <c r="T319" i="1" s="1"/>
  <c r="AD319" i="1"/>
  <c r="AF319" i="1" s="1"/>
  <c r="AE318" i="1"/>
  <c r="I318" i="1"/>
  <c r="J318" i="1" s="1"/>
  <c r="AD318" i="1"/>
  <c r="AF318" i="1" s="1"/>
  <c r="AE317" i="1"/>
  <c r="U317" i="1"/>
  <c r="AD317" i="1"/>
  <c r="AF317" i="1" s="1"/>
  <c r="AE316" i="1"/>
  <c r="U316" i="1"/>
  <c r="AD316" i="1"/>
  <c r="AF316" i="1" s="1"/>
  <c r="AE315" i="1"/>
  <c r="U315" i="1"/>
  <c r="AD315" i="1"/>
  <c r="AF315" i="1" s="1"/>
  <c r="AE314" i="1"/>
  <c r="U314" i="1"/>
  <c r="AD314" i="1"/>
  <c r="AF314" i="1" s="1"/>
  <c r="AE313" i="1"/>
  <c r="I313" i="1"/>
  <c r="J313" i="1" s="1"/>
  <c r="K313" i="1" s="1"/>
  <c r="L313" i="1" s="1"/>
  <c r="M313" i="1" s="1"/>
  <c r="N313" i="1" s="1"/>
  <c r="O313" i="1" s="1"/>
  <c r="P313" i="1" s="1"/>
  <c r="Q313" i="1" s="1"/>
  <c r="R313" i="1" s="1"/>
  <c r="S313" i="1" s="1"/>
  <c r="T313" i="1" s="1"/>
  <c r="AD313" i="1"/>
  <c r="AF313" i="1" s="1"/>
  <c r="AE312" i="1"/>
  <c r="I312" i="1"/>
  <c r="J312" i="1" s="1"/>
  <c r="K312" i="1" s="1"/>
  <c r="L312" i="1" s="1"/>
  <c r="M312" i="1" s="1"/>
  <c r="N312" i="1" s="1"/>
  <c r="O312" i="1" s="1"/>
  <c r="P312" i="1" s="1"/>
  <c r="Q312" i="1" s="1"/>
  <c r="R312" i="1" s="1"/>
  <c r="S312" i="1" s="1"/>
  <c r="T312" i="1" s="1"/>
  <c r="AD312" i="1"/>
  <c r="AF312" i="1" s="1"/>
  <c r="AE311" i="1"/>
  <c r="I311" i="1"/>
  <c r="J311" i="1" s="1"/>
  <c r="K311" i="1" s="1"/>
  <c r="L311" i="1" s="1"/>
  <c r="M311" i="1" s="1"/>
  <c r="N311" i="1" s="1"/>
  <c r="O311" i="1" s="1"/>
  <c r="P311" i="1" s="1"/>
  <c r="Q311" i="1" s="1"/>
  <c r="R311" i="1" s="1"/>
  <c r="S311" i="1" s="1"/>
  <c r="T311" i="1" s="1"/>
  <c r="AD311" i="1"/>
  <c r="AF311" i="1" s="1"/>
  <c r="AE310" i="1"/>
  <c r="I310" i="1"/>
  <c r="J310" i="1" s="1"/>
  <c r="K310" i="1" s="1"/>
  <c r="L310" i="1" s="1"/>
  <c r="M310" i="1" s="1"/>
  <c r="N310" i="1" s="1"/>
  <c r="O310" i="1" s="1"/>
  <c r="P310" i="1" s="1"/>
  <c r="Q310" i="1" s="1"/>
  <c r="R310" i="1" s="1"/>
  <c r="S310" i="1" s="1"/>
  <c r="T310" i="1" s="1"/>
  <c r="U310" i="1" s="1"/>
  <c r="AD310" i="1"/>
  <c r="AF310" i="1" s="1"/>
  <c r="AE309" i="1"/>
  <c r="I309" i="1"/>
  <c r="J309" i="1" s="1"/>
  <c r="K309" i="1" s="1"/>
  <c r="L309" i="1" s="1"/>
  <c r="M309" i="1" s="1"/>
  <c r="N309" i="1" s="1"/>
  <c r="O309" i="1" s="1"/>
  <c r="P309" i="1" s="1"/>
  <c r="Q309" i="1" s="1"/>
  <c r="R309" i="1" s="1"/>
  <c r="S309" i="1" s="1"/>
  <c r="T309" i="1" s="1"/>
  <c r="AD309" i="1"/>
  <c r="AF309" i="1" s="1"/>
  <c r="AE308" i="1"/>
  <c r="I308" i="1"/>
  <c r="J308" i="1" s="1"/>
  <c r="K308" i="1" s="1"/>
  <c r="L308" i="1" s="1"/>
  <c r="M308" i="1" s="1"/>
  <c r="N308" i="1" s="1"/>
  <c r="O308" i="1" s="1"/>
  <c r="P308" i="1" s="1"/>
  <c r="Q308" i="1" s="1"/>
  <c r="R308" i="1" s="1"/>
  <c r="S308" i="1" s="1"/>
  <c r="T308" i="1" s="1"/>
  <c r="AD308" i="1"/>
  <c r="AF308" i="1" s="1"/>
  <c r="AE307" i="1"/>
  <c r="I307" i="1"/>
  <c r="J307" i="1" s="1"/>
  <c r="K307" i="1" s="1"/>
  <c r="L307" i="1" s="1"/>
  <c r="M307" i="1" s="1"/>
  <c r="N307" i="1" s="1"/>
  <c r="O307" i="1" s="1"/>
  <c r="P307" i="1" s="1"/>
  <c r="Q307" i="1" s="1"/>
  <c r="R307" i="1" s="1"/>
  <c r="S307" i="1" s="1"/>
  <c r="T307" i="1" s="1"/>
  <c r="AD307" i="1"/>
  <c r="AF307" i="1" s="1"/>
  <c r="AE306" i="1"/>
  <c r="I306" i="1"/>
  <c r="AD306" i="1"/>
  <c r="AF306" i="1" s="1"/>
  <c r="AE305" i="1"/>
  <c r="I305" i="1"/>
  <c r="J305" i="1" s="1"/>
  <c r="K305" i="1" s="1"/>
  <c r="L305" i="1" s="1"/>
  <c r="M305" i="1" s="1"/>
  <c r="N305" i="1" s="1"/>
  <c r="O305" i="1" s="1"/>
  <c r="P305" i="1" s="1"/>
  <c r="Q305" i="1" s="1"/>
  <c r="R305" i="1" s="1"/>
  <c r="S305" i="1" s="1"/>
  <c r="T305" i="1" s="1"/>
  <c r="AD305" i="1"/>
  <c r="AF305" i="1" s="1"/>
  <c r="AE304" i="1"/>
  <c r="I304" i="1"/>
  <c r="AD304" i="1"/>
  <c r="AF304" i="1" s="1"/>
  <c r="AE303" i="1"/>
  <c r="S303" i="1"/>
  <c r="T303" i="1" s="1"/>
  <c r="I303" i="1"/>
  <c r="J303" i="1" s="1"/>
  <c r="K303" i="1" s="1"/>
  <c r="L303" i="1" s="1"/>
  <c r="M303" i="1" s="1"/>
  <c r="N303" i="1" s="1"/>
  <c r="O303" i="1" s="1"/>
  <c r="P303" i="1" s="1"/>
  <c r="AD303" i="1"/>
  <c r="AF303" i="1" s="1"/>
  <c r="AE302" i="1"/>
  <c r="I302" i="1"/>
  <c r="J302" i="1" s="1"/>
  <c r="K302" i="1" s="1"/>
  <c r="L302" i="1" s="1"/>
  <c r="AD302" i="1"/>
  <c r="AF302" i="1" s="1"/>
  <c r="AE301" i="1"/>
  <c r="I301" i="1"/>
  <c r="AD301" i="1"/>
  <c r="AF301" i="1" s="1"/>
  <c r="AE300" i="1"/>
  <c r="U300" i="1"/>
  <c r="AD300" i="1"/>
  <c r="AF300" i="1" s="1"/>
  <c r="AE299" i="1"/>
  <c r="U299" i="1"/>
  <c r="AD299" i="1"/>
  <c r="AF299" i="1" s="1"/>
  <c r="AE298" i="1"/>
  <c r="I298" i="1"/>
  <c r="J298" i="1" s="1"/>
  <c r="K298" i="1" s="1"/>
  <c r="L298" i="1" s="1"/>
  <c r="M298" i="1" s="1"/>
  <c r="N298" i="1" s="1"/>
  <c r="O298" i="1" s="1"/>
  <c r="P298" i="1" s="1"/>
  <c r="Q298" i="1" s="1"/>
  <c r="R298" i="1" s="1"/>
  <c r="S298" i="1" s="1"/>
  <c r="T298" i="1" s="1"/>
  <c r="AD298" i="1"/>
  <c r="AF298" i="1" s="1"/>
  <c r="AE297" i="1"/>
  <c r="I297" i="1"/>
  <c r="J297" i="1" s="1"/>
  <c r="K297" i="1" s="1"/>
  <c r="L297" i="1" s="1"/>
  <c r="M297" i="1" s="1"/>
  <c r="AD297" i="1"/>
  <c r="AF297" i="1" s="1"/>
  <c r="AE296" i="1"/>
  <c r="I296" i="1"/>
  <c r="AD296" i="1"/>
  <c r="AF296" i="1" s="1"/>
  <c r="AE295" i="1"/>
  <c r="I295" i="1"/>
  <c r="J295" i="1" s="1"/>
  <c r="AD295" i="1"/>
  <c r="AF295" i="1" s="1"/>
  <c r="AE294" i="1"/>
  <c r="I294" i="1"/>
  <c r="J294" i="1" s="1"/>
  <c r="K294" i="1" s="1"/>
  <c r="L294" i="1" s="1"/>
  <c r="M294" i="1" s="1"/>
  <c r="N294" i="1" s="1"/>
  <c r="O294" i="1" s="1"/>
  <c r="AD294" i="1"/>
  <c r="AF294" i="1" s="1"/>
  <c r="AE293" i="1"/>
  <c r="I293" i="1"/>
  <c r="J293" i="1" s="1"/>
  <c r="K293" i="1" s="1"/>
  <c r="L293" i="1" s="1"/>
  <c r="M293" i="1" s="1"/>
  <c r="N293" i="1" s="1"/>
  <c r="O293" i="1" s="1"/>
  <c r="P293" i="1" s="1"/>
  <c r="Q293" i="1" s="1"/>
  <c r="R293" i="1" s="1"/>
  <c r="S293" i="1" s="1"/>
  <c r="T293" i="1" s="1"/>
  <c r="AD293" i="1"/>
  <c r="AF293" i="1" s="1"/>
  <c r="AE292" i="1"/>
  <c r="I292" i="1"/>
  <c r="J292" i="1" s="1"/>
  <c r="K292" i="1" s="1"/>
  <c r="AD292" i="1"/>
  <c r="AF292" i="1" s="1"/>
  <c r="AE291" i="1"/>
  <c r="U291" i="1"/>
  <c r="AD291" i="1"/>
  <c r="AF291" i="1" s="1"/>
  <c r="AE290" i="1"/>
  <c r="I290" i="1"/>
  <c r="AD290" i="1"/>
  <c r="AF290" i="1" s="1"/>
  <c r="AE289" i="1"/>
  <c r="I289" i="1"/>
  <c r="J289" i="1" s="1"/>
  <c r="K289" i="1" s="1"/>
  <c r="L289" i="1" s="1"/>
  <c r="M289" i="1" s="1"/>
  <c r="N289" i="1" s="1"/>
  <c r="O289" i="1" s="1"/>
  <c r="P289" i="1" s="1"/>
  <c r="Q289" i="1" s="1"/>
  <c r="R289" i="1" s="1"/>
  <c r="S289" i="1" s="1"/>
  <c r="T289" i="1" s="1"/>
  <c r="AD289" i="1"/>
  <c r="AF289" i="1" s="1"/>
  <c r="AE288" i="1"/>
  <c r="I288" i="1"/>
  <c r="J288" i="1" s="1"/>
  <c r="AD288" i="1"/>
  <c r="AF288" i="1" s="1"/>
  <c r="AE287" i="1"/>
  <c r="I287" i="1"/>
  <c r="J287" i="1" s="1"/>
  <c r="K287" i="1" s="1"/>
  <c r="L287" i="1" s="1"/>
  <c r="M287" i="1" s="1"/>
  <c r="N287" i="1" s="1"/>
  <c r="O287" i="1" s="1"/>
  <c r="P287" i="1" s="1"/>
  <c r="Q287" i="1" s="1"/>
  <c r="R287" i="1" s="1"/>
  <c r="S287" i="1" s="1"/>
  <c r="T287" i="1" s="1"/>
  <c r="AD287" i="1"/>
  <c r="AF287" i="1" s="1"/>
  <c r="AE286" i="1"/>
  <c r="I286" i="1"/>
  <c r="AD286" i="1"/>
  <c r="AF286" i="1" s="1"/>
  <c r="AE285" i="1"/>
  <c r="I285" i="1"/>
  <c r="J285" i="1" s="1"/>
  <c r="K285" i="1" s="1"/>
  <c r="L285" i="1" s="1"/>
  <c r="M285" i="1" s="1"/>
  <c r="N285" i="1" s="1"/>
  <c r="O285" i="1" s="1"/>
  <c r="P285" i="1" s="1"/>
  <c r="Q285" i="1" s="1"/>
  <c r="R285" i="1" s="1"/>
  <c r="S285" i="1" s="1"/>
  <c r="T285" i="1" s="1"/>
  <c r="AD285" i="1"/>
  <c r="AF285" i="1" s="1"/>
  <c r="AE284" i="1"/>
  <c r="I284" i="1"/>
  <c r="J284" i="1" s="1"/>
  <c r="K284" i="1" s="1"/>
  <c r="L284" i="1" s="1"/>
  <c r="M284" i="1" s="1"/>
  <c r="N284" i="1" s="1"/>
  <c r="O284" i="1" s="1"/>
  <c r="P284" i="1" s="1"/>
  <c r="Q284" i="1" s="1"/>
  <c r="R284" i="1" s="1"/>
  <c r="S284" i="1" s="1"/>
  <c r="T284" i="1" s="1"/>
  <c r="AD284" i="1"/>
  <c r="AF284" i="1" s="1"/>
  <c r="AE283" i="1"/>
  <c r="I283" i="1"/>
  <c r="J283" i="1" s="1"/>
  <c r="K283" i="1" s="1"/>
  <c r="L283" i="1" s="1"/>
  <c r="M283" i="1" s="1"/>
  <c r="AD283" i="1"/>
  <c r="AF283" i="1" s="1"/>
  <c r="AE282" i="1"/>
  <c r="I282" i="1"/>
  <c r="AD282" i="1"/>
  <c r="AF282" i="1" s="1"/>
  <c r="AE281" i="1"/>
  <c r="I281" i="1"/>
  <c r="J281" i="1" s="1"/>
  <c r="K281" i="1" s="1"/>
  <c r="L281" i="1" s="1"/>
  <c r="M281" i="1" s="1"/>
  <c r="N281" i="1" s="1"/>
  <c r="O281" i="1" s="1"/>
  <c r="P281" i="1" s="1"/>
  <c r="Q281" i="1" s="1"/>
  <c r="AD281" i="1"/>
  <c r="AF281" i="1" s="1"/>
  <c r="AE280" i="1"/>
  <c r="I280" i="1"/>
  <c r="J280" i="1" s="1"/>
  <c r="K280" i="1" s="1"/>
  <c r="L280" i="1" s="1"/>
  <c r="AD280" i="1"/>
  <c r="AF280" i="1" s="1"/>
  <c r="AE279" i="1"/>
  <c r="I279" i="1"/>
  <c r="J279" i="1" s="1"/>
  <c r="K279" i="1" s="1"/>
  <c r="L279" i="1" s="1"/>
  <c r="M279" i="1" s="1"/>
  <c r="N279" i="1" s="1"/>
  <c r="O279" i="1" s="1"/>
  <c r="P279" i="1" s="1"/>
  <c r="Q279" i="1" s="1"/>
  <c r="R279" i="1" s="1"/>
  <c r="S279" i="1" s="1"/>
  <c r="T279" i="1" s="1"/>
  <c r="AD279" i="1"/>
  <c r="AF279" i="1" s="1"/>
  <c r="AE278" i="1"/>
  <c r="I278" i="1"/>
  <c r="AD278" i="1"/>
  <c r="AF278" i="1" s="1"/>
  <c r="AE277" i="1"/>
  <c r="I277" i="1"/>
  <c r="J277" i="1" s="1"/>
  <c r="K277" i="1" s="1"/>
  <c r="AD277" i="1"/>
  <c r="AF277" i="1" s="1"/>
  <c r="AE276" i="1"/>
  <c r="I276" i="1"/>
  <c r="J276" i="1" s="1"/>
  <c r="K276" i="1" s="1"/>
  <c r="L276" i="1" s="1"/>
  <c r="AD276" i="1"/>
  <c r="AF276" i="1" s="1"/>
  <c r="AE275" i="1"/>
  <c r="I275" i="1"/>
  <c r="J275" i="1" s="1"/>
  <c r="K275" i="1" s="1"/>
  <c r="L275" i="1" s="1"/>
  <c r="M275" i="1" s="1"/>
  <c r="N275" i="1" s="1"/>
  <c r="O275" i="1" s="1"/>
  <c r="P275" i="1" s="1"/>
  <c r="Q275" i="1" s="1"/>
  <c r="R275" i="1" s="1"/>
  <c r="S275" i="1" s="1"/>
  <c r="T275" i="1" s="1"/>
  <c r="U275" i="1" s="1"/>
  <c r="AD275" i="1"/>
  <c r="AF275" i="1" s="1"/>
  <c r="AE274" i="1"/>
  <c r="I274" i="1"/>
  <c r="AD274" i="1"/>
  <c r="AF274" i="1" s="1"/>
  <c r="AE273" i="1"/>
  <c r="I273" i="1"/>
  <c r="J273" i="1" s="1"/>
  <c r="K273" i="1" s="1"/>
  <c r="L273" i="1" s="1"/>
  <c r="M273" i="1" s="1"/>
  <c r="N273" i="1" s="1"/>
  <c r="O273" i="1" s="1"/>
  <c r="P273" i="1" s="1"/>
  <c r="Q273" i="1" s="1"/>
  <c r="R273" i="1" s="1"/>
  <c r="S273" i="1" s="1"/>
  <c r="T273" i="1" s="1"/>
  <c r="AD273" i="1"/>
  <c r="AF273" i="1" s="1"/>
  <c r="AE272" i="1"/>
  <c r="I272" i="1"/>
  <c r="AD272" i="1"/>
  <c r="AF272" i="1" s="1"/>
  <c r="AE271" i="1"/>
  <c r="I271" i="1"/>
  <c r="AD271" i="1"/>
  <c r="AF271" i="1" s="1"/>
  <c r="AE270" i="1"/>
  <c r="I270" i="1"/>
  <c r="J270" i="1" s="1"/>
  <c r="K270" i="1" s="1"/>
  <c r="L270" i="1" s="1"/>
  <c r="M270" i="1" s="1"/>
  <c r="N270" i="1" s="1"/>
  <c r="O270" i="1" s="1"/>
  <c r="P270" i="1" s="1"/>
  <c r="Q270" i="1" s="1"/>
  <c r="R270" i="1" s="1"/>
  <c r="S270" i="1" s="1"/>
  <c r="T270" i="1" s="1"/>
  <c r="AD270" i="1"/>
  <c r="AF270" i="1" s="1"/>
  <c r="AE269" i="1"/>
  <c r="I269" i="1"/>
  <c r="J269" i="1" s="1"/>
  <c r="K269" i="1" s="1"/>
  <c r="L269" i="1" s="1"/>
  <c r="M269" i="1" s="1"/>
  <c r="N269" i="1" s="1"/>
  <c r="O269" i="1" s="1"/>
  <c r="P269" i="1" s="1"/>
  <c r="Q269" i="1" s="1"/>
  <c r="R269" i="1" s="1"/>
  <c r="S269" i="1" s="1"/>
  <c r="T269" i="1" s="1"/>
  <c r="AD269" i="1"/>
  <c r="AF269" i="1" s="1"/>
  <c r="AE268" i="1"/>
  <c r="I268" i="1"/>
  <c r="AD268" i="1"/>
  <c r="AF268" i="1" s="1"/>
  <c r="AE267" i="1"/>
  <c r="I267" i="1"/>
  <c r="J267" i="1" s="1"/>
  <c r="K267" i="1" s="1"/>
  <c r="L267" i="1" s="1"/>
  <c r="AD267" i="1"/>
  <c r="AF267" i="1" s="1"/>
  <c r="AE266" i="1"/>
  <c r="I266" i="1"/>
  <c r="AD266" i="1"/>
  <c r="AF266" i="1" s="1"/>
  <c r="AE265" i="1"/>
  <c r="I265" i="1"/>
  <c r="J265" i="1" s="1"/>
  <c r="K265" i="1" s="1"/>
  <c r="L265" i="1" s="1"/>
  <c r="M265" i="1" s="1"/>
  <c r="N265" i="1" s="1"/>
  <c r="O265" i="1" s="1"/>
  <c r="P265" i="1" s="1"/>
  <c r="Q265" i="1" s="1"/>
  <c r="R265" i="1" s="1"/>
  <c r="S265" i="1" s="1"/>
  <c r="T265" i="1" s="1"/>
  <c r="AD265" i="1"/>
  <c r="AF265" i="1" s="1"/>
  <c r="AE264" i="1"/>
  <c r="I264" i="1"/>
  <c r="AD264" i="1"/>
  <c r="AF264" i="1" s="1"/>
  <c r="AE263" i="1"/>
  <c r="I263" i="1"/>
  <c r="J263" i="1" s="1"/>
  <c r="K263" i="1" s="1"/>
  <c r="L263" i="1" s="1"/>
  <c r="M263" i="1" s="1"/>
  <c r="N263" i="1" s="1"/>
  <c r="O263" i="1" s="1"/>
  <c r="P263" i="1" s="1"/>
  <c r="Q263" i="1" s="1"/>
  <c r="AD263" i="1"/>
  <c r="AF263" i="1" s="1"/>
  <c r="AE262" i="1"/>
  <c r="I262" i="1"/>
  <c r="AD262" i="1"/>
  <c r="AF262" i="1" s="1"/>
  <c r="AE261" i="1"/>
  <c r="I261" i="1"/>
  <c r="J261" i="1" s="1"/>
  <c r="AD261" i="1"/>
  <c r="AF261" i="1" s="1"/>
  <c r="AE260" i="1"/>
  <c r="I260" i="1"/>
  <c r="J260" i="1" s="1"/>
  <c r="K260" i="1" s="1"/>
  <c r="L260" i="1" s="1"/>
  <c r="M260" i="1" s="1"/>
  <c r="N260" i="1" s="1"/>
  <c r="O260" i="1" s="1"/>
  <c r="P260" i="1" s="1"/>
  <c r="Q260" i="1" s="1"/>
  <c r="R260" i="1" s="1"/>
  <c r="S260" i="1" s="1"/>
  <c r="T260" i="1" s="1"/>
  <c r="AD260" i="1"/>
  <c r="AF260" i="1" s="1"/>
  <c r="AE259" i="1"/>
  <c r="I259" i="1"/>
  <c r="J259" i="1" s="1"/>
  <c r="K259" i="1" s="1"/>
  <c r="L259" i="1" s="1"/>
  <c r="M259" i="1" s="1"/>
  <c r="N259" i="1" s="1"/>
  <c r="O259" i="1" s="1"/>
  <c r="P259" i="1" s="1"/>
  <c r="Q259" i="1" s="1"/>
  <c r="R259" i="1" s="1"/>
  <c r="S259" i="1" s="1"/>
  <c r="T259" i="1" s="1"/>
  <c r="AD259" i="1"/>
  <c r="AF259" i="1" s="1"/>
  <c r="AE258" i="1"/>
  <c r="I258" i="1"/>
  <c r="J258" i="1" s="1"/>
  <c r="AD258" i="1"/>
  <c r="AF258" i="1" s="1"/>
  <c r="AE257" i="1"/>
  <c r="I257" i="1"/>
  <c r="J257" i="1" s="1"/>
  <c r="K257" i="1" s="1"/>
  <c r="L257" i="1" s="1"/>
  <c r="M257" i="1" s="1"/>
  <c r="N257" i="1" s="1"/>
  <c r="O257" i="1" s="1"/>
  <c r="P257" i="1" s="1"/>
  <c r="Q257" i="1" s="1"/>
  <c r="R257" i="1" s="1"/>
  <c r="S257" i="1" s="1"/>
  <c r="T257" i="1" s="1"/>
  <c r="AD257" i="1"/>
  <c r="AF257" i="1" s="1"/>
  <c r="AE256" i="1"/>
  <c r="I256" i="1"/>
  <c r="J256" i="1" s="1"/>
  <c r="K256" i="1" s="1"/>
  <c r="AD256" i="1"/>
  <c r="AF256" i="1" s="1"/>
  <c r="AE255" i="1"/>
  <c r="I255" i="1"/>
  <c r="J255" i="1" s="1"/>
  <c r="K255" i="1" s="1"/>
  <c r="L255" i="1" s="1"/>
  <c r="M255" i="1" s="1"/>
  <c r="N255" i="1" s="1"/>
  <c r="O255" i="1" s="1"/>
  <c r="P255" i="1" s="1"/>
  <c r="Q255" i="1" s="1"/>
  <c r="R255" i="1" s="1"/>
  <c r="S255" i="1" s="1"/>
  <c r="T255" i="1" s="1"/>
  <c r="AD255" i="1"/>
  <c r="AF255" i="1" s="1"/>
  <c r="AE254" i="1"/>
  <c r="I254" i="1"/>
  <c r="J254" i="1" s="1"/>
  <c r="K254" i="1" s="1"/>
  <c r="L254" i="1" s="1"/>
  <c r="M254" i="1" s="1"/>
  <c r="N254" i="1" s="1"/>
  <c r="O254" i="1" s="1"/>
  <c r="P254" i="1" s="1"/>
  <c r="Q254" i="1" s="1"/>
  <c r="AD254" i="1"/>
  <c r="AF254" i="1" s="1"/>
  <c r="AE253" i="1"/>
  <c r="I253" i="1"/>
  <c r="J253" i="1" s="1"/>
  <c r="AD253" i="1"/>
  <c r="AF253" i="1" s="1"/>
  <c r="AE252" i="1"/>
  <c r="I252" i="1"/>
  <c r="AD252" i="1"/>
  <c r="AF252" i="1" s="1"/>
  <c r="AE251" i="1"/>
  <c r="I251" i="1"/>
  <c r="J251" i="1" s="1"/>
  <c r="K251" i="1" s="1"/>
  <c r="L251" i="1" s="1"/>
  <c r="M251" i="1" s="1"/>
  <c r="N251" i="1" s="1"/>
  <c r="O251" i="1" s="1"/>
  <c r="P251" i="1" s="1"/>
  <c r="Q251" i="1" s="1"/>
  <c r="R251" i="1" s="1"/>
  <c r="S251" i="1" s="1"/>
  <c r="T251" i="1" s="1"/>
  <c r="AD251" i="1"/>
  <c r="AF251" i="1" s="1"/>
  <c r="AE250" i="1"/>
  <c r="I250" i="1"/>
  <c r="J250" i="1" s="1"/>
  <c r="K250" i="1" s="1"/>
  <c r="L250" i="1" s="1"/>
  <c r="M250" i="1" s="1"/>
  <c r="N250" i="1" s="1"/>
  <c r="O250" i="1" s="1"/>
  <c r="P250" i="1" s="1"/>
  <c r="Q250" i="1" s="1"/>
  <c r="R250" i="1" s="1"/>
  <c r="S250" i="1" s="1"/>
  <c r="T250" i="1" s="1"/>
  <c r="AD250" i="1"/>
  <c r="AF250" i="1" s="1"/>
  <c r="AE249" i="1"/>
  <c r="I249" i="1"/>
  <c r="J249" i="1" s="1"/>
  <c r="K249" i="1" s="1"/>
  <c r="L249" i="1" s="1"/>
  <c r="M249" i="1" s="1"/>
  <c r="N249" i="1" s="1"/>
  <c r="O249" i="1" s="1"/>
  <c r="P249" i="1" s="1"/>
  <c r="Q249" i="1" s="1"/>
  <c r="R249" i="1" s="1"/>
  <c r="S249" i="1" s="1"/>
  <c r="T249" i="1" s="1"/>
  <c r="AD249" i="1"/>
  <c r="AF249" i="1" s="1"/>
  <c r="AE248" i="1"/>
  <c r="I248" i="1"/>
  <c r="AD248" i="1"/>
  <c r="AF248" i="1" s="1"/>
  <c r="AE247" i="1"/>
  <c r="I247" i="1"/>
  <c r="J247" i="1" s="1"/>
  <c r="K247" i="1" s="1"/>
  <c r="L247" i="1" s="1"/>
  <c r="AD247" i="1"/>
  <c r="AF247" i="1" s="1"/>
  <c r="AE246" i="1"/>
  <c r="I246" i="1"/>
  <c r="J246" i="1" s="1"/>
  <c r="K246" i="1" s="1"/>
  <c r="L246" i="1" s="1"/>
  <c r="M246" i="1" s="1"/>
  <c r="N246" i="1" s="1"/>
  <c r="O246" i="1" s="1"/>
  <c r="P246" i="1" s="1"/>
  <c r="Q246" i="1" s="1"/>
  <c r="AD246" i="1"/>
  <c r="AF246" i="1" s="1"/>
  <c r="AE245" i="1"/>
  <c r="I245" i="1"/>
  <c r="J245" i="1" s="1"/>
  <c r="K245" i="1" s="1"/>
  <c r="L245" i="1" s="1"/>
  <c r="M245" i="1" s="1"/>
  <c r="N245" i="1" s="1"/>
  <c r="O245" i="1" s="1"/>
  <c r="P245" i="1" s="1"/>
  <c r="Q245" i="1" s="1"/>
  <c r="AD245" i="1"/>
  <c r="AF245" i="1" s="1"/>
  <c r="AE244" i="1"/>
  <c r="I244" i="1"/>
  <c r="J244" i="1" s="1"/>
  <c r="K244" i="1" s="1"/>
  <c r="L244" i="1" s="1"/>
  <c r="M244" i="1" s="1"/>
  <c r="N244" i="1" s="1"/>
  <c r="O244" i="1" s="1"/>
  <c r="P244" i="1" s="1"/>
  <c r="Q244" i="1" s="1"/>
  <c r="R244" i="1" s="1"/>
  <c r="S244" i="1" s="1"/>
  <c r="T244" i="1" s="1"/>
  <c r="AD244" i="1"/>
  <c r="AF244" i="1" s="1"/>
  <c r="AE243" i="1"/>
  <c r="I243" i="1"/>
  <c r="J243" i="1" s="1"/>
  <c r="AD243" i="1"/>
  <c r="AF243" i="1" s="1"/>
  <c r="AE242" i="1"/>
  <c r="I242" i="1"/>
  <c r="J242" i="1" s="1"/>
  <c r="K242" i="1" s="1"/>
  <c r="L242" i="1" s="1"/>
  <c r="M242" i="1" s="1"/>
  <c r="N242" i="1" s="1"/>
  <c r="O242" i="1" s="1"/>
  <c r="P242" i="1" s="1"/>
  <c r="Q242" i="1" s="1"/>
  <c r="R242" i="1" s="1"/>
  <c r="S242" i="1" s="1"/>
  <c r="T242" i="1" s="1"/>
  <c r="AD242" i="1"/>
  <c r="AF242" i="1" s="1"/>
  <c r="AE241" i="1"/>
  <c r="I241" i="1"/>
  <c r="J241" i="1" s="1"/>
  <c r="K241" i="1" s="1"/>
  <c r="L241" i="1" s="1"/>
  <c r="M241" i="1" s="1"/>
  <c r="N241" i="1" s="1"/>
  <c r="O241" i="1" s="1"/>
  <c r="P241" i="1" s="1"/>
  <c r="Q241" i="1" s="1"/>
  <c r="R241" i="1" s="1"/>
  <c r="S241" i="1" s="1"/>
  <c r="T241" i="1" s="1"/>
  <c r="AD241" i="1"/>
  <c r="AF241" i="1" s="1"/>
  <c r="AE240" i="1"/>
  <c r="I240" i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T240" i="1" s="1"/>
  <c r="AD240" i="1"/>
  <c r="AF240" i="1" s="1"/>
  <c r="AE239" i="1"/>
  <c r="I239" i="1"/>
  <c r="J239" i="1" s="1"/>
  <c r="K239" i="1" s="1"/>
  <c r="L239" i="1" s="1"/>
  <c r="M239" i="1" s="1"/>
  <c r="N239" i="1" s="1"/>
  <c r="O239" i="1" s="1"/>
  <c r="P239" i="1" s="1"/>
  <c r="Q239" i="1" s="1"/>
  <c r="R239" i="1" s="1"/>
  <c r="S239" i="1" s="1"/>
  <c r="T239" i="1" s="1"/>
  <c r="AD239" i="1"/>
  <c r="AF239" i="1" s="1"/>
  <c r="AE238" i="1"/>
  <c r="I238" i="1"/>
  <c r="J238" i="1" s="1"/>
  <c r="K238" i="1" s="1"/>
  <c r="L238" i="1" s="1"/>
  <c r="M238" i="1" s="1"/>
  <c r="N238" i="1" s="1"/>
  <c r="O238" i="1" s="1"/>
  <c r="P238" i="1" s="1"/>
  <c r="Q238" i="1" s="1"/>
  <c r="R238" i="1" s="1"/>
  <c r="S238" i="1" s="1"/>
  <c r="T238" i="1" s="1"/>
  <c r="AD238" i="1"/>
  <c r="AF238" i="1" s="1"/>
  <c r="AE237" i="1"/>
  <c r="I237" i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T237" i="1" s="1"/>
  <c r="AD237" i="1"/>
  <c r="AF237" i="1" s="1"/>
  <c r="AE236" i="1"/>
  <c r="I236" i="1"/>
  <c r="J236" i="1" s="1"/>
  <c r="AD236" i="1"/>
  <c r="AF236" i="1" s="1"/>
  <c r="AE235" i="1"/>
  <c r="I235" i="1"/>
  <c r="J235" i="1" s="1"/>
  <c r="AD235" i="1"/>
  <c r="AF235" i="1" s="1"/>
  <c r="AE234" i="1"/>
  <c r="I234" i="1"/>
  <c r="J234" i="1" s="1"/>
  <c r="K234" i="1" s="1"/>
  <c r="L234" i="1" s="1"/>
  <c r="M234" i="1" s="1"/>
  <c r="N234" i="1" s="1"/>
  <c r="O234" i="1" s="1"/>
  <c r="P234" i="1" s="1"/>
  <c r="Q234" i="1" s="1"/>
  <c r="R234" i="1" s="1"/>
  <c r="S234" i="1" s="1"/>
  <c r="T234" i="1" s="1"/>
  <c r="AD234" i="1"/>
  <c r="AF234" i="1" s="1"/>
  <c r="AE233" i="1"/>
  <c r="I233" i="1"/>
  <c r="J233" i="1" s="1"/>
  <c r="K233" i="1" s="1"/>
  <c r="L233" i="1" s="1"/>
  <c r="M233" i="1" s="1"/>
  <c r="N233" i="1" s="1"/>
  <c r="O233" i="1" s="1"/>
  <c r="P233" i="1" s="1"/>
  <c r="Q233" i="1" s="1"/>
  <c r="R233" i="1" s="1"/>
  <c r="AD233" i="1"/>
  <c r="AF233" i="1" s="1"/>
  <c r="AE232" i="1"/>
  <c r="I232" i="1"/>
  <c r="J232" i="1" s="1"/>
  <c r="K232" i="1" s="1"/>
  <c r="L232" i="1" s="1"/>
  <c r="M232" i="1" s="1"/>
  <c r="N232" i="1" s="1"/>
  <c r="O232" i="1" s="1"/>
  <c r="P232" i="1" s="1"/>
  <c r="Q232" i="1" s="1"/>
  <c r="R232" i="1" s="1"/>
  <c r="S232" i="1" s="1"/>
  <c r="T232" i="1" s="1"/>
  <c r="AD232" i="1"/>
  <c r="AF232" i="1" s="1"/>
  <c r="AE231" i="1"/>
  <c r="I231" i="1"/>
  <c r="J231" i="1" s="1"/>
  <c r="K231" i="1" s="1"/>
  <c r="L231" i="1" s="1"/>
  <c r="M231" i="1" s="1"/>
  <c r="N231" i="1" s="1"/>
  <c r="O231" i="1" s="1"/>
  <c r="P231" i="1" s="1"/>
  <c r="Q231" i="1" s="1"/>
  <c r="R231" i="1" s="1"/>
  <c r="S231" i="1" s="1"/>
  <c r="T231" i="1" s="1"/>
  <c r="AD231" i="1"/>
  <c r="AF231" i="1" s="1"/>
  <c r="AE230" i="1"/>
  <c r="I230" i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T230" i="1" s="1"/>
  <c r="AD230" i="1"/>
  <c r="AF230" i="1" s="1"/>
  <c r="AE229" i="1"/>
  <c r="I229" i="1"/>
  <c r="AD229" i="1"/>
  <c r="AF229" i="1" s="1"/>
  <c r="AE228" i="1"/>
  <c r="I228" i="1"/>
  <c r="J228" i="1" s="1"/>
  <c r="K228" i="1" s="1"/>
  <c r="L228" i="1" s="1"/>
  <c r="M228" i="1" s="1"/>
  <c r="N228" i="1" s="1"/>
  <c r="O228" i="1" s="1"/>
  <c r="P228" i="1" s="1"/>
  <c r="Q228" i="1" s="1"/>
  <c r="R228" i="1" s="1"/>
  <c r="S228" i="1" s="1"/>
  <c r="T228" i="1" s="1"/>
  <c r="AD228" i="1"/>
  <c r="AF228" i="1" s="1"/>
  <c r="AE227" i="1"/>
  <c r="I227" i="1"/>
  <c r="J227" i="1" s="1"/>
  <c r="K227" i="1" s="1"/>
  <c r="L227" i="1" s="1"/>
  <c r="M227" i="1" s="1"/>
  <c r="N227" i="1" s="1"/>
  <c r="O227" i="1" s="1"/>
  <c r="P227" i="1" s="1"/>
  <c r="Q227" i="1" s="1"/>
  <c r="R227" i="1" s="1"/>
  <c r="S227" i="1" s="1"/>
  <c r="T227" i="1" s="1"/>
  <c r="AD227" i="1"/>
  <c r="AF227" i="1" s="1"/>
  <c r="AE226" i="1"/>
  <c r="I226" i="1"/>
  <c r="J226" i="1" s="1"/>
  <c r="AD226" i="1"/>
  <c r="AF226" i="1" s="1"/>
  <c r="AE225" i="1"/>
  <c r="I225" i="1"/>
  <c r="J225" i="1" s="1"/>
  <c r="K225" i="1" s="1"/>
  <c r="L225" i="1" s="1"/>
  <c r="M225" i="1" s="1"/>
  <c r="N225" i="1" s="1"/>
  <c r="O225" i="1" s="1"/>
  <c r="P225" i="1" s="1"/>
  <c r="Q225" i="1" s="1"/>
  <c r="R225" i="1" s="1"/>
  <c r="S225" i="1" s="1"/>
  <c r="T225" i="1" s="1"/>
  <c r="AD225" i="1"/>
  <c r="AF225" i="1" s="1"/>
  <c r="AE224" i="1"/>
  <c r="I224" i="1"/>
  <c r="AD224" i="1"/>
  <c r="AF224" i="1" s="1"/>
  <c r="AE223" i="1"/>
  <c r="I223" i="1"/>
  <c r="J223" i="1" s="1"/>
  <c r="K223" i="1" s="1"/>
  <c r="L223" i="1" s="1"/>
  <c r="M223" i="1" s="1"/>
  <c r="N223" i="1" s="1"/>
  <c r="O223" i="1" s="1"/>
  <c r="P223" i="1" s="1"/>
  <c r="Q223" i="1" s="1"/>
  <c r="R223" i="1" s="1"/>
  <c r="S223" i="1" s="1"/>
  <c r="T223" i="1" s="1"/>
  <c r="AD223" i="1"/>
  <c r="AF223" i="1" s="1"/>
  <c r="AE222" i="1"/>
  <c r="I222" i="1"/>
  <c r="J222" i="1" s="1"/>
  <c r="K222" i="1" s="1"/>
  <c r="L222" i="1" s="1"/>
  <c r="M222" i="1" s="1"/>
  <c r="N222" i="1" s="1"/>
  <c r="O222" i="1" s="1"/>
  <c r="P222" i="1" s="1"/>
  <c r="Q222" i="1" s="1"/>
  <c r="R222" i="1" s="1"/>
  <c r="S222" i="1" s="1"/>
  <c r="T222" i="1" s="1"/>
  <c r="AD222" i="1"/>
  <c r="AF222" i="1" s="1"/>
  <c r="AE221" i="1"/>
  <c r="I221" i="1"/>
  <c r="J221" i="1" s="1"/>
  <c r="K221" i="1" s="1"/>
  <c r="L221" i="1" s="1"/>
  <c r="AD221" i="1"/>
  <c r="AF221" i="1" s="1"/>
  <c r="AE220" i="1"/>
  <c r="I220" i="1"/>
  <c r="J220" i="1" s="1"/>
  <c r="K220" i="1" s="1"/>
  <c r="L220" i="1" s="1"/>
  <c r="M220" i="1" s="1"/>
  <c r="N220" i="1" s="1"/>
  <c r="O220" i="1" s="1"/>
  <c r="P220" i="1" s="1"/>
  <c r="Q220" i="1" s="1"/>
  <c r="R220" i="1" s="1"/>
  <c r="S220" i="1" s="1"/>
  <c r="T220" i="1" s="1"/>
  <c r="AD220" i="1"/>
  <c r="AF220" i="1" s="1"/>
  <c r="AE219" i="1"/>
  <c r="I219" i="1"/>
  <c r="AD219" i="1"/>
  <c r="AF219" i="1" s="1"/>
  <c r="AE218" i="1"/>
  <c r="I218" i="1"/>
  <c r="AD218" i="1"/>
  <c r="AF218" i="1" s="1"/>
  <c r="AE217" i="1"/>
  <c r="I217" i="1"/>
  <c r="J217" i="1" s="1"/>
  <c r="K217" i="1" s="1"/>
  <c r="L217" i="1" s="1"/>
  <c r="M217" i="1" s="1"/>
  <c r="N217" i="1" s="1"/>
  <c r="O217" i="1" s="1"/>
  <c r="P217" i="1" s="1"/>
  <c r="Q217" i="1" s="1"/>
  <c r="R217" i="1" s="1"/>
  <c r="S217" i="1" s="1"/>
  <c r="T217" i="1" s="1"/>
  <c r="AD217" i="1"/>
  <c r="AF217" i="1" s="1"/>
  <c r="AE216" i="1"/>
  <c r="I216" i="1"/>
  <c r="J216" i="1" s="1"/>
  <c r="K216" i="1" s="1"/>
  <c r="L216" i="1" s="1"/>
  <c r="M216" i="1" s="1"/>
  <c r="N216" i="1" s="1"/>
  <c r="O216" i="1" s="1"/>
  <c r="P216" i="1" s="1"/>
  <c r="Q216" i="1" s="1"/>
  <c r="R216" i="1" s="1"/>
  <c r="S216" i="1" s="1"/>
  <c r="T216" i="1" s="1"/>
  <c r="AD216" i="1"/>
  <c r="AF216" i="1" s="1"/>
  <c r="AE215" i="1"/>
  <c r="I215" i="1"/>
  <c r="J215" i="1" s="1"/>
  <c r="AD215" i="1"/>
  <c r="AF215" i="1" s="1"/>
  <c r="AE214" i="1"/>
  <c r="I214" i="1"/>
  <c r="J214" i="1" s="1"/>
  <c r="K214" i="1" s="1"/>
  <c r="L214" i="1" s="1"/>
  <c r="M214" i="1" s="1"/>
  <c r="N214" i="1" s="1"/>
  <c r="O214" i="1" s="1"/>
  <c r="P214" i="1" s="1"/>
  <c r="Q214" i="1" s="1"/>
  <c r="R214" i="1" s="1"/>
  <c r="S214" i="1" s="1"/>
  <c r="T214" i="1" s="1"/>
  <c r="AD214" i="1"/>
  <c r="AF214" i="1" s="1"/>
  <c r="AE213" i="1"/>
  <c r="I213" i="1"/>
  <c r="J213" i="1" s="1"/>
  <c r="K213" i="1" s="1"/>
  <c r="L213" i="1" s="1"/>
  <c r="M213" i="1" s="1"/>
  <c r="N213" i="1" s="1"/>
  <c r="O213" i="1" s="1"/>
  <c r="P213" i="1" s="1"/>
  <c r="Q213" i="1" s="1"/>
  <c r="R213" i="1" s="1"/>
  <c r="S213" i="1" s="1"/>
  <c r="T213" i="1" s="1"/>
  <c r="AD213" i="1"/>
  <c r="AF213" i="1" s="1"/>
  <c r="AE212" i="1"/>
  <c r="I212" i="1"/>
  <c r="AD212" i="1"/>
  <c r="AF212" i="1" s="1"/>
  <c r="AE211" i="1"/>
  <c r="I211" i="1"/>
  <c r="J211" i="1" s="1"/>
  <c r="K211" i="1" s="1"/>
  <c r="L211" i="1" s="1"/>
  <c r="M211" i="1" s="1"/>
  <c r="N211" i="1" s="1"/>
  <c r="O211" i="1" s="1"/>
  <c r="P211" i="1" s="1"/>
  <c r="Q211" i="1" s="1"/>
  <c r="R211" i="1" s="1"/>
  <c r="S211" i="1" s="1"/>
  <c r="T211" i="1" s="1"/>
  <c r="AD211" i="1"/>
  <c r="AF211" i="1" s="1"/>
  <c r="AE210" i="1"/>
  <c r="I210" i="1"/>
  <c r="J210" i="1" s="1"/>
  <c r="K210" i="1" s="1"/>
  <c r="L210" i="1" s="1"/>
  <c r="M210" i="1" s="1"/>
  <c r="N210" i="1" s="1"/>
  <c r="O210" i="1" s="1"/>
  <c r="P210" i="1" s="1"/>
  <c r="Q210" i="1" s="1"/>
  <c r="R210" i="1" s="1"/>
  <c r="S210" i="1" s="1"/>
  <c r="T210" i="1" s="1"/>
  <c r="AD210" i="1"/>
  <c r="AF210" i="1" s="1"/>
  <c r="AE209" i="1"/>
  <c r="I209" i="1"/>
  <c r="AD209" i="1"/>
  <c r="AF209" i="1" s="1"/>
  <c r="AE208" i="1"/>
  <c r="I208" i="1"/>
  <c r="J208" i="1" s="1"/>
  <c r="K208" i="1" s="1"/>
  <c r="L208" i="1" s="1"/>
  <c r="M208" i="1" s="1"/>
  <c r="N208" i="1" s="1"/>
  <c r="O208" i="1" s="1"/>
  <c r="P208" i="1" s="1"/>
  <c r="Q208" i="1" s="1"/>
  <c r="R208" i="1" s="1"/>
  <c r="S208" i="1" s="1"/>
  <c r="T208" i="1" s="1"/>
  <c r="AD208" i="1"/>
  <c r="AF208" i="1" s="1"/>
  <c r="AE207" i="1"/>
  <c r="I207" i="1"/>
  <c r="J207" i="1" s="1"/>
  <c r="K207" i="1" s="1"/>
  <c r="L207" i="1" s="1"/>
  <c r="M207" i="1" s="1"/>
  <c r="N207" i="1" s="1"/>
  <c r="O207" i="1" s="1"/>
  <c r="P207" i="1" s="1"/>
  <c r="Q207" i="1" s="1"/>
  <c r="R207" i="1" s="1"/>
  <c r="S207" i="1" s="1"/>
  <c r="T207" i="1" s="1"/>
  <c r="AD207" i="1"/>
  <c r="AF207" i="1" s="1"/>
  <c r="AE206" i="1"/>
  <c r="I206" i="1"/>
  <c r="J206" i="1" s="1"/>
  <c r="K206" i="1" s="1"/>
  <c r="L206" i="1" s="1"/>
  <c r="M206" i="1" s="1"/>
  <c r="N206" i="1" s="1"/>
  <c r="O206" i="1" s="1"/>
  <c r="P206" i="1" s="1"/>
  <c r="Q206" i="1" s="1"/>
  <c r="R206" i="1" s="1"/>
  <c r="S206" i="1" s="1"/>
  <c r="T206" i="1" s="1"/>
  <c r="AD206" i="1"/>
  <c r="AF206" i="1" s="1"/>
  <c r="AE205" i="1"/>
  <c r="I205" i="1"/>
  <c r="J205" i="1" s="1"/>
  <c r="K205" i="1" s="1"/>
  <c r="L205" i="1" s="1"/>
  <c r="AD205" i="1"/>
  <c r="AF205" i="1" s="1"/>
  <c r="AE204" i="1"/>
  <c r="I204" i="1"/>
  <c r="J204" i="1" s="1"/>
  <c r="K204" i="1" s="1"/>
  <c r="L204" i="1" s="1"/>
  <c r="M204" i="1" s="1"/>
  <c r="N204" i="1" s="1"/>
  <c r="O204" i="1" s="1"/>
  <c r="P204" i="1" s="1"/>
  <c r="Q204" i="1" s="1"/>
  <c r="R204" i="1" s="1"/>
  <c r="S204" i="1" s="1"/>
  <c r="T204" i="1" s="1"/>
  <c r="AD204" i="1"/>
  <c r="AF204" i="1" s="1"/>
  <c r="AE203" i="1"/>
  <c r="I203" i="1"/>
  <c r="J203" i="1" s="1"/>
  <c r="AD203" i="1"/>
  <c r="AF203" i="1" s="1"/>
  <c r="AE202" i="1"/>
  <c r="I202" i="1"/>
  <c r="AD202" i="1"/>
  <c r="AF202" i="1" s="1"/>
  <c r="AE201" i="1"/>
  <c r="I201" i="1"/>
  <c r="J201" i="1" s="1"/>
  <c r="K201" i="1" s="1"/>
  <c r="L201" i="1" s="1"/>
  <c r="M201" i="1" s="1"/>
  <c r="N201" i="1" s="1"/>
  <c r="O201" i="1" s="1"/>
  <c r="P201" i="1" s="1"/>
  <c r="AD201" i="1"/>
  <c r="AF201" i="1" s="1"/>
  <c r="AE200" i="1"/>
  <c r="I200" i="1"/>
  <c r="J200" i="1" s="1"/>
  <c r="K200" i="1" s="1"/>
  <c r="L200" i="1" s="1"/>
  <c r="M200" i="1" s="1"/>
  <c r="N200" i="1" s="1"/>
  <c r="O200" i="1" s="1"/>
  <c r="P200" i="1" s="1"/>
  <c r="Q200" i="1" s="1"/>
  <c r="R200" i="1" s="1"/>
  <c r="S200" i="1" s="1"/>
  <c r="T200" i="1" s="1"/>
  <c r="AD200" i="1"/>
  <c r="AF200" i="1" s="1"/>
  <c r="AE199" i="1"/>
  <c r="I199" i="1"/>
  <c r="AD199" i="1"/>
  <c r="AF199" i="1" s="1"/>
  <c r="AE198" i="1"/>
  <c r="I198" i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AD198" i="1"/>
  <c r="AF198" i="1" s="1"/>
  <c r="AE197" i="1"/>
  <c r="I197" i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AD197" i="1"/>
  <c r="AF197" i="1" s="1"/>
  <c r="AE196" i="1"/>
  <c r="I196" i="1"/>
  <c r="AD196" i="1"/>
  <c r="AF196" i="1" s="1"/>
  <c r="AE195" i="1"/>
  <c r="I195" i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AD195" i="1"/>
  <c r="AF195" i="1" s="1"/>
  <c r="AE194" i="1"/>
  <c r="I194" i="1"/>
  <c r="J194" i="1" s="1"/>
  <c r="K194" i="1" s="1"/>
  <c r="L194" i="1" s="1"/>
  <c r="AD194" i="1"/>
  <c r="AF194" i="1" s="1"/>
  <c r="AE193" i="1"/>
  <c r="I193" i="1"/>
  <c r="J193" i="1" s="1"/>
  <c r="K193" i="1" s="1"/>
  <c r="L193" i="1" s="1"/>
  <c r="M193" i="1" s="1"/>
  <c r="N193" i="1" s="1"/>
  <c r="O193" i="1" s="1"/>
  <c r="P193" i="1" s="1"/>
  <c r="Q193" i="1" s="1"/>
  <c r="R193" i="1" s="1"/>
  <c r="S193" i="1" s="1"/>
  <c r="T193" i="1" s="1"/>
  <c r="AD193" i="1"/>
  <c r="AF193" i="1" s="1"/>
  <c r="AE192" i="1"/>
  <c r="I192" i="1"/>
  <c r="J192" i="1" s="1"/>
  <c r="K192" i="1" s="1"/>
  <c r="L192" i="1" s="1"/>
  <c r="M192" i="1" s="1"/>
  <c r="AD192" i="1"/>
  <c r="AF192" i="1" s="1"/>
  <c r="AE191" i="1"/>
  <c r="I191" i="1"/>
  <c r="J191" i="1" s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AD191" i="1"/>
  <c r="AF191" i="1" s="1"/>
  <c r="AE190" i="1"/>
  <c r="I190" i="1"/>
  <c r="J190" i="1" s="1"/>
  <c r="AD190" i="1"/>
  <c r="AF190" i="1" s="1"/>
  <c r="AE189" i="1"/>
  <c r="I189" i="1"/>
  <c r="AD189" i="1"/>
  <c r="AF189" i="1" s="1"/>
  <c r="AE188" i="1"/>
  <c r="I188" i="1"/>
  <c r="AD188" i="1"/>
  <c r="AF188" i="1" s="1"/>
  <c r="AE187" i="1"/>
  <c r="I187" i="1"/>
  <c r="AD187" i="1"/>
  <c r="AF187" i="1" s="1"/>
  <c r="AE186" i="1"/>
  <c r="I186" i="1"/>
  <c r="J186" i="1" s="1"/>
  <c r="K186" i="1" s="1"/>
  <c r="L186" i="1" s="1"/>
  <c r="AD186" i="1"/>
  <c r="AF186" i="1" s="1"/>
  <c r="AE185" i="1"/>
  <c r="I185" i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AD185" i="1"/>
  <c r="AF185" i="1" s="1"/>
  <c r="AE184" i="1"/>
  <c r="I184" i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AD184" i="1"/>
  <c r="AF184" i="1" s="1"/>
  <c r="AE183" i="1"/>
  <c r="I183" i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AD183" i="1"/>
  <c r="AF183" i="1" s="1"/>
  <c r="AE182" i="1"/>
  <c r="I182" i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AD182" i="1"/>
  <c r="AF182" i="1" s="1"/>
  <c r="AE181" i="1"/>
  <c r="I181" i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AD181" i="1"/>
  <c r="AF181" i="1" s="1"/>
  <c r="AE180" i="1"/>
  <c r="U180" i="1"/>
  <c r="AD180" i="1"/>
  <c r="AF180" i="1" s="1"/>
  <c r="AE179" i="1"/>
  <c r="I179" i="1"/>
  <c r="J179" i="1" s="1"/>
  <c r="K179" i="1" s="1"/>
  <c r="L179" i="1" s="1"/>
  <c r="M179" i="1" s="1"/>
  <c r="N179" i="1" s="1"/>
  <c r="O179" i="1" s="1"/>
  <c r="AD179" i="1"/>
  <c r="AF179" i="1" s="1"/>
  <c r="AE178" i="1"/>
  <c r="I178" i="1"/>
  <c r="J178" i="1" s="1"/>
  <c r="K178" i="1" s="1"/>
  <c r="L178" i="1" s="1"/>
  <c r="M178" i="1" s="1"/>
  <c r="N178" i="1" s="1"/>
  <c r="O178" i="1" s="1"/>
  <c r="P178" i="1" s="1"/>
  <c r="Q178" i="1" s="1"/>
  <c r="R178" i="1" s="1"/>
  <c r="S178" i="1" s="1"/>
  <c r="T178" i="1" s="1"/>
  <c r="AD178" i="1"/>
  <c r="AF178" i="1" s="1"/>
  <c r="AE177" i="1"/>
  <c r="I177" i="1"/>
  <c r="AD177" i="1"/>
  <c r="AF177" i="1" s="1"/>
  <c r="AE176" i="1"/>
  <c r="I176" i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T176" i="1" s="1"/>
  <c r="AD176" i="1"/>
  <c r="AF176" i="1" s="1"/>
  <c r="AE175" i="1"/>
  <c r="I175" i="1"/>
  <c r="AD175" i="1"/>
  <c r="AF175" i="1" s="1"/>
  <c r="AE174" i="1"/>
  <c r="I174" i="1"/>
  <c r="J174" i="1" s="1"/>
  <c r="K174" i="1" s="1"/>
  <c r="L174" i="1" s="1"/>
  <c r="M174" i="1" s="1"/>
  <c r="N174" i="1" s="1"/>
  <c r="AD174" i="1"/>
  <c r="AF174" i="1" s="1"/>
  <c r="AE173" i="1"/>
  <c r="I173" i="1"/>
  <c r="AD173" i="1"/>
  <c r="AF173" i="1" s="1"/>
  <c r="AE172" i="1"/>
  <c r="I172" i="1"/>
  <c r="J172" i="1" s="1"/>
  <c r="K172" i="1" s="1"/>
  <c r="L172" i="1" s="1"/>
  <c r="M172" i="1" s="1"/>
  <c r="AD172" i="1"/>
  <c r="AF172" i="1" s="1"/>
  <c r="AE171" i="1"/>
  <c r="I171" i="1"/>
  <c r="AD171" i="1"/>
  <c r="AF171" i="1" s="1"/>
  <c r="AE170" i="1"/>
  <c r="I170" i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AD170" i="1"/>
  <c r="AF170" i="1" s="1"/>
  <c r="AE169" i="1"/>
  <c r="I169" i="1"/>
  <c r="J169" i="1" s="1"/>
  <c r="K169" i="1" s="1"/>
  <c r="L169" i="1" s="1"/>
  <c r="M169" i="1" s="1"/>
  <c r="N169" i="1" s="1"/>
  <c r="O169" i="1" s="1"/>
  <c r="P169" i="1" s="1"/>
  <c r="Q169" i="1" s="1"/>
  <c r="R169" i="1" s="1"/>
  <c r="S169" i="1" s="1"/>
  <c r="T169" i="1" s="1"/>
  <c r="AD169" i="1"/>
  <c r="AF169" i="1" s="1"/>
  <c r="AE168" i="1"/>
  <c r="I168" i="1"/>
  <c r="AD168" i="1"/>
  <c r="AF168" i="1" s="1"/>
  <c r="AE167" i="1"/>
  <c r="I167" i="1"/>
  <c r="AD167" i="1"/>
  <c r="AF167" i="1" s="1"/>
  <c r="AE166" i="1"/>
  <c r="I166" i="1"/>
  <c r="AD166" i="1"/>
  <c r="AF166" i="1" s="1"/>
  <c r="AE165" i="1"/>
  <c r="I165" i="1"/>
  <c r="J165" i="1" s="1"/>
  <c r="K165" i="1" s="1"/>
  <c r="L165" i="1" s="1"/>
  <c r="AD165" i="1"/>
  <c r="AF165" i="1" s="1"/>
  <c r="AE164" i="1"/>
  <c r="I164" i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AD164" i="1"/>
  <c r="AF164" i="1" s="1"/>
  <c r="AE163" i="1"/>
  <c r="I163" i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AD163" i="1"/>
  <c r="AF163" i="1" s="1"/>
  <c r="AE162" i="1"/>
  <c r="I162" i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AD162" i="1"/>
  <c r="AF162" i="1" s="1"/>
  <c r="AE161" i="1"/>
  <c r="I161" i="1"/>
  <c r="J161" i="1" s="1"/>
  <c r="K161" i="1" s="1"/>
  <c r="L161" i="1" s="1"/>
  <c r="M161" i="1" s="1"/>
  <c r="N161" i="1" s="1"/>
  <c r="O161" i="1" s="1"/>
  <c r="P161" i="1" s="1"/>
  <c r="Q161" i="1" s="1"/>
  <c r="R161" i="1" s="1"/>
  <c r="S161" i="1" s="1"/>
  <c r="T161" i="1" s="1"/>
  <c r="AD161" i="1"/>
  <c r="AF161" i="1" s="1"/>
  <c r="AE160" i="1"/>
  <c r="I160" i="1"/>
  <c r="J160" i="1" s="1"/>
  <c r="K160" i="1" s="1"/>
  <c r="L160" i="1" s="1"/>
  <c r="M160" i="1" s="1"/>
  <c r="N160" i="1" s="1"/>
  <c r="O160" i="1" s="1"/>
  <c r="P160" i="1" s="1"/>
  <c r="Q160" i="1" s="1"/>
  <c r="R160" i="1" s="1"/>
  <c r="S160" i="1" s="1"/>
  <c r="T160" i="1" s="1"/>
  <c r="AD160" i="1"/>
  <c r="AF160" i="1" s="1"/>
  <c r="AE159" i="1"/>
  <c r="I159" i="1"/>
  <c r="J159" i="1" s="1"/>
  <c r="K159" i="1" s="1"/>
  <c r="L159" i="1" s="1"/>
  <c r="M159" i="1" s="1"/>
  <c r="N159" i="1" s="1"/>
  <c r="O159" i="1" s="1"/>
  <c r="P159" i="1" s="1"/>
  <c r="Q159" i="1" s="1"/>
  <c r="R159" i="1" s="1"/>
  <c r="S159" i="1" s="1"/>
  <c r="T159" i="1" s="1"/>
  <c r="AD159" i="1"/>
  <c r="AF159" i="1" s="1"/>
  <c r="AE158" i="1"/>
  <c r="I158" i="1"/>
  <c r="J158" i="1" s="1"/>
  <c r="K158" i="1" s="1"/>
  <c r="L158" i="1" s="1"/>
  <c r="M158" i="1" s="1"/>
  <c r="N158" i="1" s="1"/>
  <c r="O158" i="1" s="1"/>
  <c r="P158" i="1" s="1"/>
  <c r="Q158" i="1" s="1"/>
  <c r="R158" i="1" s="1"/>
  <c r="S158" i="1" s="1"/>
  <c r="T158" i="1" s="1"/>
  <c r="AD158" i="1"/>
  <c r="AF158" i="1" s="1"/>
  <c r="AE157" i="1"/>
  <c r="I157" i="1"/>
  <c r="J157" i="1" s="1"/>
  <c r="K157" i="1" s="1"/>
  <c r="L157" i="1" s="1"/>
  <c r="M157" i="1" s="1"/>
  <c r="N157" i="1" s="1"/>
  <c r="O157" i="1" s="1"/>
  <c r="P157" i="1" s="1"/>
  <c r="Q157" i="1" s="1"/>
  <c r="R157" i="1" s="1"/>
  <c r="S157" i="1" s="1"/>
  <c r="T157" i="1" s="1"/>
  <c r="AD157" i="1"/>
  <c r="AF157" i="1" s="1"/>
  <c r="AE156" i="1"/>
  <c r="I156" i="1"/>
  <c r="J156" i="1" s="1"/>
  <c r="K156" i="1" s="1"/>
  <c r="L156" i="1" s="1"/>
  <c r="M156" i="1" s="1"/>
  <c r="N156" i="1" s="1"/>
  <c r="O156" i="1" s="1"/>
  <c r="P156" i="1" s="1"/>
  <c r="Q156" i="1" s="1"/>
  <c r="R156" i="1" s="1"/>
  <c r="S156" i="1" s="1"/>
  <c r="T156" i="1" s="1"/>
  <c r="AD156" i="1"/>
  <c r="AF156" i="1" s="1"/>
  <c r="AE155" i="1"/>
  <c r="I155" i="1"/>
  <c r="AD155" i="1"/>
  <c r="AF155" i="1" s="1"/>
  <c r="AE154" i="1"/>
  <c r="I154" i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AD154" i="1"/>
  <c r="AF154" i="1" s="1"/>
  <c r="AE153" i="1"/>
  <c r="I153" i="1"/>
  <c r="AD153" i="1"/>
  <c r="AF153" i="1" s="1"/>
  <c r="AE152" i="1"/>
  <c r="I152" i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AD152" i="1"/>
  <c r="AF152" i="1" s="1"/>
  <c r="AE151" i="1"/>
  <c r="U151" i="1"/>
  <c r="AD151" i="1"/>
  <c r="AF151" i="1" s="1"/>
  <c r="AE150" i="1"/>
  <c r="I150" i="1"/>
  <c r="J150" i="1" s="1"/>
  <c r="K150" i="1" s="1"/>
  <c r="L150" i="1" s="1"/>
  <c r="M150" i="1" s="1"/>
  <c r="N150" i="1" s="1"/>
  <c r="O150" i="1" s="1"/>
  <c r="P150" i="1" s="1"/>
  <c r="Q150" i="1" s="1"/>
  <c r="R150" i="1" s="1"/>
  <c r="S150" i="1" s="1"/>
  <c r="T150" i="1" s="1"/>
  <c r="AD150" i="1"/>
  <c r="AF150" i="1" s="1"/>
  <c r="AE149" i="1"/>
  <c r="I149" i="1"/>
  <c r="J149" i="1" s="1"/>
  <c r="AD149" i="1"/>
  <c r="AF149" i="1" s="1"/>
  <c r="AE148" i="1"/>
  <c r="I148" i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AD148" i="1"/>
  <c r="AF148" i="1" s="1"/>
  <c r="AE147" i="1"/>
  <c r="I147" i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AD147" i="1"/>
  <c r="AF147" i="1" s="1"/>
  <c r="AE146" i="1"/>
  <c r="I146" i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AD146" i="1"/>
  <c r="AF146" i="1" s="1"/>
  <c r="AE145" i="1"/>
  <c r="I145" i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AD145" i="1"/>
  <c r="AF145" i="1" s="1"/>
  <c r="AE144" i="1"/>
  <c r="I144" i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AD144" i="1"/>
  <c r="AF144" i="1" s="1"/>
  <c r="AE143" i="1"/>
  <c r="I143" i="1"/>
  <c r="J143" i="1" s="1"/>
  <c r="K143" i="1" s="1"/>
  <c r="L143" i="1" s="1"/>
  <c r="AD143" i="1"/>
  <c r="AF143" i="1" s="1"/>
  <c r="AE142" i="1"/>
  <c r="I142" i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AD142" i="1"/>
  <c r="AF142" i="1" s="1"/>
  <c r="AE141" i="1"/>
  <c r="I141" i="1"/>
  <c r="J141" i="1" s="1"/>
  <c r="K141" i="1" s="1"/>
  <c r="L141" i="1" s="1"/>
  <c r="M141" i="1" s="1"/>
  <c r="N141" i="1" s="1"/>
  <c r="O141" i="1" s="1"/>
  <c r="P141" i="1" s="1"/>
  <c r="AD141" i="1"/>
  <c r="AF141" i="1" s="1"/>
  <c r="AE140" i="1"/>
  <c r="I140" i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AD140" i="1"/>
  <c r="AF140" i="1" s="1"/>
  <c r="AE139" i="1"/>
  <c r="I139" i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AD139" i="1"/>
  <c r="AF139" i="1" s="1"/>
  <c r="AE138" i="1"/>
  <c r="I138" i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AD138" i="1"/>
  <c r="AF138" i="1" s="1"/>
  <c r="AE137" i="1"/>
  <c r="I137" i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AD137" i="1"/>
  <c r="AF137" i="1" s="1"/>
  <c r="AE136" i="1"/>
  <c r="I136" i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AD136" i="1"/>
  <c r="AF136" i="1" s="1"/>
  <c r="AE135" i="1"/>
  <c r="I135" i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AD135" i="1"/>
  <c r="AF135" i="1" s="1"/>
  <c r="AE134" i="1"/>
  <c r="I134" i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AD134" i="1"/>
  <c r="AF134" i="1" s="1"/>
  <c r="AE133" i="1"/>
  <c r="U133" i="1"/>
  <c r="AD133" i="1"/>
  <c r="AF133" i="1" s="1"/>
  <c r="AE132" i="1"/>
  <c r="U132" i="1"/>
  <c r="AD132" i="1"/>
  <c r="AF132" i="1" s="1"/>
  <c r="AE131" i="1"/>
  <c r="U131" i="1"/>
  <c r="AD131" i="1"/>
  <c r="AF131" i="1" s="1"/>
  <c r="AE130" i="1"/>
  <c r="U130" i="1"/>
  <c r="AD130" i="1"/>
  <c r="AF130" i="1" s="1"/>
  <c r="AE129" i="1"/>
  <c r="U129" i="1"/>
  <c r="AD129" i="1"/>
  <c r="AF129" i="1" s="1"/>
  <c r="AE128" i="1"/>
  <c r="U128" i="1"/>
  <c r="AD128" i="1"/>
  <c r="AF128" i="1" s="1"/>
  <c r="AE127" i="1"/>
  <c r="U127" i="1"/>
  <c r="AD127" i="1"/>
  <c r="AF127" i="1" s="1"/>
  <c r="AE126" i="1"/>
  <c r="U126" i="1"/>
  <c r="AD126" i="1"/>
  <c r="AF126" i="1" s="1"/>
  <c r="AE125" i="1"/>
  <c r="U125" i="1"/>
  <c r="AD125" i="1"/>
  <c r="AF125" i="1" s="1"/>
  <c r="AE124" i="1"/>
  <c r="U124" i="1"/>
  <c r="AD124" i="1"/>
  <c r="AF124" i="1" s="1"/>
  <c r="AE123" i="1"/>
  <c r="I123" i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AD123" i="1"/>
  <c r="AF123" i="1" s="1"/>
  <c r="AE122" i="1"/>
  <c r="I122" i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AD122" i="1"/>
  <c r="AF122" i="1" s="1"/>
  <c r="AE121" i="1"/>
  <c r="I121" i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AD121" i="1"/>
  <c r="AF121" i="1" s="1"/>
  <c r="AE120" i="1"/>
  <c r="I120" i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AD120" i="1"/>
  <c r="AF120" i="1" s="1"/>
  <c r="AE119" i="1"/>
  <c r="I119" i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AD119" i="1"/>
  <c r="AF119" i="1" s="1"/>
  <c r="AE118" i="1"/>
  <c r="I118" i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AD118" i="1"/>
  <c r="AF118" i="1" s="1"/>
  <c r="AE117" i="1"/>
  <c r="I117" i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AD117" i="1"/>
  <c r="AF117" i="1" s="1"/>
  <c r="AE116" i="1"/>
  <c r="I116" i="1"/>
  <c r="AD116" i="1"/>
  <c r="AF116" i="1" s="1"/>
  <c r="AE115" i="1"/>
  <c r="I115" i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AD115" i="1"/>
  <c r="AF115" i="1" s="1"/>
  <c r="AE114" i="1"/>
  <c r="I114" i="1"/>
  <c r="AD114" i="1"/>
  <c r="AF114" i="1" s="1"/>
  <c r="AE113" i="1"/>
  <c r="I113" i="1"/>
  <c r="AD113" i="1"/>
  <c r="AF113" i="1" s="1"/>
  <c r="AE112" i="1"/>
  <c r="I112" i="1"/>
  <c r="J112" i="1" s="1"/>
  <c r="AD112" i="1"/>
  <c r="AF112" i="1" s="1"/>
  <c r="AE111" i="1"/>
  <c r="I111" i="1"/>
  <c r="J111" i="1" s="1"/>
  <c r="K111" i="1" s="1"/>
  <c r="AD111" i="1"/>
  <c r="AF111" i="1" s="1"/>
  <c r="AE110" i="1"/>
  <c r="I110" i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AD110" i="1"/>
  <c r="AF110" i="1" s="1"/>
  <c r="AE109" i="1"/>
  <c r="I109" i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AD109" i="1"/>
  <c r="AF109" i="1" s="1"/>
  <c r="AE108" i="1"/>
  <c r="I108" i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AD108" i="1"/>
  <c r="AF108" i="1" s="1"/>
  <c r="AE107" i="1"/>
  <c r="I107" i="1"/>
  <c r="AD107" i="1"/>
  <c r="AF107" i="1" s="1"/>
  <c r="AE106" i="1"/>
  <c r="I106" i="1"/>
  <c r="AD106" i="1"/>
  <c r="AF106" i="1" s="1"/>
  <c r="AE105" i="1"/>
  <c r="I105" i="1"/>
  <c r="J105" i="1" s="1"/>
  <c r="K105" i="1" s="1"/>
  <c r="L105" i="1" s="1"/>
  <c r="AD105" i="1"/>
  <c r="AF105" i="1" s="1"/>
  <c r="AE104" i="1"/>
  <c r="I104" i="1"/>
  <c r="J104" i="1" s="1"/>
  <c r="AD104" i="1"/>
  <c r="AF104" i="1" s="1"/>
  <c r="AE103" i="1"/>
  <c r="I103" i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AD103" i="1"/>
  <c r="AF103" i="1" s="1"/>
  <c r="AE102" i="1"/>
  <c r="I102" i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AD102" i="1"/>
  <c r="AF102" i="1" s="1"/>
  <c r="AE101" i="1"/>
  <c r="I101" i="1"/>
  <c r="AD101" i="1"/>
  <c r="AF101" i="1" s="1"/>
  <c r="AE100" i="1"/>
  <c r="I100" i="1"/>
  <c r="J100" i="1" s="1"/>
  <c r="K100" i="1" s="1"/>
  <c r="L100" i="1" s="1"/>
  <c r="M100" i="1" s="1"/>
  <c r="N100" i="1" s="1"/>
  <c r="O100" i="1" s="1"/>
  <c r="P100" i="1" s="1"/>
  <c r="Q100" i="1" s="1"/>
  <c r="AD100" i="1"/>
  <c r="AF100" i="1" s="1"/>
  <c r="AE99" i="1"/>
  <c r="I99" i="1"/>
  <c r="J99" i="1" s="1"/>
  <c r="K99" i="1" s="1"/>
  <c r="L99" i="1" s="1"/>
  <c r="M99" i="1" s="1"/>
  <c r="N99" i="1" s="1"/>
  <c r="O99" i="1" s="1"/>
  <c r="P99" i="1" s="1"/>
  <c r="AD99" i="1"/>
  <c r="AF99" i="1" s="1"/>
  <c r="AE98" i="1"/>
  <c r="I98" i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AD98" i="1"/>
  <c r="AF98" i="1" s="1"/>
  <c r="AE97" i="1"/>
  <c r="I97" i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AD97" i="1"/>
  <c r="AF97" i="1" s="1"/>
  <c r="AE96" i="1"/>
  <c r="I96" i="1"/>
  <c r="AD96" i="1"/>
  <c r="AF96" i="1" s="1"/>
  <c r="AE95" i="1"/>
  <c r="I95" i="1"/>
  <c r="AD95" i="1"/>
  <c r="AF95" i="1" s="1"/>
  <c r="AE94" i="1"/>
  <c r="I94" i="1"/>
  <c r="J94" i="1" s="1"/>
  <c r="K94" i="1" s="1"/>
  <c r="L94" i="1" s="1"/>
  <c r="M94" i="1" s="1"/>
  <c r="N94" i="1" s="1"/>
  <c r="O94" i="1" s="1"/>
  <c r="P94" i="1" s="1"/>
  <c r="Q94" i="1" s="1"/>
  <c r="AD94" i="1"/>
  <c r="AF94" i="1" s="1"/>
  <c r="AE93" i="1"/>
  <c r="I93" i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AD93" i="1"/>
  <c r="AF93" i="1" s="1"/>
  <c r="AE92" i="1"/>
  <c r="I92" i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AD92" i="1"/>
  <c r="AF92" i="1" s="1"/>
  <c r="AE91" i="1"/>
  <c r="I91" i="1"/>
  <c r="J91" i="1" s="1"/>
  <c r="AD91" i="1"/>
  <c r="AF91" i="1" s="1"/>
  <c r="AE90" i="1"/>
  <c r="I90" i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AD90" i="1"/>
  <c r="AF90" i="1" s="1"/>
  <c r="AE89" i="1"/>
  <c r="I89" i="1"/>
  <c r="J89" i="1" s="1"/>
  <c r="AD89" i="1"/>
  <c r="AF89" i="1" s="1"/>
  <c r="AE88" i="1"/>
  <c r="I88" i="1"/>
  <c r="J88" i="1" s="1"/>
  <c r="K88" i="1" s="1"/>
  <c r="L88" i="1" s="1"/>
  <c r="M88" i="1" s="1"/>
  <c r="N88" i="1" s="1"/>
  <c r="AD88" i="1"/>
  <c r="AF88" i="1" s="1"/>
  <c r="AE87" i="1"/>
  <c r="I87" i="1"/>
  <c r="AD87" i="1"/>
  <c r="AF87" i="1" s="1"/>
  <c r="AE86" i="1"/>
  <c r="I86" i="1"/>
  <c r="J86" i="1" s="1"/>
  <c r="AD86" i="1"/>
  <c r="AF86" i="1" s="1"/>
  <c r="AE85" i="1"/>
  <c r="I85" i="1"/>
  <c r="J85" i="1" s="1"/>
  <c r="K85" i="1" s="1"/>
  <c r="L85" i="1" s="1"/>
  <c r="M85" i="1" s="1"/>
  <c r="AD85" i="1"/>
  <c r="AF85" i="1" s="1"/>
  <c r="AE84" i="1"/>
  <c r="I84" i="1"/>
  <c r="J84" i="1" s="1"/>
  <c r="AD84" i="1"/>
  <c r="AF84" i="1" s="1"/>
  <c r="AE83" i="1"/>
  <c r="I83" i="1"/>
  <c r="J83" i="1" s="1"/>
  <c r="K83" i="1" s="1"/>
  <c r="AD83" i="1"/>
  <c r="AF83" i="1" s="1"/>
  <c r="AE82" i="1"/>
  <c r="I82" i="1"/>
  <c r="AD82" i="1"/>
  <c r="AF82" i="1" s="1"/>
  <c r="AE81" i="1"/>
  <c r="I81" i="1"/>
  <c r="J81" i="1" s="1"/>
  <c r="K81" i="1" s="1"/>
  <c r="AD81" i="1"/>
  <c r="AF81" i="1" s="1"/>
  <c r="AE80" i="1"/>
  <c r="I80" i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AD80" i="1"/>
  <c r="AF80" i="1" s="1"/>
  <c r="AE79" i="1"/>
  <c r="I79" i="1"/>
  <c r="AD79" i="1"/>
  <c r="AF79" i="1" s="1"/>
  <c r="AE78" i="1"/>
  <c r="I78" i="1"/>
  <c r="AD78" i="1"/>
  <c r="AF78" i="1" s="1"/>
  <c r="AE77" i="1"/>
  <c r="I77" i="1"/>
  <c r="J77" i="1" s="1"/>
  <c r="K77" i="1" s="1"/>
  <c r="L77" i="1" s="1"/>
  <c r="M77" i="1" s="1"/>
  <c r="N77" i="1" s="1"/>
  <c r="O77" i="1" s="1"/>
  <c r="P77" i="1" s="1"/>
  <c r="Q77" i="1" s="1"/>
  <c r="R77" i="1" s="1"/>
  <c r="AD77" i="1"/>
  <c r="AF77" i="1" s="1"/>
  <c r="AE76" i="1"/>
  <c r="I76" i="1"/>
  <c r="J76" i="1" s="1"/>
  <c r="K76" i="1" s="1"/>
  <c r="L76" i="1" s="1"/>
  <c r="M76" i="1" s="1"/>
  <c r="N76" i="1" s="1"/>
  <c r="O76" i="1" s="1"/>
  <c r="P76" i="1" s="1"/>
  <c r="AD76" i="1"/>
  <c r="AF76" i="1" s="1"/>
  <c r="AE75" i="1"/>
  <c r="I75" i="1"/>
  <c r="AD75" i="1"/>
  <c r="AF75" i="1" s="1"/>
  <c r="AE74" i="1"/>
  <c r="I74" i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AD74" i="1"/>
  <c r="AF74" i="1" s="1"/>
  <c r="AE73" i="1"/>
  <c r="I73" i="1"/>
  <c r="AD73" i="1"/>
  <c r="AF73" i="1" s="1"/>
  <c r="AE72" i="1"/>
  <c r="I72" i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AD72" i="1"/>
  <c r="AF72" i="1" s="1"/>
  <c r="AE71" i="1"/>
  <c r="N71" i="1"/>
  <c r="O71" i="1" s="1"/>
  <c r="P71" i="1" s="1"/>
  <c r="Q71" i="1" s="1"/>
  <c r="R71" i="1" s="1"/>
  <c r="S71" i="1" s="1"/>
  <c r="T71" i="1" s="1"/>
  <c r="I71" i="1"/>
  <c r="J71" i="1" s="1"/>
  <c r="K71" i="1" s="1"/>
  <c r="L71" i="1" s="1"/>
  <c r="AD71" i="1"/>
  <c r="AF71" i="1" s="1"/>
  <c r="AE70" i="1"/>
  <c r="I70" i="1"/>
  <c r="J70" i="1" s="1"/>
  <c r="AD70" i="1"/>
  <c r="AF70" i="1" s="1"/>
  <c r="AE69" i="1"/>
  <c r="I69" i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AD69" i="1"/>
  <c r="AF69" i="1" s="1"/>
  <c r="AE68" i="1"/>
  <c r="I68" i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AD68" i="1"/>
  <c r="AF68" i="1" s="1"/>
  <c r="AE67" i="1"/>
  <c r="L67" i="1"/>
  <c r="M67" i="1" s="1"/>
  <c r="N67" i="1" s="1"/>
  <c r="O67" i="1" s="1"/>
  <c r="P67" i="1" s="1"/>
  <c r="Q67" i="1" s="1"/>
  <c r="R67" i="1" s="1"/>
  <c r="S67" i="1" s="1"/>
  <c r="T67" i="1" s="1"/>
  <c r="I67" i="1"/>
  <c r="J67" i="1" s="1"/>
  <c r="AD67" i="1"/>
  <c r="AF67" i="1" s="1"/>
  <c r="AE66" i="1"/>
  <c r="I66" i="1"/>
  <c r="J66" i="1" s="1"/>
  <c r="K66" i="1" s="1"/>
  <c r="L66" i="1" s="1"/>
  <c r="M66" i="1" s="1"/>
  <c r="AD66" i="1"/>
  <c r="AF66" i="1" s="1"/>
  <c r="AE65" i="1"/>
  <c r="I65" i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AD65" i="1"/>
  <c r="AF65" i="1" s="1"/>
  <c r="AE64" i="1"/>
  <c r="R64" i="1"/>
  <c r="I64" i="1"/>
  <c r="J64" i="1" s="1"/>
  <c r="K64" i="1" s="1"/>
  <c r="L64" i="1" s="1"/>
  <c r="AD64" i="1"/>
  <c r="AF64" i="1" s="1"/>
  <c r="AE63" i="1"/>
  <c r="I63" i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AD63" i="1"/>
  <c r="AF63" i="1" s="1"/>
  <c r="AE62" i="1"/>
  <c r="I62" i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AD62" i="1"/>
  <c r="AF62" i="1" s="1"/>
  <c r="AE61" i="1"/>
  <c r="I61" i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AD61" i="1"/>
  <c r="AF61" i="1" s="1"/>
  <c r="AE60" i="1"/>
  <c r="I60" i="1"/>
  <c r="AD60" i="1"/>
  <c r="AF60" i="1" s="1"/>
  <c r="AE59" i="1"/>
  <c r="I59" i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AD59" i="1"/>
  <c r="AF59" i="1" s="1"/>
  <c r="AE58" i="1"/>
  <c r="I58" i="1"/>
  <c r="J58" i="1" s="1"/>
  <c r="K58" i="1" s="1"/>
  <c r="L58" i="1" s="1"/>
  <c r="M58" i="1" s="1"/>
  <c r="AD58" i="1"/>
  <c r="AF58" i="1" s="1"/>
  <c r="AE57" i="1"/>
  <c r="I57" i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AD57" i="1"/>
  <c r="AF57" i="1" s="1"/>
  <c r="AE56" i="1"/>
  <c r="I56" i="1"/>
  <c r="J56" i="1" s="1"/>
  <c r="K56" i="1" s="1"/>
  <c r="L56" i="1" s="1"/>
  <c r="AD56" i="1"/>
  <c r="AF56" i="1" s="1"/>
  <c r="AE55" i="1"/>
  <c r="I55" i="1"/>
  <c r="AD55" i="1"/>
  <c r="AF55" i="1" s="1"/>
  <c r="AE54" i="1"/>
  <c r="I54" i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AD54" i="1"/>
  <c r="AF54" i="1" s="1"/>
  <c r="AE53" i="1"/>
  <c r="I53" i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AD53" i="1"/>
  <c r="AF53" i="1" s="1"/>
  <c r="AE52" i="1"/>
  <c r="I52" i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AD52" i="1"/>
  <c r="AF52" i="1" s="1"/>
  <c r="AE51" i="1"/>
  <c r="I51" i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AD51" i="1"/>
  <c r="AF51" i="1" s="1"/>
  <c r="AE50" i="1"/>
  <c r="I50" i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AD50" i="1"/>
  <c r="AF50" i="1" s="1"/>
  <c r="AE49" i="1"/>
  <c r="I49" i="1"/>
  <c r="J49" i="1" s="1"/>
  <c r="K49" i="1" s="1"/>
  <c r="AD49" i="1"/>
  <c r="AF49" i="1" s="1"/>
  <c r="AE48" i="1"/>
  <c r="I48" i="1"/>
  <c r="J48" i="1" s="1"/>
  <c r="K48" i="1" s="1"/>
  <c r="L48" i="1" s="1"/>
  <c r="M48" i="1" s="1"/>
  <c r="N48" i="1" s="1"/>
  <c r="AD48" i="1"/>
  <c r="AF48" i="1" s="1"/>
  <c r="AE47" i="1"/>
  <c r="I47" i="1"/>
  <c r="J47" i="1" s="1"/>
  <c r="AD47" i="1"/>
  <c r="AF47" i="1" s="1"/>
  <c r="AE46" i="1"/>
  <c r="I46" i="1"/>
  <c r="J46" i="1" s="1"/>
  <c r="K46" i="1" s="1"/>
  <c r="L46" i="1" s="1"/>
  <c r="AD46" i="1"/>
  <c r="AF46" i="1" s="1"/>
  <c r="AE45" i="1"/>
  <c r="I45" i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AD45" i="1"/>
  <c r="AF45" i="1" s="1"/>
  <c r="AE44" i="1"/>
  <c r="I44" i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AD44" i="1"/>
  <c r="AF44" i="1" s="1"/>
  <c r="AE43" i="1"/>
  <c r="I43" i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AD43" i="1"/>
  <c r="AF43" i="1" s="1"/>
  <c r="AE42" i="1"/>
  <c r="I42" i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AD42" i="1"/>
  <c r="AF42" i="1" s="1"/>
  <c r="AE41" i="1"/>
  <c r="I41" i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AD41" i="1"/>
  <c r="AF41" i="1" s="1"/>
  <c r="AE40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AD40" i="1"/>
  <c r="AF40" i="1" s="1"/>
  <c r="AE39" i="1"/>
  <c r="I39" i="1"/>
  <c r="J39" i="1" s="1"/>
  <c r="K39" i="1" s="1"/>
  <c r="AD39" i="1"/>
  <c r="AF39" i="1" s="1"/>
  <c r="AE38" i="1"/>
  <c r="I38" i="1"/>
  <c r="J38" i="1" s="1"/>
  <c r="K38" i="1" s="1"/>
  <c r="L38" i="1" s="1"/>
  <c r="M38" i="1" s="1"/>
  <c r="N38" i="1" s="1"/>
  <c r="AD38" i="1"/>
  <c r="AF38" i="1" s="1"/>
  <c r="AE37" i="1"/>
  <c r="I37" i="1"/>
  <c r="J37" i="1" s="1"/>
  <c r="K37" i="1" s="1"/>
  <c r="AD37" i="1"/>
  <c r="AF37" i="1" s="1"/>
  <c r="AE36" i="1"/>
  <c r="I36" i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AD36" i="1"/>
  <c r="AF36" i="1" s="1"/>
  <c r="AE35" i="1"/>
  <c r="U35" i="1"/>
  <c r="AD35" i="1"/>
  <c r="AF35" i="1" s="1"/>
  <c r="AE34" i="1"/>
  <c r="I34" i="1"/>
  <c r="J34" i="1" s="1"/>
  <c r="K34" i="1" s="1"/>
  <c r="L34" i="1" s="1"/>
  <c r="AD34" i="1"/>
  <c r="AF34" i="1" s="1"/>
  <c r="AE33" i="1"/>
  <c r="I33" i="1"/>
  <c r="AD33" i="1"/>
  <c r="AF33" i="1" s="1"/>
  <c r="AE32" i="1"/>
  <c r="I32" i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AD32" i="1"/>
  <c r="AF32" i="1" s="1"/>
  <c r="AE31" i="1"/>
  <c r="I31" i="1"/>
  <c r="J31" i="1" s="1"/>
  <c r="AD31" i="1"/>
  <c r="AF31" i="1" s="1"/>
  <c r="AE30" i="1"/>
  <c r="I30" i="1"/>
  <c r="J30" i="1" s="1"/>
  <c r="AD30" i="1"/>
  <c r="AF30" i="1" s="1"/>
  <c r="AE29" i="1"/>
  <c r="I29" i="1"/>
  <c r="J29" i="1" s="1"/>
  <c r="AD29" i="1"/>
  <c r="AF29" i="1" s="1"/>
  <c r="AE28" i="1"/>
  <c r="I28" i="1"/>
  <c r="AD28" i="1"/>
  <c r="AF28" i="1" s="1"/>
  <c r="AE27" i="1"/>
  <c r="I27" i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AD27" i="1"/>
  <c r="AF27" i="1" s="1"/>
  <c r="AE26" i="1"/>
  <c r="I26" i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AD26" i="1"/>
  <c r="AF26" i="1" s="1"/>
  <c r="AE25" i="1"/>
  <c r="I25" i="1"/>
  <c r="AD25" i="1"/>
  <c r="AF25" i="1" s="1"/>
  <c r="AE24" i="1"/>
  <c r="I24" i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AD24" i="1"/>
  <c r="AF24" i="1" s="1"/>
  <c r="AE23" i="1"/>
  <c r="I23" i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AD23" i="1"/>
  <c r="AF23" i="1" s="1"/>
  <c r="AE22" i="1"/>
  <c r="I22" i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AD22" i="1"/>
  <c r="AF22" i="1" s="1"/>
  <c r="AE21" i="1"/>
  <c r="T21" i="1"/>
  <c r="S21" i="1"/>
  <c r="R21" i="1"/>
  <c r="Q21" i="1"/>
  <c r="P21" i="1"/>
  <c r="O21" i="1"/>
  <c r="N21" i="1"/>
  <c r="M21" i="1"/>
  <c r="L21" i="1"/>
  <c r="K21" i="1"/>
  <c r="J21" i="1"/>
  <c r="I21" i="1"/>
  <c r="AD21" i="1"/>
  <c r="AF21" i="1" s="1"/>
  <c r="AE20" i="1"/>
  <c r="T20" i="1"/>
  <c r="S20" i="1"/>
  <c r="R20" i="1"/>
  <c r="Q20" i="1"/>
  <c r="P20" i="1"/>
  <c r="O20" i="1"/>
  <c r="N20" i="1"/>
  <c r="M20" i="1"/>
  <c r="L20" i="1"/>
  <c r="K20" i="1"/>
  <c r="J20" i="1"/>
  <c r="I20" i="1"/>
  <c r="AD20" i="1"/>
  <c r="AF20" i="1" s="1"/>
  <c r="AE19" i="1"/>
  <c r="I19" i="1"/>
  <c r="AD19" i="1"/>
  <c r="AF19" i="1" s="1"/>
  <c r="AE18" i="1"/>
  <c r="I18" i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AD18" i="1"/>
  <c r="AF18" i="1" s="1"/>
  <c r="AE17" i="1"/>
  <c r="I17" i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AD17" i="1"/>
  <c r="AF17" i="1" s="1"/>
  <c r="AE16" i="1"/>
  <c r="I16" i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AD16" i="1"/>
  <c r="AF16" i="1" s="1"/>
  <c r="AE15" i="1"/>
  <c r="I15" i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AD15" i="1"/>
  <c r="AF15" i="1" s="1"/>
  <c r="AE14" i="1"/>
  <c r="U14" i="1"/>
  <c r="AD14" i="1"/>
  <c r="AF14" i="1" s="1"/>
  <c r="AE13" i="1"/>
  <c r="U13" i="1"/>
  <c r="AD13" i="1"/>
  <c r="AF13" i="1" s="1"/>
  <c r="AE12" i="1"/>
  <c r="U12" i="1"/>
  <c r="AD12" i="1"/>
  <c r="AF12" i="1" s="1"/>
  <c r="AE11" i="1"/>
  <c r="U11" i="1"/>
  <c r="AD11" i="1"/>
  <c r="AF11" i="1" s="1"/>
  <c r="AE10" i="1"/>
  <c r="U10" i="1"/>
  <c r="AD10" i="1"/>
  <c r="AF10" i="1" s="1"/>
  <c r="AE9" i="1"/>
  <c r="U9" i="1"/>
  <c r="AD9" i="1"/>
  <c r="AF9" i="1" s="1"/>
  <c r="AE8" i="1"/>
  <c r="I8" i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AD8" i="1"/>
  <c r="AF8" i="1" s="1"/>
  <c r="AE7" i="1"/>
  <c r="W7" i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AD7" i="1"/>
  <c r="AF7" i="1" s="1"/>
  <c r="AE6" i="1"/>
  <c r="I6" i="1"/>
  <c r="J6" i="1" s="1"/>
  <c r="AD6" i="1"/>
  <c r="AF6" i="1" s="1"/>
  <c r="AE5" i="1"/>
  <c r="I5" i="1"/>
  <c r="J5" i="1" s="1"/>
  <c r="K5" i="1" s="1"/>
  <c r="AD5" i="1"/>
  <c r="AF5" i="1" s="1"/>
  <c r="AG711" i="1" l="1"/>
  <c r="AG382" i="1"/>
  <c r="AG390" i="1"/>
  <c r="AG402" i="1"/>
  <c r="AG465" i="1"/>
  <c r="AG469" i="1"/>
  <c r="AG486" i="1"/>
  <c r="AG490" i="1"/>
  <c r="AG524" i="1"/>
  <c r="AG604" i="1"/>
  <c r="AG616" i="1"/>
  <c r="AG620" i="1"/>
  <c r="AG628" i="1"/>
  <c r="AG632" i="1"/>
  <c r="AG636" i="1"/>
  <c r="AG668" i="1"/>
  <c r="AG734" i="1"/>
  <c r="AG738" i="1"/>
  <c r="AG798" i="1"/>
  <c r="I2" i="1"/>
  <c r="AG404" i="1"/>
  <c r="AG408" i="1"/>
  <c r="AG416" i="1"/>
  <c r="AG420" i="1"/>
  <c r="AG516" i="1"/>
  <c r="AG522" i="1"/>
  <c r="AG526" i="1"/>
  <c r="AG530" i="1"/>
  <c r="AG534" i="1"/>
  <c r="AG634" i="1"/>
  <c r="AG642" i="1"/>
  <c r="AG654" i="1"/>
  <c r="AG662" i="1"/>
  <c r="AG666" i="1"/>
  <c r="AG718" i="1"/>
  <c r="AG837" i="1"/>
  <c r="AG510" i="1"/>
  <c r="AG537" i="1"/>
  <c r="AG601" i="1"/>
  <c r="AG605" i="1"/>
  <c r="AG617" i="1"/>
  <c r="AG625" i="1"/>
  <c r="AG633" i="1"/>
  <c r="AG641" i="1"/>
  <c r="AG799" i="1"/>
  <c r="AG834" i="1"/>
  <c r="AG132" i="1"/>
  <c r="AG619" i="1"/>
  <c r="AG12" i="1"/>
  <c r="AG846" i="1"/>
  <c r="AG877" i="1"/>
  <c r="AG426" i="1"/>
  <c r="AG793" i="1"/>
  <c r="AG299" i="1"/>
  <c r="AG409" i="1"/>
  <c r="AG655" i="1"/>
  <c r="AG391" i="1"/>
  <c r="AG399" i="1"/>
  <c r="AG547" i="1"/>
  <c r="AG579" i="1"/>
  <c r="AG595" i="1"/>
  <c r="AG607" i="1"/>
  <c r="AG694" i="1"/>
  <c r="AG710" i="1"/>
  <c r="AG723" i="1"/>
  <c r="AG742" i="1"/>
  <c r="AG9" i="1"/>
  <c r="AG13" i="1"/>
  <c r="AG466" i="1"/>
  <c r="AG483" i="1"/>
  <c r="AG507" i="1"/>
  <c r="AG720" i="1"/>
  <c r="AG735" i="1"/>
  <c r="AG739" i="1"/>
  <c r="AG766" i="1"/>
  <c r="AG776" i="1"/>
  <c r="AG851" i="1"/>
  <c r="AG14" i="1"/>
  <c r="AG496" i="1"/>
  <c r="AG500" i="1"/>
  <c r="AG557" i="1"/>
  <c r="AG565" i="1"/>
  <c r="AG569" i="1"/>
  <c r="AG721" i="1"/>
  <c r="AG777" i="1"/>
  <c r="AG781" i="1"/>
  <c r="AG848" i="1"/>
  <c r="AG852" i="1"/>
  <c r="AG865" i="1"/>
  <c r="AG676" i="1"/>
  <c r="AG485" i="1"/>
  <c r="AG489" i="1"/>
  <c r="AG493" i="1"/>
  <c r="AG501" i="1"/>
  <c r="AG546" i="1"/>
  <c r="AG566" i="1"/>
  <c r="AG582" i="1"/>
  <c r="AG673" i="1"/>
  <c r="AG756" i="1"/>
  <c r="AG782" i="1"/>
  <c r="AG531" i="1"/>
  <c r="AG535" i="1"/>
  <c r="AG539" i="1"/>
  <c r="AG730" i="1"/>
  <c r="AG151" i="1"/>
  <c r="AG726" i="1"/>
  <c r="AG686" i="1"/>
  <c r="AG125" i="1"/>
  <c r="AG731" i="1"/>
  <c r="AG691" i="1"/>
  <c r="AG715" i="1"/>
  <c r="AG423" i="1"/>
  <c r="AG448" i="1"/>
  <c r="AG508" i="1"/>
  <c r="AG563" i="1"/>
  <c r="AG567" i="1"/>
  <c r="AG708" i="1"/>
  <c r="AG863" i="1"/>
  <c r="AG315" i="1"/>
  <c r="AG712" i="1"/>
  <c r="AG836" i="1"/>
  <c r="AG838" i="1"/>
  <c r="AG370" i="1"/>
  <c r="AG418" i="1"/>
  <c r="AG424" i="1"/>
  <c r="AG429" i="1"/>
  <c r="AG505" i="1"/>
  <c r="AG544" i="1"/>
  <c r="AG548" i="1"/>
  <c r="AG576" i="1"/>
  <c r="AG584" i="1"/>
  <c r="AG615" i="1"/>
  <c r="AG658" i="1"/>
  <c r="AG745" i="1"/>
  <c r="AG764" i="1"/>
  <c r="AG813" i="1"/>
  <c r="AG817" i="1"/>
  <c r="AG825" i="1"/>
  <c r="AG809" i="1"/>
  <c r="AG864" i="1"/>
  <c r="AG523" i="1"/>
  <c r="AG868" i="1"/>
  <c r="AG511" i="1"/>
  <c r="AG517" i="1"/>
  <c r="AG550" i="1"/>
  <c r="AG554" i="1"/>
  <c r="AG626" i="1"/>
  <c r="AG637" i="1"/>
  <c r="AG670" i="1"/>
  <c r="AG681" i="1"/>
  <c r="AG724" i="1"/>
  <c r="AG746" i="1"/>
  <c r="AG757" i="1"/>
  <c r="AG826" i="1"/>
  <c r="AG857" i="1"/>
  <c r="AG503" i="1"/>
  <c r="AG525" i="1"/>
  <c r="AG574" i="1"/>
  <c r="AG697" i="1"/>
  <c r="AG769" i="1"/>
  <c r="AG811" i="1"/>
  <c r="AG847" i="1"/>
  <c r="AG876" i="1"/>
  <c r="AG335" i="1"/>
  <c r="AG384" i="1"/>
  <c r="AG431" i="1"/>
  <c r="AG445" i="1"/>
  <c r="AG467" i="1"/>
  <c r="AG518" i="1"/>
  <c r="AG533" i="1"/>
  <c r="AG593" i="1"/>
  <c r="AG649" i="1"/>
  <c r="AG653" i="1"/>
  <c r="AG671" i="1"/>
  <c r="AG701" i="1"/>
  <c r="AG758" i="1"/>
  <c r="AG778" i="1"/>
  <c r="AG819" i="1"/>
  <c r="AG823" i="1"/>
  <c r="AG854" i="1"/>
  <c r="AG665" i="1"/>
  <c r="AG687" i="1"/>
  <c r="AG705" i="1"/>
  <c r="AG740" i="1"/>
  <c r="AG783" i="1"/>
  <c r="AG464" i="1"/>
  <c r="AG472" i="1"/>
  <c r="AG495" i="1"/>
  <c r="AG499" i="1"/>
  <c r="AG541" i="1"/>
  <c r="AG552" i="1"/>
  <c r="AG560" i="1"/>
  <c r="AG590" i="1"/>
  <c r="AG594" i="1"/>
  <c r="AG779" i="1"/>
  <c r="AG790" i="1"/>
  <c r="AG828" i="1"/>
  <c r="AG832" i="1"/>
  <c r="AG855" i="1"/>
  <c r="AG10" i="1"/>
  <c r="AG415" i="1"/>
  <c r="AG506" i="1"/>
  <c r="AG538" i="1"/>
  <c r="AG706" i="1"/>
  <c r="AG871" i="1"/>
  <c r="AG874" i="1"/>
  <c r="AG559" i="1"/>
  <c r="AG842" i="1"/>
  <c r="AG401" i="1"/>
  <c r="AG405" i="1"/>
  <c r="AG556" i="1"/>
  <c r="AG618" i="1"/>
  <c r="AG629" i="1"/>
  <c r="AG646" i="1"/>
  <c r="AG830" i="1"/>
  <c r="AG859" i="1"/>
  <c r="AG35" i="1"/>
  <c r="AG131" i="1"/>
  <c r="AG622" i="1"/>
  <c r="AG849" i="1"/>
  <c r="AG873" i="1"/>
  <c r="AG11" i="1"/>
  <c r="AG124" i="1"/>
  <c r="AG450" i="1"/>
  <c r="AG460" i="1"/>
  <c r="AG542" i="1"/>
  <c r="AG608" i="1"/>
  <c r="AG640" i="1"/>
  <c r="AG725" i="1"/>
  <c r="AG732" i="1"/>
  <c r="AG768" i="1"/>
  <c r="AG300" i="1"/>
  <c r="AG403" i="1"/>
  <c r="AG437" i="1"/>
  <c r="AG447" i="1"/>
  <c r="AG468" i="1"/>
  <c r="AG536" i="1"/>
  <c r="AG591" i="1"/>
  <c r="AG602" i="1"/>
  <c r="AG612" i="1"/>
  <c r="AG704" i="1"/>
  <c r="AG719" i="1"/>
  <c r="AG850" i="1"/>
  <c r="AG129" i="1"/>
  <c r="AG451" i="1"/>
  <c r="AG587" i="1"/>
  <c r="AG700" i="1"/>
  <c r="AG754" i="1"/>
  <c r="U21" i="1"/>
  <c r="AG21" i="1" s="1"/>
  <c r="AG540" i="1"/>
  <c r="AG631" i="1"/>
  <c r="AG580" i="1"/>
  <c r="AG796" i="1"/>
  <c r="AG870" i="1"/>
  <c r="U20" i="1"/>
  <c r="AG20" i="1" s="1"/>
  <c r="AG444" i="1"/>
  <c r="AG577" i="1"/>
  <c r="AG592" i="1"/>
  <c r="AG645" i="1"/>
  <c r="AG652" i="1"/>
  <c r="AG800" i="1"/>
  <c r="AG844" i="1"/>
  <c r="AG866" i="1"/>
  <c r="AG130" i="1"/>
  <c r="AG393" i="1"/>
  <c r="AG411" i="1"/>
  <c r="AG425" i="1"/>
  <c r="AG455" i="1"/>
  <c r="AG515" i="1"/>
  <c r="AG570" i="1"/>
  <c r="AG581" i="1"/>
  <c r="AG829" i="1"/>
  <c r="AG816" i="1"/>
  <c r="AG875" i="1"/>
  <c r="AG389" i="1"/>
  <c r="AG392" i="1"/>
  <c r="AG396" i="1"/>
  <c r="AG430" i="1"/>
  <c r="AG435" i="1"/>
  <c r="AG578" i="1"/>
  <c r="AG623" i="1"/>
  <c r="AG630" i="1"/>
  <c r="AG677" i="1"/>
  <c r="AG698" i="1"/>
  <c r="AG759" i="1"/>
  <c r="AG774" i="1"/>
  <c r="AG804" i="1"/>
  <c r="AG839" i="1"/>
  <c r="U860" i="1"/>
  <c r="AG860" i="1" s="1"/>
  <c r="AG432" i="1"/>
  <c r="AG462" i="1"/>
  <c r="AG561" i="1"/>
  <c r="AG589" i="1"/>
  <c r="AG610" i="1"/>
  <c r="AG643" i="1"/>
  <c r="AG650" i="1"/>
  <c r="AG674" i="1"/>
  <c r="AG688" i="1"/>
  <c r="AG784" i="1"/>
  <c r="AG821" i="1"/>
  <c r="AG843" i="1"/>
  <c r="AG436" i="1"/>
  <c r="AG488" i="1"/>
  <c r="AG494" i="1"/>
  <c r="AG514" i="1"/>
  <c r="AG521" i="1"/>
  <c r="AG528" i="1"/>
  <c r="AG551" i="1"/>
  <c r="AG558" i="1"/>
  <c r="AG568" i="1"/>
  <c r="AG667" i="1"/>
  <c r="AG716" i="1"/>
  <c r="AG747" i="1"/>
  <c r="AG792" i="1"/>
  <c r="AG805" i="1"/>
  <c r="AG814" i="1"/>
  <c r="AG127" i="1"/>
  <c r="AG414" i="1"/>
  <c r="AG417" i="1"/>
  <c r="AG446" i="1"/>
  <c r="AG509" i="1"/>
  <c r="AG512" i="1"/>
  <c r="AG611" i="1"/>
  <c r="AG614" i="1"/>
  <c r="AG661" i="1"/>
  <c r="AG675" i="1"/>
  <c r="AG751" i="1"/>
  <c r="AG767" i="1"/>
  <c r="AG772" i="1"/>
  <c r="AG785" i="1"/>
  <c r="AG808" i="1"/>
  <c r="AG835" i="1"/>
  <c r="Q201" i="1"/>
  <c r="R201" i="1" s="1"/>
  <c r="S201" i="1" s="1"/>
  <c r="T201" i="1" s="1"/>
  <c r="K31" i="1"/>
  <c r="L31" i="1" s="1"/>
  <c r="M31" i="1" s="1"/>
  <c r="N31" i="1" s="1"/>
  <c r="O31" i="1" s="1"/>
  <c r="P31" i="1" s="1"/>
  <c r="Q31" i="1" s="1"/>
  <c r="R31" i="1" s="1"/>
  <c r="S31" i="1" s="1"/>
  <c r="T31" i="1" s="1"/>
  <c r="L49" i="1"/>
  <c r="M49" i="1" s="1"/>
  <c r="N49" i="1" s="1"/>
  <c r="O49" i="1" s="1"/>
  <c r="P49" i="1" s="1"/>
  <c r="Q49" i="1" s="1"/>
  <c r="R49" i="1" s="1"/>
  <c r="S49" i="1" s="1"/>
  <c r="T49" i="1" s="1"/>
  <c r="U71" i="1"/>
  <c r="AG71" i="1" s="1"/>
  <c r="J95" i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AG128" i="1"/>
  <c r="R263" i="1"/>
  <c r="S263" i="1" s="1"/>
  <c r="T263" i="1" s="1"/>
  <c r="J25" i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J365" i="1"/>
  <c r="K365" i="1" s="1"/>
  <c r="L365" i="1" s="1"/>
  <c r="M365" i="1" s="1"/>
  <c r="N365" i="1" s="1"/>
  <c r="O365" i="1" s="1"/>
  <c r="P365" i="1" s="1"/>
  <c r="Q365" i="1" s="1"/>
  <c r="R365" i="1" s="1"/>
  <c r="S365" i="1" s="1"/>
  <c r="T365" i="1" s="1"/>
  <c r="R246" i="1"/>
  <c r="S246" i="1" s="1"/>
  <c r="T246" i="1" s="1"/>
  <c r="N58" i="1"/>
  <c r="O58" i="1" s="1"/>
  <c r="P58" i="1" s="1"/>
  <c r="Q58" i="1" s="1"/>
  <c r="R58" i="1" s="1"/>
  <c r="S58" i="1" s="1"/>
  <c r="T58" i="1" s="1"/>
  <c r="U222" i="1"/>
  <c r="AG222" i="1" s="1"/>
  <c r="J19" i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AG133" i="1"/>
  <c r="AG387" i="1"/>
  <c r="AG422" i="1"/>
  <c r="AG461" i="1"/>
  <c r="AG475" i="1"/>
  <c r="AG770" i="1"/>
  <c r="AG684" i="1"/>
  <c r="AG845" i="1"/>
  <c r="AG397" i="1"/>
  <c r="AG440" i="1"/>
  <c r="AG449" i="1"/>
  <c r="AG316" i="1"/>
  <c r="AG487" i="1"/>
  <c r="AG513" i="1"/>
  <c r="AG317" i="1"/>
  <c r="AG491" i="1"/>
  <c r="AG678" i="1"/>
  <c r="AG699" i="1"/>
  <c r="AG398" i="1"/>
  <c r="AG474" i="1"/>
  <c r="AG481" i="1"/>
  <c r="AG669" i="1"/>
  <c r="AG314" i="1"/>
  <c r="J340" i="1"/>
  <c r="K340" i="1" s="1"/>
  <c r="L340" i="1" s="1"/>
  <c r="M340" i="1" s="1"/>
  <c r="N340" i="1" s="1"/>
  <c r="O340" i="1" s="1"/>
  <c r="P340" i="1" s="1"/>
  <c r="Q340" i="1" s="1"/>
  <c r="R340" i="1" s="1"/>
  <c r="S340" i="1" s="1"/>
  <c r="T340" i="1" s="1"/>
  <c r="AG471" i="1"/>
  <c r="AG583" i="1"/>
  <c r="J361" i="1"/>
  <c r="K361" i="1" s="1"/>
  <c r="L361" i="1" s="1"/>
  <c r="M361" i="1" s="1"/>
  <c r="N361" i="1" s="1"/>
  <c r="O361" i="1" s="1"/>
  <c r="P361" i="1" s="1"/>
  <c r="Q361" i="1" s="1"/>
  <c r="R361" i="1" s="1"/>
  <c r="S361" i="1" s="1"/>
  <c r="T361" i="1" s="1"/>
  <c r="AG454" i="1"/>
  <c r="AG744" i="1"/>
  <c r="U17" i="1"/>
  <c r="AG17" i="1" s="1"/>
  <c r="U36" i="1"/>
  <c r="AG36" i="1" s="1"/>
  <c r="U92" i="1"/>
  <c r="AG92" i="1" s="1"/>
  <c r="AG126" i="1"/>
  <c r="AG664" i="1"/>
  <c r="AG680" i="1"/>
  <c r="AG383" i="1"/>
  <c r="AG419" i="1"/>
  <c r="AG433" i="1"/>
  <c r="AG459" i="1"/>
  <c r="AG470" i="1"/>
  <c r="AG484" i="1"/>
  <c r="AG519" i="1"/>
  <c r="AG586" i="1"/>
  <c r="AG856" i="1"/>
  <c r="AG862" i="1"/>
  <c r="U343" i="1"/>
  <c r="AG343" i="1" s="1"/>
  <c r="AG388" i="1"/>
  <c r="AG400" i="1"/>
  <c r="AG478" i="1"/>
  <c r="AG520" i="1"/>
  <c r="AG532" i="1"/>
  <c r="AG571" i="1"/>
  <c r="AG603" i="1"/>
  <c r="AG609" i="1"/>
  <c r="AG702" i="1"/>
  <c r="AG728" i="1"/>
  <c r="AG853" i="1"/>
  <c r="AG452" i="1"/>
  <c r="AG458" i="1"/>
  <c r="AG692" i="1"/>
  <c r="AG722" i="1"/>
  <c r="AG788" i="1"/>
  <c r="U265" i="1"/>
  <c r="AG265" i="1" s="1"/>
  <c r="AG291" i="1"/>
  <c r="AG527" i="1"/>
  <c r="AG585" i="1"/>
  <c r="AG683" i="1"/>
  <c r="AG689" i="1"/>
  <c r="AG693" i="1"/>
  <c r="AG385" i="1"/>
  <c r="AG442" i="1"/>
  <c r="AG479" i="1"/>
  <c r="AG648" i="1"/>
  <c r="AG663" i="1"/>
  <c r="AG797" i="1"/>
  <c r="AG858" i="1"/>
  <c r="AG545" i="1"/>
  <c r="AG555" i="1"/>
  <c r="AG638" i="1"/>
  <c r="AG775" i="1"/>
  <c r="AG841" i="1"/>
  <c r="AG869" i="1"/>
  <c r="AG872" i="1"/>
  <c r="AG572" i="1"/>
  <c r="AG656" i="1"/>
  <c r="AG682" i="1"/>
  <c r="AG685" i="1"/>
  <c r="AG750" i="1"/>
  <c r="AG801" i="1"/>
  <c r="AG812" i="1"/>
  <c r="AG824" i="1"/>
  <c r="AG827" i="1"/>
  <c r="AG833" i="1"/>
  <c r="AG878" i="1"/>
  <c r="AG439" i="1"/>
  <c r="AG497" i="1"/>
  <c r="AG543" i="1"/>
  <c r="AG553" i="1"/>
  <c r="AG598" i="1"/>
  <c r="AG613" i="1"/>
  <c r="AG639" i="1"/>
  <c r="AG703" i="1"/>
  <c r="AG709" i="1"/>
  <c r="AG733" i="1"/>
  <c r="AG763" i="1"/>
  <c r="AG713" i="1"/>
  <c r="AG737" i="1"/>
  <c r="AG743" i="1"/>
  <c r="AG752" i="1"/>
  <c r="AG794" i="1"/>
  <c r="AG807" i="1"/>
  <c r="AG476" i="1"/>
  <c r="AG529" i="1"/>
  <c r="AG621" i="1"/>
  <c r="AG679" i="1"/>
  <c r="AG727" i="1"/>
  <c r="AG787" i="1"/>
  <c r="AG818" i="1"/>
  <c r="AG840" i="1"/>
  <c r="AG714" i="1"/>
  <c r="AG749" i="1"/>
  <c r="AG755" i="1"/>
  <c r="AG761" i="1"/>
  <c r="AG771" i="1"/>
  <c r="AG802" i="1"/>
  <c r="AG810" i="1"/>
  <c r="K30" i="1"/>
  <c r="L30" i="1" s="1"/>
  <c r="M30" i="1" s="1"/>
  <c r="N30" i="1" s="1"/>
  <c r="O30" i="1" s="1"/>
  <c r="P30" i="1" s="1"/>
  <c r="Q30" i="1" s="1"/>
  <c r="R30" i="1" s="1"/>
  <c r="S30" i="1" s="1"/>
  <c r="T30" i="1" s="1"/>
  <c r="K6" i="1"/>
  <c r="L6" i="1" s="1"/>
  <c r="M6" i="1" s="1"/>
  <c r="N6" i="1" s="1"/>
  <c r="O6" i="1" s="1"/>
  <c r="P6" i="1" s="1"/>
  <c r="Q6" i="1" s="1"/>
  <c r="R6" i="1" s="1"/>
  <c r="L37" i="1"/>
  <c r="M37" i="1" s="1"/>
  <c r="N37" i="1" s="1"/>
  <c r="O37" i="1" s="1"/>
  <c r="P37" i="1" s="1"/>
  <c r="Q37" i="1" s="1"/>
  <c r="R37" i="1" s="1"/>
  <c r="S37" i="1" s="1"/>
  <c r="T37" i="1" s="1"/>
  <c r="L39" i="1"/>
  <c r="M39" i="1" s="1"/>
  <c r="N39" i="1" s="1"/>
  <c r="O39" i="1" s="1"/>
  <c r="P39" i="1" s="1"/>
  <c r="Q39" i="1" s="1"/>
  <c r="R39" i="1" s="1"/>
  <c r="S39" i="1" s="1"/>
  <c r="T39" i="1" s="1"/>
  <c r="K47" i="1"/>
  <c r="L47" i="1" s="1"/>
  <c r="M47" i="1" s="1"/>
  <c r="N47" i="1" s="1"/>
  <c r="O47" i="1" s="1"/>
  <c r="P47" i="1" s="1"/>
  <c r="Q47" i="1" s="1"/>
  <c r="R47" i="1" s="1"/>
  <c r="S47" i="1" s="1"/>
  <c r="T47" i="1" s="1"/>
  <c r="Q76" i="1"/>
  <c r="R76" i="1" s="1"/>
  <c r="S76" i="1" s="1"/>
  <c r="T76" i="1" s="1"/>
  <c r="N85" i="1"/>
  <c r="O85" i="1" s="1"/>
  <c r="P85" i="1" s="1"/>
  <c r="Q85" i="1" s="1"/>
  <c r="R85" i="1" s="1"/>
  <c r="S85" i="1" s="1"/>
  <c r="T85" i="1" s="1"/>
  <c r="O88" i="1"/>
  <c r="P88" i="1" s="1"/>
  <c r="Q88" i="1" s="1"/>
  <c r="R88" i="1" s="1"/>
  <c r="S88" i="1" s="1"/>
  <c r="T88" i="1" s="1"/>
  <c r="M105" i="1"/>
  <c r="N105" i="1" s="1"/>
  <c r="O105" i="1" s="1"/>
  <c r="P105" i="1" s="1"/>
  <c r="Q105" i="1" s="1"/>
  <c r="R105" i="1" s="1"/>
  <c r="S105" i="1" s="1"/>
  <c r="T105" i="1" s="1"/>
  <c r="L83" i="1"/>
  <c r="M83" i="1" s="1"/>
  <c r="N83" i="1" s="1"/>
  <c r="O83" i="1" s="1"/>
  <c r="P83" i="1" s="1"/>
  <c r="Q83" i="1" s="1"/>
  <c r="R83" i="1" s="1"/>
  <c r="S83" i="1" s="1"/>
  <c r="T83" i="1" s="1"/>
  <c r="U8" i="1"/>
  <c r="AG8" i="1" s="1"/>
  <c r="U23" i="1"/>
  <c r="AG23" i="1" s="1"/>
  <c r="U50" i="1"/>
  <c r="AG50" i="1" s="1"/>
  <c r="R100" i="1"/>
  <c r="S100" i="1" s="1"/>
  <c r="T100" i="1" s="1"/>
  <c r="M34" i="1"/>
  <c r="N34" i="1" s="1"/>
  <c r="O34" i="1" s="1"/>
  <c r="P34" i="1" s="1"/>
  <c r="Q34" i="1" s="1"/>
  <c r="R34" i="1" s="1"/>
  <c r="S34" i="1" s="1"/>
  <c r="T34" i="1" s="1"/>
  <c r="U42" i="1"/>
  <c r="AG42" i="1" s="1"/>
  <c r="O48" i="1"/>
  <c r="P48" i="1" s="1"/>
  <c r="Q48" i="1" s="1"/>
  <c r="R48" i="1" s="1"/>
  <c r="S48" i="1" s="1"/>
  <c r="T48" i="1" s="1"/>
  <c r="N66" i="1"/>
  <c r="O66" i="1" s="1"/>
  <c r="P66" i="1" s="1"/>
  <c r="Q66" i="1" s="1"/>
  <c r="R66" i="1" s="1"/>
  <c r="S66" i="1" s="1"/>
  <c r="T66" i="1" s="1"/>
  <c r="R94" i="1"/>
  <c r="S94" i="1" s="1"/>
  <c r="T94" i="1" s="1"/>
  <c r="K29" i="1"/>
  <c r="L29" i="1" s="1"/>
  <c r="M29" i="1" s="1"/>
  <c r="N29" i="1" s="1"/>
  <c r="O29" i="1" s="1"/>
  <c r="P29" i="1" s="1"/>
  <c r="Q29" i="1" s="1"/>
  <c r="R29" i="1" s="1"/>
  <c r="S29" i="1" s="1"/>
  <c r="T29" i="1" s="1"/>
  <c r="O38" i="1"/>
  <c r="P38" i="1" s="1"/>
  <c r="Q38" i="1" s="1"/>
  <c r="R38" i="1" s="1"/>
  <c r="S38" i="1" s="1"/>
  <c r="T38" i="1" s="1"/>
  <c r="S77" i="1"/>
  <c r="T77" i="1" s="1"/>
  <c r="Q99" i="1"/>
  <c r="R99" i="1" s="1"/>
  <c r="S99" i="1" s="1"/>
  <c r="T99" i="1" s="1"/>
  <c r="M46" i="1"/>
  <c r="N46" i="1" s="1"/>
  <c r="O46" i="1" s="1"/>
  <c r="P46" i="1" s="1"/>
  <c r="Q46" i="1" s="1"/>
  <c r="R46" i="1" s="1"/>
  <c r="S46" i="1" s="1"/>
  <c r="T46" i="1" s="1"/>
  <c r="L5" i="1"/>
  <c r="U15" i="1"/>
  <c r="AG15" i="1" s="1"/>
  <c r="U27" i="1"/>
  <c r="AG27" i="1" s="1"/>
  <c r="U43" i="1"/>
  <c r="AG43" i="1" s="1"/>
  <c r="U44" i="1"/>
  <c r="AG44" i="1" s="1"/>
  <c r="U53" i="1"/>
  <c r="AG53" i="1" s="1"/>
  <c r="U59" i="1"/>
  <c r="AG59" i="1" s="1"/>
  <c r="J79" i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J28" i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62" i="1"/>
  <c r="AG62" i="1" s="1"/>
  <c r="J82" i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110" i="1"/>
  <c r="AG110" i="1" s="1"/>
  <c r="U41" i="1"/>
  <c r="AG41" i="1" s="1"/>
  <c r="U45" i="1"/>
  <c r="AG45" i="1" s="1"/>
  <c r="U61" i="1"/>
  <c r="AG61" i="1" s="1"/>
  <c r="J75" i="1"/>
  <c r="K75" i="1" s="1"/>
  <c r="L75" i="1" s="1"/>
  <c r="M75" i="1" s="1"/>
  <c r="N75" i="1" s="1"/>
  <c r="O75" i="1" s="1"/>
  <c r="P75" i="1" s="1"/>
  <c r="Q75" i="1" s="1"/>
  <c r="R75" i="1" s="1"/>
  <c r="S75" i="1" s="1"/>
  <c r="T75" i="1" s="1"/>
  <c r="J107" i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J114" i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J116" i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K91" i="1"/>
  <c r="L91" i="1" s="1"/>
  <c r="M91" i="1" s="1"/>
  <c r="N91" i="1" s="1"/>
  <c r="O91" i="1" s="1"/>
  <c r="P91" i="1" s="1"/>
  <c r="Q91" i="1" s="1"/>
  <c r="R91" i="1" s="1"/>
  <c r="S91" i="1" s="1"/>
  <c r="T91" i="1" s="1"/>
  <c r="K104" i="1"/>
  <c r="L104" i="1" s="1"/>
  <c r="M104" i="1" s="1"/>
  <c r="N104" i="1" s="1"/>
  <c r="O104" i="1" s="1"/>
  <c r="P104" i="1" s="1"/>
  <c r="Q104" i="1" s="1"/>
  <c r="R104" i="1" s="1"/>
  <c r="S104" i="1" s="1"/>
  <c r="T104" i="1" s="1"/>
  <c r="J113" i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J55" i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M56" i="1"/>
  <c r="N56" i="1" s="1"/>
  <c r="O56" i="1" s="1"/>
  <c r="P56" i="1" s="1"/>
  <c r="Q56" i="1" s="1"/>
  <c r="R56" i="1" s="1"/>
  <c r="S56" i="1" s="1"/>
  <c r="T56" i="1" s="1"/>
  <c r="K70" i="1"/>
  <c r="L70" i="1" s="1"/>
  <c r="M70" i="1" s="1"/>
  <c r="N70" i="1" s="1"/>
  <c r="O70" i="1" s="1"/>
  <c r="P70" i="1" s="1"/>
  <c r="Q70" i="1" s="1"/>
  <c r="R70" i="1" s="1"/>
  <c r="S70" i="1" s="1"/>
  <c r="T70" i="1" s="1"/>
  <c r="U74" i="1"/>
  <c r="AG74" i="1" s="1"/>
  <c r="J87" i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90" i="1"/>
  <c r="AG90" i="1" s="1"/>
  <c r="L111" i="1"/>
  <c r="M111" i="1" s="1"/>
  <c r="N111" i="1" s="1"/>
  <c r="O111" i="1" s="1"/>
  <c r="P111" i="1" s="1"/>
  <c r="Q111" i="1" s="1"/>
  <c r="R111" i="1" s="1"/>
  <c r="S111" i="1" s="1"/>
  <c r="T111" i="1" s="1"/>
  <c r="U123" i="1"/>
  <c r="AG123" i="1" s="1"/>
  <c r="S64" i="1"/>
  <c r="T64" i="1" s="1"/>
  <c r="L81" i="1"/>
  <c r="M81" i="1" s="1"/>
  <c r="N81" i="1" s="1"/>
  <c r="O81" i="1" s="1"/>
  <c r="P81" i="1" s="1"/>
  <c r="Q81" i="1" s="1"/>
  <c r="R81" i="1" s="1"/>
  <c r="S81" i="1" s="1"/>
  <c r="T81" i="1" s="1"/>
  <c r="J96" i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102" i="1"/>
  <c r="AG102" i="1" s="1"/>
  <c r="U115" i="1"/>
  <c r="AG115" i="1" s="1"/>
  <c r="K84" i="1"/>
  <c r="L84" i="1" s="1"/>
  <c r="M84" i="1" s="1"/>
  <c r="N84" i="1" s="1"/>
  <c r="O84" i="1" s="1"/>
  <c r="P84" i="1" s="1"/>
  <c r="Q84" i="1" s="1"/>
  <c r="R84" i="1" s="1"/>
  <c r="S84" i="1" s="1"/>
  <c r="T84" i="1" s="1"/>
  <c r="U109" i="1"/>
  <c r="AG109" i="1" s="1"/>
  <c r="U7" i="1"/>
  <c r="AG7" i="1" s="1"/>
  <c r="J73" i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J78" i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93" i="1"/>
  <c r="AG93" i="1" s="1"/>
  <c r="J101" i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J106" i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6" i="1"/>
  <c r="AG16" i="1" s="1"/>
  <c r="U18" i="1"/>
  <c r="AG18" i="1" s="1"/>
  <c r="U22" i="1"/>
  <c r="AG22" i="1" s="1"/>
  <c r="U24" i="1"/>
  <c r="AG24" i="1" s="1"/>
  <c r="U26" i="1"/>
  <c r="AG26" i="1" s="1"/>
  <c r="J33" i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51" i="1"/>
  <c r="AG51" i="1" s="1"/>
  <c r="U57" i="1"/>
  <c r="AG57" i="1" s="1"/>
  <c r="U68" i="1"/>
  <c r="AG68" i="1" s="1"/>
  <c r="U72" i="1"/>
  <c r="AG72" i="1" s="1"/>
  <c r="K86" i="1"/>
  <c r="L86" i="1" s="1"/>
  <c r="M86" i="1" s="1"/>
  <c r="N86" i="1" s="1"/>
  <c r="O86" i="1" s="1"/>
  <c r="P86" i="1" s="1"/>
  <c r="Q86" i="1" s="1"/>
  <c r="R86" i="1" s="1"/>
  <c r="S86" i="1" s="1"/>
  <c r="T86" i="1" s="1"/>
  <c r="U40" i="1"/>
  <c r="AG40" i="1" s="1"/>
  <c r="U52" i="1"/>
  <c r="AG52" i="1" s="1"/>
  <c r="K89" i="1"/>
  <c r="L89" i="1" s="1"/>
  <c r="M89" i="1" s="1"/>
  <c r="N89" i="1" s="1"/>
  <c r="O89" i="1" s="1"/>
  <c r="P89" i="1" s="1"/>
  <c r="Q89" i="1" s="1"/>
  <c r="R89" i="1" s="1"/>
  <c r="S89" i="1" s="1"/>
  <c r="T89" i="1" s="1"/>
  <c r="K112" i="1"/>
  <c r="L112" i="1" s="1"/>
  <c r="M112" i="1" s="1"/>
  <c r="N112" i="1" s="1"/>
  <c r="O112" i="1" s="1"/>
  <c r="P112" i="1" s="1"/>
  <c r="Q112" i="1" s="1"/>
  <c r="R112" i="1" s="1"/>
  <c r="S112" i="1" s="1"/>
  <c r="T112" i="1" s="1"/>
  <c r="Q141" i="1"/>
  <c r="R141" i="1" s="1"/>
  <c r="S141" i="1" s="1"/>
  <c r="T141" i="1" s="1"/>
  <c r="U32" i="1"/>
  <c r="AG32" i="1" s="1"/>
  <c r="U54" i="1"/>
  <c r="AG54" i="1" s="1"/>
  <c r="J60" i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3" i="1"/>
  <c r="AG63" i="1" s="1"/>
  <c r="U67" i="1"/>
  <c r="AG67" i="1" s="1"/>
  <c r="U69" i="1"/>
  <c r="AG69" i="1" s="1"/>
  <c r="U80" i="1"/>
  <c r="AG80" i="1" s="1"/>
  <c r="M143" i="1"/>
  <c r="N143" i="1" s="1"/>
  <c r="O143" i="1" s="1"/>
  <c r="P143" i="1" s="1"/>
  <c r="Q143" i="1" s="1"/>
  <c r="R143" i="1" s="1"/>
  <c r="S143" i="1" s="1"/>
  <c r="T143" i="1" s="1"/>
  <c r="M165" i="1"/>
  <c r="N165" i="1" s="1"/>
  <c r="O165" i="1" s="1"/>
  <c r="P165" i="1" s="1"/>
  <c r="Q165" i="1" s="1"/>
  <c r="R165" i="1" s="1"/>
  <c r="S165" i="1" s="1"/>
  <c r="T165" i="1" s="1"/>
  <c r="J196" i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08" i="1"/>
  <c r="AG108" i="1" s="1"/>
  <c r="U117" i="1"/>
  <c r="AG117" i="1" s="1"/>
  <c r="U138" i="1"/>
  <c r="AG138" i="1" s="1"/>
  <c r="J153" i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J177" i="1"/>
  <c r="K177" i="1" s="1"/>
  <c r="L177" i="1" s="1"/>
  <c r="M177" i="1" s="1"/>
  <c r="N177" i="1" s="1"/>
  <c r="O177" i="1" s="1"/>
  <c r="P177" i="1" s="1"/>
  <c r="Q177" i="1" s="1"/>
  <c r="R177" i="1" s="1"/>
  <c r="S177" i="1" s="1"/>
  <c r="T177" i="1" s="1"/>
  <c r="N192" i="1"/>
  <c r="O192" i="1" s="1"/>
  <c r="P192" i="1" s="1"/>
  <c r="Q192" i="1" s="1"/>
  <c r="R192" i="1" s="1"/>
  <c r="S192" i="1" s="1"/>
  <c r="T192" i="1" s="1"/>
  <c r="M221" i="1"/>
  <c r="N221" i="1" s="1"/>
  <c r="O221" i="1" s="1"/>
  <c r="P221" i="1" s="1"/>
  <c r="Q221" i="1" s="1"/>
  <c r="R221" i="1" s="1"/>
  <c r="S221" i="1" s="1"/>
  <c r="T221" i="1" s="1"/>
  <c r="U97" i="1"/>
  <c r="AG97" i="1" s="1"/>
  <c r="U137" i="1"/>
  <c r="AG137" i="1" s="1"/>
  <c r="U217" i="1"/>
  <c r="AG217" i="1" s="1"/>
  <c r="J173" i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P179" i="1"/>
  <c r="Q179" i="1" s="1"/>
  <c r="R179" i="1" s="1"/>
  <c r="S179" i="1" s="1"/>
  <c r="T179" i="1" s="1"/>
  <c r="M186" i="1"/>
  <c r="N186" i="1" s="1"/>
  <c r="O186" i="1" s="1"/>
  <c r="P186" i="1" s="1"/>
  <c r="Q186" i="1" s="1"/>
  <c r="R186" i="1" s="1"/>
  <c r="S186" i="1" s="1"/>
  <c r="T186" i="1" s="1"/>
  <c r="M194" i="1"/>
  <c r="N194" i="1" s="1"/>
  <c r="O194" i="1" s="1"/>
  <c r="P194" i="1" s="1"/>
  <c r="Q194" i="1" s="1"/>
  <c r="R194" i="1" s="1"/>
  <c r="S194" i="1" s="1"/>
  <c r="T194" i="1" s="1"/>
  <c r="U150" i="1"/>
  <c r="AG150" i="1" s="1"/>
  <c r="J155" i="1"/>
  <c r="K155" i="1" s="1"/>
  <c r="L155" i="1" s="1"/>
  <c r="M155" i="1" s="1"/>
  <c r="N155" i="1" s="1"/>
  <c r="O155" i="1" s="1"/>
  <c r="P155" i="1" s="1"/>
  <c r="Q155" i="1" s="1"/>
  <c r="R155" i="1" s="1"/>
  <c r="S155" i="1" s="1"/>
  <c r="T155" i="1" s="1"/>
  <c r="M205" i="1"/>
  <c r="N205" i="1" s="1"/>
  <c r="O205" i="1" s="1"/>
  <c r="P205" i="1" s="1"/>
  <c r="Q205" i="1" s="1"/>
  <c r="R205" i="1" s="1"/>
  <c r="S205" i="1" s="1"/>
  <c r="T205" i="1" s="1"/>
  <c r="U98" i="1"/>
  <c r="AG98" i="1" s="1"/>
  <c r="U103" i="1"/>
  <c r="AG103" i="1" s="1"/>
  <c r="U146" i="1"/>
  <c r="AG146" i="1" s="1"/>
  <c r="U152" i="1"/>
  <c r="AG152" i="1" s="1"/>
  <c r="J168" i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39" i="1"/>
  <c r="AG139" i="1" s="1"/>
  <c r="U164" i="1"/>
  <c r="AG164" i="1" s="1"/>
  <c r="U178" i="1"/>
  <c r="AG178" i="1" s="1"/>
  <c r="J187" i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21" i="1"/>
  <c r="AG121" i="1" s="1"/>
  <c r="U144" i="1"/>
  <c r="AG144" i="1" s="1"/>
  <c r="U145" i="1"/>
  <c r="AG145" i="1" s="1"/>
  <c r="U147" i="1"/>
  <c r="AG147" i="1" s="1"/>
  <c r="U119" i="1"/>
  <c r="AG119" i="1" s="1"/>
  <c r="U154" i="1"/>
  <c r="AG154" i="1" s="1"/>
  <c r="U157" i="1"/>
  <c r="AG157" i="1" s="1"/>
  <c r="U160" i="1"/>
  <c r="AG160" i="1" s="1"/>
  <c r="U135" i="1"/>
  <c r="AG135" i="1" s="1"/>
  <c r="K149" i="1"/>
  <c r="L149" i="1" s="1"/>
  <c r="M149" i="1" s="1"/>
  <c r="N149" i="1" s="1"/>
  <c r="O149" i="1" s="1"/>
  <c r="P149" i="1" s="1"/>
  <c r="Q149" i="1" s="1"/>
  <c r="R149" i="1" s="1"/>
  <c r="S149" i="1" s="1"/>
  <c r="T149" i="1" s="1"/>
  <c r="U161" i="1"/>
  <c r="AG161" i="1" s="1"/>
  <c r="K190" i="1"/>
  <c r="L190" i="1" s="1"/>
  <c r="M190" i="1" s="1"/>
  <c r="N190" i="1" s="1"/>
  <c r="O190" i="1" s="1"/>
  <c r="P190" i="1" s="1"/>
  <c r="Q190" i="1" s="1"/>
  <c r="R190" i="1" s="1"/>
  <c r="S190" i="1" s="1"/>
  <c r="T190" i="1" s="1"/>
  <c r="U193" i="1"/>
  <c r="AG193" i="1" s="1"/>
  <c r="U140" i="1"/>
  <c r="AG140" i="1" s="1"/>
  <c r="O174" i="1"/>
  <c r="P174" i="1" s="1"/>
  <c r="Q174" i="1" s="1"/>
  <c r="R174" i="1" s="1"/>
  <c r="S174" i="1" s="1"/>
  <c r="T174" i="1" s="1"/>
  <c r="S233" i="1"/>
  <c r="T233" i="1" s="1"/>
  <c r="J167" i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N172" i="1"/>
  <c r="O172" i="1" s="1"/>
  <c r="P172" i="1" s="1"/>
  <c r="Q172" i="1" s="1"/>
  <c r="R172" i="1" s="1"/>
  <c r="S172" i="1" s="1"/>
  <c r="T172" i="1" s="1"/>
  <c r="U65" i="1"/>
  <c r="AG65" i="1" s="1"/>
  <c r="U134" i="1"/>
  <c r="AG134" i="1" s="1"/>
  <c r="U142" i="1"/>
  <c r="AG142" i="1" s="1"/>
  <c r="U183" i="1"/>
  <c r="AG183" i="1" s="1"/>
  <c r="U204" i="1"/>
  <c r="AG204" i="1" s="1"/>
  <c r="U230" i="1"/>
  <c r="AG230" i="1" s="1"/>
  <c r="U238" i="1"/>
  <c r="AG238" i="1" s="1"/>
  <c r="U120" i="1"/>
  <c r="AG120" i="1" s="1"/>
  <c r="U198" i="1"/>
  <c r="AG198" i="1" s="1"/>
  <c r="U214" i="1"/>
  <c r="AG214" i="1" s="1"/>
  <c r="N283" i="1"/>
  <c r="O283" i="1" s="1"/>
  <c r="P283" i="1" s="1"/>
  <c r="Q283" i="1" s="1"/>
  <c r="R283" i="1" s="1"/>
  <c r="S283" i="1" s="1"/>
  <c r="T283" i="1" s="1"/>
  <c r="U163" i="1"/>
  <c r="AG163" i="1" s="1"/>
  <c r="U197" i="1"/>
  <c r="AG197" i="1" s="1"/>
  <c r="U210" i="1"/>
  <c r="AG210" i="1" s="1"/>
  <c r="U213" i="1"/>
  <c r="AG213" i="1" s="1"/>
  <c r="K235" i="1"/>
  <c r="L235" i="1" s="1"/>
  <c r="M235" i="1" s="1"/>
  <c r="N235" i="1" s="1"/>
  <c r="O235" i="1" s="1"/>
  <c r="P235" i="1" s="1"/>
  <c r="Q235" i="1" s="1"/>
  <c r="R235" i="1" s="1"/>
  <c r="S235" i="1" s="1"/>
  <c r="T235" i="1" s="1"/>
  <c r="R281" i="1"/>
  <c r="S281" i="1" s="1"/>
  <c r="T281" i="1" s="1"/>
  <c r="J224" i="1"/>
  <c r="K224" i="1" s="1"/>
  <c r="L224" i="1" s="1"/>
  <c r="M224" i="1" s="1"/>
  <c r="N224" i="1" s="1"/>
  <c r="O224" i="1" s="1"/>
  <c r="P224" i="1" s="1"/>
  <c r="Q224" i="1" s="1"/>
  <c r="R224" i="1" s="1"/>
  <c r="S224" i="1" s="1"/>
  <c r="T224" i="1" s="1"/>
  <c r="K226" i="1"/>
  <c r="L226" i="1" s="1"/>
  <c r="M226" i="1" s="1"/>
  <c r="N226" i="1" s="1"/>
  <c r="O226" i="1" s="1"/>
  <c r="P226" i="1" s="1"/>
  <c r="Q226" i="1" s="1"/>
  <c r="R226" i="1" s="1"/>
  <c r="S226" i="1" s="1"/>
  <c r="T226" i="1" s="1"/>
  <c r="U242" i="1"/>
  <c r="AG242" i="1" s="1"/>
  <c r="R254" i="1"/>
  <c r="S254" i="1" s="1"/>
  <c r="T254" i="1" s="1"/>
  <c r="J166" i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240" i="1"/>
  <c r="AG240" i="1" s="1"/>
  <c r="R245" i="1"/>
  <c r="S245" i="1" s="1"/>
  <c r="T245" i="1" s="1"/>
  <c r="U118" i="1"/>
  <c r="AG118" i="1" s="1"/>
  <c r="U158" i="1"/>
  <c r="AG158" i="1" s="1"/>
  <c r="U159" i="1"/>
  <c r="AG159" i="1" s="1"/>
  <c r="U176" i="1"/>
  <c r="AG176" i="1" s="1"/>
  <c r="J189" i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95" i="1"/>
  <c r="AG195" i="1" s="1"/>
  <c r="U216" i="1"/>
  <c r="AG216" i="1" s="1"/>
  <c r="U228" i="1"/>
  <c r="AG228" i="1" s="1"/>
  <c r="U250" i="1"/>
  <c r="AG250" i="1" s="1"/>
  <c r="K261" i="1"/>
  <c r="L261" i="1" s="1"/>
  <c r="M261" i="1" s="1"/>
  <c r="N261" i="1" s="1"/>
  <c r="O261" i="1" s="1"/>
  <c r="P261" i="1" s="1"/>
  <c r="Q261" i="1" s="1"/>
  <c r="R261" i="1" s="1"/>
  <c r="S261" i="1" s="1"/>
  <c r="T261" i="1" s="1"/>
  <c r="J209" i="1"/>
  <c r="K209" i="1" s="1"/>
  <c r="L209" i="1" s="1"/>
  <c r="M209" i="1" s="1"/>
  <c r="N209" i="1" s="1"/>
  <c r="O209" i="1" s="1"/>
  <c r="P209" i="1" s="1"/>
  <c r="Q209" i="1" s="1"/>
  <c r="R209" i="1" s="1"/>
  <c r="S209" i="1" s="1"/>
  <c r="T209" i="1" s="1"/>
  <c r="U200" i="1"/>
  <c r="AG200" i="1" s="1"/>
  <c r="J212" i="1"/>
  <c r="K212" i="1" s="1"/>
  <c r="L212" i="1" s="1"/>
  <c r="M212" i="1" s="1"/>
  <c r="N212" i="1" s="1"/>
  <c r="O212" i="1" s="1"/>
  <c r="P212" i="1" s="1"/>
  <c r="Q212" i="1" s="1"/>
  <c r="R212" i="1" s="1"/>
  <c r="S212" i="1" s="1"/>
  <c r="T212" i="1" s="1"/>
  <c r="K215" i="1"/>
  <c r="L215" i="1" s="1"/>
  <c r="M215" i="1" s="1"/>
  <c r="N215" i="1" s="1"/>
  <c r="O215" i="1" s="1"/>
  <c r="P215" i="1" s="1"/>
  <c r="Q215" i="1" s="1"/>
  <c r="R215" i="1" s="1"/>
  <c r="S215" i="1" s="1"/>
  <c r="T215" i="1" s="1"/>
  <c r="U231" i="1"/>
  <c r="AG231" i="1" s="1"/>
  <c r="U259" i="1"/>
  <c r="AG259" i="1" s="1"/>
  <c r="M280" i="1"/>
  <c r="N280" i="1" s="1"/>
  <c r="O280" i="1" s="1"/>
  <c r="P280" i="1" s="1"/>
  <c r="Q280" i="1" s="1"/>
  <c r="R280" i="1" s="1"/>
  <c r="S280" i="1" s="1"/>
  <c r="T280" i="1" s="1"/>
  <c r="U122" i="1"/>
  <c r="AG122" i="1" s="1"/>
  <c r="U136" i="1"/>
  <c r="AG136" i="1" s="1"/>
  <c r="U148" i="1"/>
  <c r="AG148" i="1" s="1"/>
  <c r="U184" i="1"/>
  <c r="AG184" i="1" s="1"/>
  <c r="U185" i="1"/>
  <c r="AG185" i="1" s="1"/>
  <c r="J199" i="1"/>
  <c r="K199" i="1" s="1"/>
  <c r="L199" i="1" s="1"/>
  <c r="M199" i="1" s="1"/>
  <c r="N199" i="1" s="1"/>
  <c r="O199" i="1" s="1"/>
  <c r="P199" i="1" s="1"/>
  <c r="Q199" i="1" s="1"/>
  <c r="R199" i="1" s="1"/>
  <c r="S199" i="1" s="1"/>
  <c r="T199" i="1" s="1"/>
  <c r="U199" i="1" s="1"/>
  <c r="AG199" i="1" s="1"/>
  <c r="U208" i="1"/>
  <c r="AG208" i="1" s="1"/>
  <c r="U227" i="1"/>
  <c r="AG227" i="1" s="1"/>
  <c r="U234" i="1"/>
  <c r="AG234" i="1" s="1"/>
  <c r="K236" i="1"/>
  <c r="L236" i="1" s="1"/>
  <c r="M236" i="1" s="1"/>
  <c r="N236" i="1" s="1"/>
  <c r="O236" i="1" s="1"/>
  <c r="P236" i="1" s="1"/>
  <c r="Q236" i="1" s="1"/>
  <c r="R236" i="1" s="1"/>
  <c r="S236" i="1" s="1"/>
  <c r="T236" i="1" s="1"/>
  <c r="K243" i="1"/>
  <c r="L243" i="1" s="1"/>
  <c r="M243" i="1" s="1"/>
  <c r="N243" i="1" s="1"/>
  <c r="O243" i="1" s="1"/>
  <c r="P243" i="1" s="1"/>
  <c r="Q243" i="1" s="1"/>
  <c r="R243" i="1" s="1"/>
  <c r="S243" i="1" s="1"/>
  <c r="T243" i="1" s="1"/>
  <c r="K253" i="1"/>
  <c r="L253" i="1" s="1"/>
  <c r="M253" i="1" s="1"/>
  <c r="N253" i="1" s="1"/>
  <c r="O253" i="1" s="1"/>
  <c r="P253" i="1" s="1"/>
  <c r="Q253" i="1" s="1"/>
  <c r="R253" i="1" s="1"/>
  <c r="S253" i="1" s="1"/>
  <c r="T253" i="1" s="1"/>
  <c r="J202" i="1"/>
  <c r="K202" i="1" s="1"/>
  <c r="L202" i="1" s="1"/>
  <c r="M202" i="1" s="1"/>
  <c r="N202" i="1" s="1"/>
  <c r="O202" i="1" s="1"/>
  <c r="P202" i="1" s="1"/>
  <c r="Q202" i="1" s="1"/>
  <c r="R202" i="1" s="1"/>
  <c r="S202" i="1" s="1"/>
  <c r="T202" i="1" s="1"/>
  <c r="U211" i="1"/>
  <c r="AG211" i="1" s="1"/>
  <c r="M247" i="1"/>
  <c r="N247" i="1" s="1"/>
  <c r="O247" i="1" s="1"/>
  <c r="P247" i="1" s="1"/>
  <c r="Q247" i="1" s="1"/>
  <c r="R247" i="1" s="1"/>
  <c r="S247" i="1" s="1"/>
  <c r="T247" i="1" s="1"/>
  <c r="M267" i="1"/>
  <c r="N267" i="1" s="1"/>
  <c r="O267" i="1" s="1"/>
  <c r="P267" i="1" s="1"/>
  <c r="Q267" i="1" s="1"/>
  <c r="R267" i="1" s="1"/>
  <c r="S267" i="1" s="1"/>
  <c r="T267" i="1" s="1"/>
  <c r="J171" i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AG180" i="1"/>
  <c r="J188" i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207" i="1"/>
  <c r="AG207" i="1" s="1"/>
  <c r="J229" i="1"/>
  <c r="K229" i="1" s="1"/>
  <c r="L229" i="1" s="1"/>
  <c r="M229" i="1" s="1"/>
  <c r="N229" i="1" s="1"/>
  <c r="O229" i="1" s="1"/>
  <c r="P229" i="1" s="1"/>
  <c r="Q229" i="1" s="1"/>
  <c r="R229" i="1" s="1"/>
  <c r="S229" i="1" s="1"/>
  <c r="T229" i="1" s="1"/>
  <c r="J264" i="1"/>
  <c r="K264" i="1" s="1"/>
  <c r="L264" i="1" s="1"/>
  <c r="M264" i="1" s="1"/>
  <c r="N264" i="1" s="1"/>
  <c r="O264" i="1" s="1"/>
  <c r="P264" i="1" s="1"/>
  <c r="Q264" i="1" s="1"/>
  <c r="R264" i="1" s="1"/>
  <c r="S264" i="1" s="1"/>
  <c r="T264" i="1" s="1"/>
  <c r="J272" i="1"/>
  <c r="K272" i="1" s="1"/>
  <c r="L272" i="1" s="1"/>
  <c r="M272" i="1" s="1"/>
  <c r="N272" i="1" s="1"/>
  <c r="O272" i="1" s="1"/>
  <c r="P272" i="1" s="1"/>
  <c r="Q272" i="1" s="1"/>
  <c r="R272" i="1" s="1"/>
  <c r="S272" i="1" s="1"/>
  <c r="T272" i="1" s="1"/>
  <c r="J278" i="1"/>
  <c r="K278" i="1" s="1"/>
  <c r="L278" i="1" s="1"/>
  <c r="M278" i="1" s="1"/>
  <c r="N278" i="1" s="1"/>
  <c r="O278" i="1" s="1"/>
  <c r="P278" i="1" s="1"/>
  <c r="Q278" i="1" s="1"/>
  <c r="R278" i="1" s="1"/>
  <c r="S278" i="1" s="1"/>
  <c r="T278" i="1" s="1"/>
  <c r="J290" i="1"/>
  <c r="K290" i="1" s="1"/>
  <c r="L290" i="1" s="1"/>
  <c r="M290" i="1" s="1"/>
  <c r="N290" i="1" s="1"/>
  <c r="O290" i="1" s="1"/>
  <c r="P290" i="1" s="1"/>
  <c r="Q290" i="1" s="1"/>
  <c r="R290" i="1" s="1"/>
  <c r="S290" i="1" s="1"/>
  <c r="T290" i="1" s="1"/>
  <c r="U156" i="1"/>
  <c r="AG156" i="1" s="1"/>
  <c r="U162" i="1"/>
  <c r="AG162" i="1" s="1"/>
  <c r="J175" i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K203" i="1"/>
  <c r="L203" i="1" s="1"/>
  <c r="M203" i="1" s="1"/>
  <c r="N203" i="1" s="1"/>
  <c r="O203" i="1" s="1"/>
  <c r="P203" i="1" s="1"/>
  <c r="Q203" i="1" s="1"/>
  <c r="R203" i="1" s="1"/>
  <c r="S203" i="1" s="1"/>
  <c r="T203" i="1" s="1"/>
  <c r="J274" i="1"/>
  <c r="K274" i="1" s="1"/>
  <c r="L274" i="1" s="1"/>
  <c r="M274" i="1" s="1"/>
  <c r="N274" i="1" s="1"/>
  <c r="O274" i="1" s="1"/>
  <c r="P274" i="1" s="1"/>
  <c r="Q274" i="1" s="1"/>
  <c r="R274" i="1" s="1"/>
  <c r="S274" i="1" s="1"/>
  <c r="T274" i="1" s="1"/>
  <c r="N297" i="1"/>
  <c r="O297" i="1" s="1"/>
  <c r="P297" i="1" s="1"/>
  <c r="Q297" i="1" s="1"/>
  <c r="R297" i="1" s="1"/>
  <c r="S297" i="1" s="1"/>
  <c r="T297" i="1" s="1"/>
  <c r="U182" i="1"/>
  <c r="AG182" i="1" s="1"/>
  <c r="J218" i="1"/>
  <c r="K218" i="1" s="1"/>
  <c r="L218" i="1" s="1"/>
  <c r="M218" i="1" s="1"/>
  <c r="N218" i="1" s="1"/>
  <c r="O218" i="1" s="1"/>
  <c r="P218" i="1" s="1"/>
  <c r="Q218" i="1" s="1"/>
  <c r="R218" i="1" s="1"/>
  <c r="S218" i="1" s="1"/>
  <c r="T218" i="1" s="1"/>
  <c r="U223" i="1"/>
  <c r="AG223" i="1" s="1"/>
  <c r="U237" i="1"/>
  <c r="AG237" i="1" s="1"/>
  <c r="U241" i="1"/>
  <c r="AG241" i="1" s="1"/>
  <c r="U244" i="1"/>
  <c r="AG244" i="1" s="1"/>
  <c r="K288" i="1"/>
  <c r="L288" i="1" s="1"/>
  <c r="M288" i="1" s="1"/>
  <c r="N288" i="1" s="1"/>
  <c r="O288" i="1" s="1"/>
  <c r="P288" i="1" s="1"/>
  <c r="Q288" i="1" s="1"/>
  <c r="R288" i="1" s="1"/>
  <c r="S288" i="1" s="1"/>
  <c r="T288" i="1" s="1"/>
  <c r="K295" i="1"/>
  <c r="L295" i="1" s="1"/>
  <c r="M295" i="1" s="1"/>
  <c r="N295" i="1" s="1"/>
  <c r="O295" i="1" s="1"/>
  <c r="P295" i="1" s="1"/>
  <c r="Q295" i="1" s="1"/>
  <c r="R295" i="1" s="1"/>
  <c r="S295" i="1" s="1"/>
  <c r="T295" i="1" s="1"/>
  <c r="U295" i="1" s="1"/>
  <c r="AG295" i="1" s="1"/>
  <c r="P368" i="1"/>
  <c r="Q368" i="1" s="1"/>
  <c r="R368" i="1" s="1"/>
  <c r="S368" i="1" s="1"/>
  <c r="T368" i="1" s="1"/>
  <c r="L256" i="1"/>
  <c r="M256" i="1" s="1"/>
  <c r="N256" i="1" s="1"/>
  <c r="O256" i="1" s="1"/>
  <c r="P256" i="1" s="1"/>
  <c r="Q256" i="1" s="1"/>
  <c r="R256" i="1" s="1"/>
  <c r="S256" i="1" s="1"/>
  <c r="T256" i="1" s="1"/>
  <c r="AG275" i="1"/>
  <c r="U298" i="1"/>
  <c r="AG298" i="1" s="1"/>
  <c r="M302" i="1"/>
  <c r="N302" i="1" s="1"/>
  <c r="O302" i="1" s="1"/>
  <c r="P302" i="1" s="1"/>
  <c r="Q302" i="1" s="1"/>
  <c r="R302" i="1" s="1"/>
  <c r="S302" i="1" s="1"/>
  <c r="T302" i="1" s="1"/>
  <c r="J252" i="1"/>
  <c r="K252" i="1" s="1"/>
  <c r="L252" i="1" s="1"/>
  <c r="M252" i="1" s="1"/>
  <c r="N252" i="1" s="1"/>
  <c r="O252" i="1" s="1"/>
  <c r="P252" i="1" s="1"/>
  <c r="Q252" i="1" s="1"/>
  <c r="R252" i="1" s="1"/>
  <c r="S252" i="1" s="1"/>
  <c r="T252" i="1" s="1"/>
  <c r="J271" i="1"/>
  <c r="K271" i="1" s="1"/>
  <c r="L271" i="1" s="1"/>
  <c r="M271" i="1" s="1"/>
  <c r="N271" i="1" s="1"/>
  <c r="O271" i="1" s="1"/>
  <c r="P271" i="1" s="1"/>
  <c r="Q271" i="1" s="1"/>
  <c r="R271" i="1" s="1"/>
  <c r="S271" i="1" s="1"/>
  <c r="T271" i="1" s="1"/>
  <c r="U169" i="1"/>
  <c r="AG169" i="1" s="1"/>
  <c r="U181" i="1"/>
  <c r="AG181" i="1" s="1"/>
  <c r="J248" i="1"/>
  <c r="K248" i="1" s="1"/>
  <c r="L248" i="1" s="1"/>
  <c r="M248" i="1" s="1"/>
  <c r="N248" i="1" s="1"/>
  <c r="O248" i="1" s="1"/>
  <c r="P248" i="1" s="1"/>
  <c r="Q248" i="1" s="1"/>
  <c r="R248" i="1" s="1"/>
  <c r="S248" i="1" s="1"/>
  <c r="T248" i="1" s="1"/>
  <c r="U249" i="1"/>
  <c r="AG249" i="1" s="1"/>
  <c r="U285" i="1"/>
  <c r="AG285" i="1" s="1"/>
  <c r="U287" i="1"/>
  <c r="AG287" i="1" s="1"/>
  <c r="K258" i="1"/>
  <c r="L258" i="1" s="1"/>
  <c r="M258" i="1" s="1"/>
  <c r="N258" i="1" s="1"/>
  <c r="O258" i="1" s="1"/>
  <c r="P258" i="1" s="1"/>
  <c r="Q258" i="1" s="1"/>
  <c r="R258" i="1" s="1"/>
  <c r="S258" i="1" s="1"/>
  <c r="T258" i="1" s="1"/>
  <c r="U269" i="1"/>
  <c r="AG269" i="1" s="1"/>
  <c r="U279" i="1"/>
  <c r="AG279" i="1" s="1"/>
  <c r="U170" i="1"/>
  <c r="AG170" i="1" s="1"/>
  <c r="U191" i="1"/>
  <c r="AG191" i="1" s="1"/>
  <c r="U251" i="1"/>
  <c r="AG251" i="1" s="1"/>
  <c r="U255" i="1"/>
  <c r="AG255" i="1" s="1"/>
  <c r="U206" i="1"/>
  <c r="AG206" i="1" s="1"/>
  <c r="J219" i="1"/>
  <c r="K219" i="1" s="1"/>
  <c r="L219" i="1" s="1"/>
  <c r="M219" i="1" s="1"/>
  <c r="N219" i="1" s="1"/>
  <c r="O219" i="1" s="1"/>
  <c r="P219" i="1" s="1"/>
  <c r="Q219" i="1" s="1"/>
  <c r="R219" i="1" s="1"/>
  <c r="S219" i="1" s="1"/>
  <c r="T219" i="1" s="1"/>
  <c r="U225" i="1"/>
  <c r="AG225" i="1" s="1"/>
  <c r="U232" i="1"/>
  <c r="AG232" i="1" s="1"/>
  <c r="M276" i="1"/>
  <c r="N276" i="1" s="1"/>
  <c r="O276" i="1" s="1"/>
  <c r="P276" i="1" s="1"/>
  <c r="Q276" i="1" s="1"/>
  <c r="R276" i="1" s="1"/>
  <c r="S276" i="1" s="1"/>
  <c r="T276" i="1" s="1"/>
  <c r="L292" i="1"/>
  <c r="M292" i="1" s="1"/>
  <c r="N292" i="1" s="1"/>
  <c r="O292" i="1" s="1"/>
  <c r="P292" i="1" s="1"/>
  <c r="Q292" i="1" s="1"/>
  <c r="R292" i="1" s="1"/>
  <c r="S292" i="1" s="1"/>
  <c r="T292" i="1" s="1"/>
  <c r="P294" i="1"/>
  <c r="Q294" i="1" s="1"/>
  <c r="R294" i="1" s="1"/>
  <c r="S294" i="1" s="1"/>
  <c r="T294" i="1" s="1"/>
  <c r="U260" i="1"/>
  <c r="AG260" i="1" s="1"/>
  <c r="J262" i="1"/>
  <c r="K262" i="1" s="1"/>
  <c r="L262" i="1" s="1"/>
  <c r="M262" i="1" s="1"/>
  <c r="N262" i="1" s="1"/>
  <c r="O262" i="1" s="1"/>
  <c r="P262" i="1" s="1"/>
  <c r="Q262" i="1" s="1"/>
  <c r="R262" i="1" s="1"/>
  <c r="S262" i="1" s="1"/>
  <c r="T262" i="1" s="1"/>
  <c r="J268" i="1"/>
  <c r="K268" i="1" s="1"/>
  <c r="L268" i="1" s="1"/>
  <c r="M268" i="1" s="1"/>
  <c r="N268" i="1" s="1"/>
  <c r="O268" i="1" s="1"/>
  <c r="P268" i="1" s="1"/>
  <c r="Q268" i="1" s="1"/>
  <c r="R268" i="1" s="1"/>
  <c r="S268" i="1" s="1"/>
  <c r="T268" i="1" s="1"/>
  <c r="L277" i="1"/>
  <c r="M277" i="1" s="1"/>
  <c r="N277" i="1" s="1"/>
  <c r="O277" i="1" s="1"/>
  <c r="P277" i="1" s="1"/>
  <c r="Q277" i="1" s="1"/>
  <c r="R277" i="1" s="1"/>
  <c r="S277" i="1" s="1"/>
  <c r="T277" i="1" s="1"/>
  <c r="AG310" i="1"/>
  <c r="L346" i="1"/>
  <c r="M346" i="1" s="1"/>
  <c r="N346" i="1" s="1"/>
  <c r="O346" i="1" s="1"/>
  <c r="P346" i="1" s="1"/>
  <c r="Q346" i="1" s="1"/>
  <c r="R346" i="1" s="1"/>
  <c r="S346" i="1" s="1"/>
  <c r="T346" i="1" s="1"/>
  <c r="U284" i="1"/>
  <c r="AG284" i="1" s="1"/>
  <c r="K318" i="1"/>
  <c r="L318" i="1" s="1"/>
  <c r="M318" i="1" s="1"/>
  <c r="N318" i="1" s="1"/>
  <c r="O318" i="1" s="1"/>
  <c r="P318" i="1" s="1"/>
  <c r="Q318" i="1" s="1"/>
  <c r="R318" i="1" s="1"/>
  <c r="S318" i="1" s="1"/>
  <c r="T318" i="1" s="1"/>
  <c r="J357" i="1"/>
  <c r="K357" i="1" s="1"/>
  <c r="L357" i="1" s="1"/>
  <c r="M357" i="1" s="1"/>
  <c r="N357" i="1" s="1"/>
  <c r="O357" i="1" s="1"/>
  <c r="P357" i="1" s="1"/>
  <c r="Q357" i="1" s="1"/>
  <c r="R357" i="1" s="1"/>
  <c r="S357" i="1" s="1"/>
  <c r="T357" i="1" s="1"/>
  <c r="U305" i="1"/>
  <c r="AG305" i="1" s="1"/>
  <c r="J351" i="1"/>
  <c r="K351" i="1" s="1"/>
  <c r="L351" i="1" s="1"/>
  <c r="M351" i="1" s="1"/>
  <c r="N351" i="1" s="1"/>
  <c r="O351" i="1" s="1"/>
  <c r="P351" i="1" s="1"/>
  <c r="Q351" i="1" s="1"/>
  <c r="R351" i="1" s="1"/>
  <c r="S351" i="1" s="1"/>
  <c r="T351" i="1" s="1"/>
  <c r="K355" i="1"/>
  <c r="L355" i="1" s="1"/>
  <c r="M355" i="1" s="1"/>
  <c r="N355" i="1" s="1"/>
  <c r="O355" i="1" s="1"/>
  <c r="P355" i="1" s="1"/>
  <c r="Q355" i="1" s="1"/>
  <c r="R355" i="1" s="1"/>
  <c r="S355" i="1" s="1"/>
  <c r="T355" i="1" s="1"/>
  <c r="U372" i="1"/>
  <c r="AG372" i="1" s="1"/>
  <c r="J301" i="1"/>
  <c r="K301" i="1" s="1"/>
  <c r="L301" i="1" s="1"/>
  <c r="M301" i="1" s="1"/>
  <c r="N301" i="1" s="1"/>
  <c r="O301" i="1" s="1"/>
  <c r="P301" i="1" s="1"/>
  <c r="Q301" i="1" s="1"/>
  <c r="R301" i="1" s="1"/>
  <c r="S301" i="1" s="1"/>
  <c r="T301" i="1" s="1"/>
  <c r="U319" i="1"/>
  <c r="AG319" i="1" s="1"/>
  <c r="M364" i="1"/>
  <c r="N364" i="1" s="1"/>
  <c r="O364" i="1" s="1"/>
  <c r="P364" i="1" s="1"/>
  <c r="Q364" i="1" s="1"/>
  <c r="R364" i="1" s="1"/>
  <c r="S364" i="1" s="1"/>
  <c r="T364" i="1" s="1"/>
  <c r="J296" i="1"/>
  <c r="K296" i="1" s="1"/>
  <c r="L296" i="1" s="1"/>
  <c r="M296" i="1" s="1"/>
  <c r="N296" i="1" s="1"/>
  <c r="O296" i="1" s="1"/>
  <c r="P296" i="1" s="1"/>
  <c r="Q296" i="1" s="1"/>
  <c r="R296" i="1" s="1"/>
  <c r="S296" i="1" s="1"/>
  <c r="T296" i="1" s="1"/>
  <c r="U239" i="1"/>
  <c r="AG239" i="1" s="1"/>
  <c r="U257" i="1"/>
  <c r="AG257" i="1" s="1"/>
  <c r="U324" i="1"/>
  <c r="AG324" i="1" s="1"/>
  <c r="K326" i="1"/>
  <c r="L326" i="1" s="1"/>
  <c r="M326" i="1" s="1"/>
  <c r="N326" i="1" s="1"/>
  <c r="O326" i="1" s="1"/>
  <c r="P326" i="1" s="1"/>
  <c r="Q326" i="1" s="1"/>
  <c r="R326" i="1" s="1"/>
  <c r="S326" i="1" s="1"/>
  <c r="T326" i="1" s="1"/>
  <c r="K330" i="1"/>
  <c r="L330" i="1" s="1"/>
  <c r="M330" i="1" s="1"/>
  <c r="N330" i="1" s="1"/>
  <c r="O330" i="1" s="1"/>
  <c r="P330" i="1" s="1"/>
  <c r="Q330" i="1" s="1"/>
  <c r="R330" i="1" s="1"/>
  <c r="S330" i="1" s="1"/>
  <c r="T330" i="1" s="1"/>
  <c r="K338" i="1"/>
  <c r="L338" i="1" s="1"/>
  <c r="M338" i="1" s="1"/>
  <c r="N338" i="1" s="1"/>
  <c r="O338" i="1" s="1"/>
  <c r="P338" i="1" s="1"/>
  <c r="Q338" i="1" s="1"/>
  <c r="R338" i="1" s="1"/>
  <c r="S338" i="1" s="1"/>
  <c r="T338" i="1" s="1"/>
  <c r="J349" i="1"/>
  <c r="K349" i="1" s="1"/>
  <c r="L349" i="1" s="1"/>
  <c r="M349" i="1" s="1"/>
  <c r="N349" i="1" s="1"/>
  <c r="O349" i="1" s="1"/>
  <c r="P349" i="1" s="1"/>
  <c r="Q349" i="1" s="1"/>
  <c r="R349" i="1" s="1"/>
  <c r="S349" i="1" s="1"/>
  <c r="T349" i="1" s="1"/>
  <c r="O354" i="1"/>
  <c r="P354" i="1" s="1"/>
  <c r="Q354" i="1" s="1"/>
  <c r="R354" i="1" s="1"/>
  <c r="S354" i="1" s="1"/>
  <c r="T354" i="1" s="1"/>
  <c r="U220" i="1"/>
  <c r="AG220" i="1" s="1"/>
  <c r="J266" i="1"/>
  <c r="K266" i="1" s="1"/>
  <c r="L266" i="1" s="1"/>
  <c r="M266" i="1" s="1"/>
  <c r="N266" i="1" s="1"/>
  <c r="O266" i="1" s="1"/>
  <c r="P266" i="1" s="1"/>
  <c r="Q266" i="1" s="1"/>
  <c r="R266" i="1" s="1"/>
  <c r="S266" i="1" s="1"/>
  <c r="T266" i="1" s="1"/>
  <c r="U270" i="1"/>
  <c r="AG270" i="1" s="1"/>
  <c r="U273" i="1"/>
  <c r="AG273" i="1" s="1"/>
  <c r="U289" i="1"/>
  <c r="AG289" i="1" s="1"/>
  <c r="U331" i="1"/>
  <c r="AG331" i="1" s="1"/>
  <c r="K378" i="1"/>
  <c r="L378" i="1" s="1"/>
  <c r="M378" i="1" s="1"/>
  <c r="N378" i="1" s="1"/>
  <c r="O378" i="1" s="1"/>
  <c r="P378" i="1" s="1"/>
  <c r="Q378" i="1" s="1"/>
  <c r="R378" i="1" s="1"/>
  <c r="S378" i="1" s="1"/>
  <c r="T378" i="1" s="1"/>
  <c r="J360" i="1"/>
  <c r="K360" i="1" s="1"/>
  <c r="L360" i="1" s="1"/>
  <c r="M360" i="1" s="1"/>
  <c r="N360" i="1" s="1"/>
  <c r="O360" i="1" s="1"/>
  <c r="P360" i="1" s="1"/>
  <c r="Q360" i="1" s="1"/>
  <c r="R360" i="1" s="1"/>
  <c r="S360" i="1" s="1"/>
  <c r="T360" i="1" s="1"/>
  <c r="J320" i="1"/>
  <c r="K320" i="1" s="1"/>
  <c r="L320" i="1" s="1"/>
  <c r="M320" i="1" s="1"/>
  <c r="N320" i="1" s="1"/>
  <c r="O320" i="1" s="1"/>
  <c r="P320" i="1" s="1"/>
  <c r="Q320" i="1" s="1"/>
  <c r="R320" i="1" s="1"/>
  <c r="S320" i="1" s="1"/>
  <c r="T320" i="1" s="1"/>
  <c r="K350" i="1"/>
  <c r="L350" i="1" s="1"/>
  <c r="M350" i="1" s="1"/>
  <c r="N350" i="1" s="1"/>
  <c r="O350" i="1" s="1"/>
  <c r="P350" i="1" s="1"/>
  <c r="Q350" i="1" s="1"/>
  <c r="R350" i="1" s="1"/>
  <c r="S350" i="1" s="1"/>
  <c r="T350" i="1" s="1"/>
  <c r="U308" i="1"/>
  <c r="AG308" i="1" s="1"/>
  <c r="K348" i="1"/>
  <c r="K379" i="1"/>
  <c r="L379" i="1" s="1"/>
  <c r="M379" i="1" s="1"/>
  <c r="N379" i="1" s="1"/>
  <c r="O379" i="1" s="1"/>
  <c r="P379" i="1" s="1"/>
  <c r="Q379" i="1" s="1"/>
  <c r="R379" i="1" s="1"/>
  <c r="S379" i="1" s="1"/>
  <c r="T379" i="1" s="1"/>
  <c r="AG407" i="1"/>
  <c r="J286" i="1"/>
  <c r="K286" i="1" s="1"/>
  <c r="L286" i="1" s="1"/>
  <c r="M286" i="1" s="1"/>
  <c r="N286" i="1" s="1"/>
  <c r="O286" i="1" s="1"/>
  <c r="P286" i="1" s="1"/>
  <c r="Q286" i="1" s="1"/>
  <c r="R286" i="1" s="1"/>
  <c r="S286" i="1" s="1"/>
  <c r="T286" i="1" s="1"/>
  <c r="U293" i="1"/>
  <c r="AG293" i="1" s="1"/>
  <c r="K347" i="1"/>
  <c r="J282" i="1"/>
  <c r="K282" i="1" s="1"/>
  <c r="L282" i="1" s="1"/>
  <c r="M282" i="1" s="1"/>
  <c r="N282" i="1" s="1"/>
  <c r="O282" i="1" s="1"/>
  <c r="P282" i="1" s="1"/>
  <c r="Q282" i="1" s="1"/>
  <c r="R282" i="1" s="1"/>
  <c r="S282" i="1" s="1"/>
  <c r="T282" i="1" s="1"/>
  <c r="J306" i="1"/>
  <c r="K306" i="1" s="1"/>
  <c r="L306" i="1" s="1"/>
  <c r="M306" i="1" s="1"/>
  <c r="N306" i="1" s="1"/>
  <c r="O306" i="1" s="1"/>
  <c r="P306" i="1" s="1"/>
  <c r="Q306" i="1" s="1"/>
  <c r="R306" i="1" s="1"/>
  <c r="S306" i="1" s="1"/>
  <c r="T306" i="1" s="1"/>
  <c r="K342" i="1"/>
  <c r="L342" i="1" s="1"/>
  <c r="M342" i="1" s="1"/>
  <c r="N342" i="1" s="1"/>
  <c r="O342" i="1" s="1"/>
  <c r="P342" i="1" s="1"/>
  <c r="Q342" i="1" s="1"/>
  <c r="R342" i="1" s="1"/>
  <c r="S342" i="1" s="1"/>
  <c r="T342" i="1" s="1"/>
  <c r="U375" i="1"/>
  <c r="AG375" i="1" s="1"/>
  <c r="J322" i="1"/>
  <c r="K322" i="1" s="1"/>
  <c r="L322" i="1" s="1"/>
  <c r="M322" i="1" s="1"/>
  <c r="N322" i="1" s="1"/>
  <c r="O322" i="1" s="1"/>
  <c r="P322" i="1" s="1"/>
  <c r="Q322" i="1" s="1"/>
  <c r="R322" i="1" s="1"/>
  <c r="S322" i="1" s="1"/>
  <c r="T322" i="1" s="1"/>
  <c r="U333" i="1"/>
  <c r="AG333" i="1" s="1"/>
  <c r="U341" i="1"/>
  <c r="AG341" i="1" s="1"/>
  <c r="J356" i="1"/>
  <c r="K356" i="1" s="1"/>
  <c r="L356" i="1" s="1"/>
  <c r="M356" i="1" s="1"/>
  <c r="N356" i="1" s="1"/>
  <c r="O356" i="1" s="1"/>
  <c r="P356" i="1" s="1"/>
  <c r="Q356" i="1" s="1"/>
  <c r="R356" i="1" s="1"/>
  <c r="S356" i="1" s="1"/>
  <c r="T356" i="1" s="1"/>
  <c r="J304" i="1"/>
  <c r="K304" i="1" s="1"/>
  <c r="L304" i="1" s="1"/>
  <c r="M304" i="1" s="1"/>
  <c r="N304" i="1" s="1"/>
  <c r="O304" i="1" s="1"/>
  <c r="P304" i="1" s="1"/>
  <c r="Q304" i="1" s="1"/>
  <c r="R304" i="1" s="1"/>
  <c r="S304" i="1" s="1"/>
  <c r="T304" i="1" s="1"/>
  <c r="U321" i="1"/>
  <c r="AG321" i="1" s="1"/>
  <c r="U328" i="1"/>
  <c r="AG328" i="1" s="1"/>
  <c r="K336" i="1"/>
  <c r="L336" i="1" s="1"/>
  <c r="M336" i="1" s="1"/>
  <c r="N336" i="1" s="1"/>
  <c r="O336" i="1" s="1"/>
  <c r="P336" i="1" s="1"/>
  <c r="Q336" i="1" s="1"/>
  <c r="R336" i="1" s="1"/>
  <c r="S336" i="1" s="1"/>
  <c r="T336" i="1" s="1"/>
  <c r="K344" i="1"/>
  <c r="L344" i="1" s="1"/>
  <c r="M344" i="1" s="1"/>
  <c r="N344" i="1" s="1"/>
  <c r="O344" i="1" s="1"/>
  <c r="P344" i="1" s="1"/>
  <c r="Q344" i="1" s="1"/>
  <c r="R344" i="1" s="1"/>
  <c r="S344" i="1" s="1"/>
  <c r="T344" i="1" s="1"/>
  <c r="U363" i="1"/>
  <c r="AG363" i="1" s="1"/>
  <c r="U312" i="1"/>
  <c r="AG312" i="1" s="1"/>
  <c r="L369" i="1"/>
  <c r="M369" i="1" s="1"/>
  <c r="N369" i="1" s="1"/>
  <c r="O369" i="1" s="1"/>
  <c r="P369" i="1" s="1"/>
  <c r="Q369" i="1" s="1"/>
  <c r="R369" i="1" s="1"/>
  <c r="S369" i="1" s="1"/>
  <c r="T369" i="1" s="1"/>
  <c r="J376" i="1"/>
  <c r="K376" i="1" s="1"/>
  <c r="L376" i="1" s="1"/>
  <c r="M376" i="1" s="1"/>
  <c r="N376" i="1" s="1"/>
  <c r="O376" i="1" s="1"/>
  <c r="P376" i="1" s="1"/>
  <c r="Q376" i="1" s="1"/>
  <c r="R376" i="1" s="1"/>
  <c r="S376" i="1" s="1"/>
  <c r="T376" i="1" s="1"/>
  <c r="U371" i="1"/>
  <c r="AG371" i="1" s="1"/>
  <c r="J334" i="1"/>
  <c r="K334" i="1" s="1"/>
  <c r="L334" i="1" s="1"/>
  <c r="M334" i="1" s="1"/>
  <c r="N334" i="1" s="1"/>
  <c r="O334" i="1" s="1"/>
  <c r="P334" i="1" s="1"/>
  <c r="Q334" i="1" s="1"/>
  <c r="R334" i="1" s="1"/>
  <c r="S334" i="1" s="1"/>
  <c r="T334" i="1" s="1"/>
  <c r="U362" i="1"/>
  <c r="AG362" i="1" s="1"/>
  <c r="J377" i="1"/>
  <c r="K377" i="1" s="1"/>
  <c r="L377" i="1" s="1"/>
  <c r="M377" i="1" s="1"/>
  <c r="N377" i="1" s="1"/>
  <c r="O377" i="1" s="1"/>
  <c r="P377" i="1" s="1"/>
  <c r="Q377" i="1" s="1"/>
  <c r="R377" i="1" s="1"/>
  <c r="S377" i="1" s="1"/>
  <c r="T377" i="1" s="1"/>
  <c r="J381" i="1"/>
  <c r="K381" i="1" s="1"/>
  <c r="L381" i="1" s="1"/>
  <c r="M381" i="1" s="1"/>
  <c r="N381" i="1" s="1"/>
  <c r="O381" i="1" s="1"/>
  <c r="P381" i="1" s="1"/>
  <c r="Q381" i="1" s="1"/>
  <c r="R381" i="1" s="1"/>
  <c r="S381" i="1" s="1"/>
  <c r="T381" i="1" s="1"/>
  <c r="AG395" i="1"/>
  <c r="AG421" i="1"/>
  <c r="U309" i="1"/>
  <c r="AG309" i="1" s="1"/>
  <c r="U325" i="1"/>
  <c r="AG325" i="1" s="1"/>
  <c r="J332" i="1"/>
  <c r="K332" i="1" s="1"/>
  <c r="L332" i="1" s="1"/>
  <c r="M332" i="1" s="1"/>
  <c r="N332" i="1" s="1"/>
  <c r="O332" i="1" s="1"/>
  <c r="P332" i="1" s="1"/>
  <c r="Q332" i="1" s="1"/>
  <c r="R332" i="1" s="1"/>
  <c r="S332" i="1" s="1"/>
  <c r="T332" i="1" s="1"/>
  <c r="U374" i="1"/>
  <c r="AG374" i="1" s="1"/>
  <c r="U337" i="1"/>
  <c r="AG337" i="1" s="1"/>
  <c r="AG406" i="1"/>
  <c r="AG427" i="1"/>
  <c r="U307" i="1"/>
  <c r="AG307" i="1" s="1"/>
  <c r="U323" i="1"/>
  <c r="AG323" i="1" s="1"/>
  <c r="K353" i="1"/>
  <c r="L353" i="1" s="1"/>
  <c r="M353" i="1" s="1"/>
  <c r="N353" i="1" s="1"/>
  <c r="O353" i="1" s="1"/>
  <c r="P353" i="1" s="1"/>
  <c r="Q353" i="1" s="1"/>
  <c r="R353" i="1" s="1"/>
  <c r="S353" i="1" s="1"/>
  <c r="T353" i="1" s="1"/>
  <c r="K366" i="1"/>
  <c r="L366" i="1" s="1"/>
  <c r="M366" i="1" s="1"/>
  <c r="N366" i="1" s="1"/>
  <c r="O366" i="1" s="1"/>
  <c r="P366" i="1" s="1"/>
  <c r="Q366" i="1" s="1"/>
  <c r="R366" i="1" s="1"/>
  <c r="S366" i="1" s="1"/>
  <c r="T366" i="1" s="1"/>
  <c r="AG386" i="1"/>
  <c r="AG504" i="1"/>
  <c r="U345" i="1"/>
  <c r="AG345" i="1" s="1"/>
  <c r="U358" i="1"/>
  <c r="AG358" i="1" s="1"/>
  <c r="AG412" i="1"/>
  <c r="AG428" i="1"/>
  <c r="AG441" i="1"/>
  <c r="AG443" i="1"/>
  <c r="AG473" i="1"/>
  <c r="U303" i="1"/>
  <c r="AG303" i="1" s="1"/>
  <c r="U313" i="1"/>
  <c r="AG313" i="1" s="1"/>
  <c r="U329" i="1"/>
  <c r="AG329" i="1" s="1"/>
  <c r="U367" i="1"/>
  <c r="AG367" i="1" s="1"/>
  <c r="K380" i="1"/>
  <c r="L380" i="1" s="1"/>
  <c r="M380" i="1" s="1"/>
  <c r="N380" i="1" s="1"/>
  <c r="O380" i="1" s="1"/>
  <c r="P380" i="1" s="1"/>
  <c r="Q380" i="1" s="1"/>
  <c r="R380" i="1" s="1"/>
  <c r="S380" i="1" s="1"/>
  <c r="T380" i="1" s="1"/>
  <c r="AG492" i="1"/>
  <c r="U311" i="1"/>
  <c r="AG311" i="1" s="1"/>
  <c r="U327" i="1"/>
  <c r="AG327" i="1" s="1"/>
  <c r="AG410" i="1"/>
  <c r="U339" i="1"/>
  <c r="AG339" i="1" s="1"/>
  <c r="U352" i="1"/>
  <c r="AG352" i="1" s="1"/>
  <c r="AG463" i="1"/>
  <c r="J359" i="1"/>
  <c r="K359" i="1" s="1"/>
  <c r="L359" i="1" s="1"/>
  <c r="M359" i="1" s="1"/>
  <c r="N359" i="1" s="1"/>
  <c r="O359" i="1" s="1"/>
  <c r="P359" i="1" s="1"/>
  <c r="Q359" i="1" s="1"/>
  <c r="R359" i="1" s="1"/>
  <c r="S359" i="1" s="1"/>
  <c r="T359" i="1" s="1"/>
  <c r="AG413" i="1"/>
  <c r="AG456" i="1"/>
  <c r="AG477" i="1"/>
  <c r="AG434" i="1"/>
  <c r="AG660" i="1"/>
  <c r="AG600" i="1"/>
  <c r="AG644" i="1"/>
  <c r="AG760" i="1"/>
  <c r="AG627" i="1"/>
  <c r="AG588" i="1"/>
  <c r="AG606" i="1"/>
  <c r="AG695" i="1"/>
  <c r="AG635" i="1"/>
  <c r="AG651" i="1"/>
  <c r="AG659" i="1"/>
  <c r="U373" i="1"/>
  <c r="AG373" i="1" s="1"/>
  <c r="AG394" i="1"/>
  <c r="AG438" i="1"/>
  <c r="AG453" i="1"/>
  <c r="AG482" i="1"/>
  <c r="AG498" i="1"/>
  <c r="AG596" i="1"/>
  <c r="AG672" i="1"/>
  <c r="AG690" i="1"/>
  <c r="AG780" i="1"/>
  <c r="AG549" i="1"/>
  <c r="AG564" i="1"/>
  <c r="AG597" i="1"/>
  <c r="AG657" i="1"/>
  <c r="AG748" i="1"/>
  <c r="AG762" i="1"/>
  <c r="AG562" i="1"/>
  <c r="AG624" i="1"/>
  <c r="AG647" i="1"/>
  <c r="AG717" i="1"/>
  <c r="AG786" i="1"/>
  <c r="AG457" i="1"/>
  <c r="AG480" i="1"/>
  <c r="AG502" i="1"/>
  <c r="AG575" i="1"/>
  <c r="AG599" i="1"/>
  <c r="AG696" i="1"/>
  <c r="AG736" i="1"/>
  <c r="AG707" i="1"/>
  <c r="AG729" i="1"/>
  <c r="AG741" i="1"/>
  <c r="AG753" i="1"/>
  <c r="AG765" i="1"/>
  <c r="AG773" i="1"/>
  <c r="AG815" i="1"/>
  <c r="AG573" i="1"/>
  <c r="AG795" i="1"/>
  <c r="AG789" i="1"/>
  <c r="AG806" i="1"/>
  <c r="AG867" i="1"/>
  <c r="AG822" i="1"/>
  <c r="AG831" i="1"/>
  <c r="AG803" i="1"/>
  <c r="AG791" i="1"/>
  <c r="AG820" i="1"/>
  <c r="U861" i="1"/>
  <c r="AG861" i="1" s="1"/>
  <c r="U192" i="1" l="1"/>
  <c r="AG192" i="1" s="1"/>
  <c r="U365" i="1"/>
  <c r="AG365" i="1" s="1"/>
  <c r="U233" i="1"/>
  <c r="AG233" i="1" s="1"/>
  <c r="U346" i="1"/>
  <c r="AG346" i="1" s="1"/>
  <c r="U203" i="1"/>
  <c r="AG203" i="1" s="1"/>
  <c r="U236" i="1"/>
  <c r="AG236" i="1" s="1"/>
  <c r="U168" i="1"/>
  <c r="AG168" i="1" s="1"/>
  <c r="U165" i="1"/>
  <c r="AG165" i="1" s="1"/>
  <c r="U155" i="1"/>
  <c r="AG155" i="1" s="1"/>
  <c r="U101" i="1"/>
  <c r="AG101" i="1" s="1"/>
  <c r="U111" i="1"/>
  <c r="AG111" i="1" s="1"/>
  <c r="U85" i="1"/>
  <c r="AG85" i="1" s="1"/>
  <c r="U25" i="1"/>
  <c r="AG25" i="1" s="1"/>
  <c r="U354" i="1"/>
  <c r="AG354" i="1" s="1"/>
  <c r="U294" i="1"/>
  <c r="AG294" i="1" s="1"/>
  <c r="U336" i="1"/>
  <c r="AG336" i="1" s="1"/>
  <c r="U283" i="1"/>
  <c r="AG283" i="1" s="1"/>
  <c r="U254" i="1"/>
  <c r="AG254" i="1" s="1"/>
  <c r="U153" i="1"/>
  <c r="AG153" i="1" s="1"/>
  <c r="U256" i="1"/>
  <c r="AG256" i="1" s="1"/>
  <c r="U6" i="1"/>
  <c r="AG6" i="1" s="1"/>
  <c r="U322" i="1"/>
  <c r="AG322" i="1" s="1"/>
  <c r="U190" i="1"/>
  <c r="AG190" i="1" s="1"/>
  <c r="U104" i="1"/>
  <c r="AG104" i="1" s="1"/>
  <c r="U48" i="1"/>
  <c r="AG48" i="1" s="1"/>
  <c r="U318" i="1"/>
  <c r="AG318" i="1" s="1"/>
  <c r="U377" i="1"/>
  <c r="AG377" i="1" s="1"/>
  <c r="U248" i="1"/>
  <c r="AG248" i="1" s="1"/>
  <c r="U356" i="1"/>
  <c r="AG356" i="1" s="1"/>
  <c r="U253" i="1"/>
  <c r="AG253" i="1" s="1"/>
  <c r="U188" i="1"/>
  <c r="AG188" i="1" s="1"/>
  <c r="U31" i="1"/>
  <c r="AG31" i="1" s="1"/>
  <c r="U201" i="1"/>
  <c r="AG201" i="1" s="1"/>
  <c r="U252" i="1"/>
  <c r="AG252" i="1" s="1"/>
  <c r="U302" i="1"/>
  <c r="AG302" i="1" s="1"/>
  <c r="U247" i="1"/>
  <c r="AG247" i="1" s="1"/>
  <c r="U37" i="1"/>
  <c r="AG37" i="1" s="1"/>
  <c r="U364" i="1"/>
  <c r="AG364" i="1" s="1"/>
  <c r="U60" i="1"/>
  <c r="AG60" i="1" s="1"/>
  <c r="U360" i="1"/>
  <c r="AG360" i="1" s="1"/>
  <c r="U332" i="1"/>
  <c r="AG332" i="1" s="1"/>
  <c r="U246" i="1"/>
  <c r="AG246" i="1" s="1"/>
  <c r="U334" i="1"/>
  <c r="AG334" i="1" s="1"/>
  <c r="U288" i="1"/>
  <c r="AG288" i="1" s="1"/>
  <c r="U267" i="1"/>
  <c r="AG267" i="1" s="1"/>
  <c r="U221" i="1"/>
  <c r="AG221" i="1" s="1"/>
  <c r="U84" i="1"/>
  <c r="AG84" i="1" s="1"/>
  <c r="U75" i="1"/>
  <c r="AG75" i="1" s="1"/>
  <c r="U46" i="1"/>
  <c r="AG46" i="1" s="1"/>
  <c r="U340" i="1"/>
  <c r="AG340" i="1" s="1"/>
  <c r="U95" i="1"/>
  <c r="AG95" i="1" s="1"/>
  <c r="U112" i="1"/>
  <c r="AG112" i="1" s="1"/>
  <c r="U49" i="1"/>
  <c r="AG49" i="1" s="1"/>
  <c r="U357" i="1"/>
  <c r="AG357" i="1" s="1"/>
  <c r="U290" i="1"/>
  <c r="AG290" i="1" s="1"/>
  <c r="U19" i="1"/>
  <c r="AG19" i="1" s="1"/>
  <c r="U359" i="1"/>
  <c r="AG359" i="1" s="1"/>
  <c r="U304" i="1"/>
  <c r="AG304" i="1" s="1"/>
  <c r="U282" i="1"/>
  <c r="AG282" i="1" s="1"/>
  <c r="U266" i="1"/>
  <c r="AG266" i="1" s="1"/>
  <c r="U326" i="1"/>
  <c r="AG326" i="1" s="1"/>
  <c r="U281" i="1"/>
  <c r="AG281" i="1" s="1"/>
  <c r="U172" i="1"/>
  <c r="AG172" i="1" s="1"/>
  <c r="U173" i="1"/>
  <c r="AG173" i="1" s="1"/>
  <c r="U79" i="1"/>
  <c r="AG79" i="1" s="1"/>
  <c r="U77" i="1"/>
  <c r="AG77" i="1" s="1"/>
  <c r="U263" i="1"/>
  <c r="AG263" i="1" s="1"/>
  <c r="U380" i="1"/>
  <c r="AG380" i="1" s="1"/>
  <c r="U338" i="1"/>
  <c r="AG338" i="1" s="1"/>
  <c r="U219" i="1"/>
  <c r="AG219" i="1" s="1"/>
  <c r="U87" i="1"/>
  <c r="AG87" i="1" s="1"/>
  <c r="U81" i="1"/>
  <c r="AG81" i="1" s="1"/>
  <c r="U361" i="1"/>
  <c r="AG361" i="1" s="1"/>
  <c r="U355" i="1"/>
  <c r="AG355" i="1" s="1"/>
  <c r="U264" i="1"/>
  <c r="AG264" i="1" s="1"/>
  <c r="U243" i="1"/>
  <c r="AG243" i="1" s="1"/>
  <c r="U205" i="1"/>
  <c r="AG205" i="1" s="1"/>
  <c r="U107" i="1"/>
  <c r="AG107" i="1" s="1"/>
  <c r="U58" i="1"/>
  <c r="AG58" i="1" s="1"/>
  <c r="U350" i="1"/>
  <c r="AG350" i="1" s="1"/>
  <c r="U258" i="1"/>
  <c r="AG258" i="1" s="1"/>
  <c r="U297" i="1"/>
  <c r="AG297" i="1" s="1"/>
  <c r="U171" i="1"/>
  <c r="AG171" i="1" s="1"/>
  <c r="U70" i="1"/>
  <c r="AG70" i="1" s="1"/>
  <c r="U105" i="1"/>
  <c r="AG105" i="1" s="1"/>
  <c r="U88" i="1"/>
  <c r="AG88" i="1" s="1"/>
  <c r="U320" i="1"/>
  <c r="AG320" i="1" s="1"/>
  <c r="U292" i="1"/>
  <c r="AG292" i="1" s="1"/>
  <c r="U271" i="1"/>
  <c r="AG271" i="1" s="1"/>
  <c r="U368" i="1"/>
  <c r="AG368" i="1" s="1"/>
  <c r="U274" i="1"/>
  <c r="AG274" i="1" s="1"/>
  <c r="U212" i="1"/>
  <c r="AG212" i="1" s="1"/>
  <c r="U187" i="1"/>
  <c r="AG187" i="1" s="1"/>
  <c r="U186" i="1"/>
  <c r="AG186" i="1" s="1"/>
  <c r="U175" i="1"/>
  <c r="AG175" i="1" s="1"/>
  <c r="U89" i="1"/>
  <c r="AG89" i="1" s="1"/>
  <c r="U73" i="1"/>
  <c r="AG73" i="1" s="1"/>
  <c r="U76" i="1"/>
  <c r="AG76" i="1" s="1"/>
  <c r="U381" i="1"/>
  <c r="AG381" i="1" s="1"/>
  <c r="U342" i="1"/>
  <c r="AG342" i="1" s="1"/>
  <c r="U209" i="1"/>
  <c r="AG209" i="1" s="1"/>
  <c r="U224" i="1"/>
  <c r="AG224" i="1" s="1"/>
  <c r="U106" i="1"/>
  <c r="AG106" i="1" s="1"/>
  <c r="U353" i="1"/>
  <c r="AG353" i="1" s="1"/>
  <c r="L347" i="1"/>
  <c r="R347" i="1"/>
  <c r="S347" i="1" s="1"/>
  <c r="T347" i="1" s="1"/>
  <c r="U277" i="1"/>
  <c r="AG277" i="1" s="1"/>
  <c r="U202" i="1"/>
  <c r="AG202" i="1" s="1"/>
  <c r="U179" i="1"/>
  <c r="AG179" i="1" s="1"/>
  <c r="U196" i="1"/>
  <c r="AG196" i="1" s="1"/>
  <c r="U114" i="1"/>
  <c r="AG114" i="1" s="1"/>
  <c r="U366" i="1"/>
  <c r="AG366" i="1" s="1"/>
  <c r="U379" i="1"/>
  <c r="AG379" i="1" s="1"/>
  <c r="U349" i="1"/>
  <c r="AG349" i="1" s="1"/>
  <c r="U268" i="1"/>
  <c r="AG268" i="1" s="1"/>
  <c r="U276" i="1"/>
  <c r="AG276" i="1" s="1"/>
  <c r="U28" i="1"/>
  <c r="AG28" i="1" s="1"/>
  <c r="U306" i="1"/>
  <c r="AG306" i="1" s="1"/>
  <c r="U296" i="1"/>
  <c r="AG296" i="1" s="1"/>
  <c r="U218" i="1"/>
  <c r="AG218" i="1" s="1"/>
  <c r="U261" i="1"/>
  <c r="AG261" i="1" s="1"/>
  <c r="U174" i="1"/>
  <c r="AG174" i="1" s="1"/>
  <c r="U86" i="1"/>
  <c r="AG86" i="1" s="1"/>
  <c r="M5" i="1"/>
  <c r="U94" i="1"/>
  <c r="AG94" i="1" s="1"/>
  <c r="U100" i="1"/>
  <c r="AG100" i="1" s="1"/>
  <c r="U47" i="1"/>
  <c r="AG47" i="1" s="1"/>
  <c r="K2" i="1"/>
  <c r="U99" i="1"/>
  <c r="AG99" i="1" s="1"/>
  <c r="U29" i="1"/>
  <c r="AG29" i="1" s="1"/>
  <c r="U83" i="1"/>
  <c r="AG83" i="1" s="1"/>
  <c r="J2" i="1"/>
  <c r="U344" i="1"/>
  <c r="AG344" i="1" s="1"/>
  <c r="U149" i="1"/>
  <c r="AG149" i="1" s="1"/>
  <c r="U55" i="1"/>
  <c r="AG55" i="1" s="1"/>
  <c r="U39" i="1"/>
  <c r="AG39" i="1" s="1"/>
  <c r="U215" i="1"/>
  <c r="AG215" i="1" s="1"/>
  <c r="U330" i="1"/>
  <c r="AG330" i="1" s="1"/>
  <c r="U167" i="1"/>
  <c r="AG167" i="1" s="1"/>
  <c r="U96" i="1"/>
  <c r="AG96" i="1" s="1"/>
  <c r="U30" i="1"/>
  <c r="AG30" i="1" s="1"/>
  <c r="U141" i="1"/>
  <c r="AG141" i="1" s="1"/>
  <c r="U376" i="1"/>
  <c r="AG376" i="1" s="1"/>
  <c r="L348" i="1"/>
  <c r="R348" i="1"/>
  <c r="S348" i="1" s="1"/>
  <c r="T348" i="1" s="1"/>
  <c r="U351" i="1"/>
  <c r="AG351" i="1" s="1"/>
  <c r="U278" i="1"/>
  <c r="AG278" i="1" s="1"/>
  <c r="U235" i="1"/>
  <c r="AG235" i="1" s="1"/>
  <c r="U113" i="1"/>
  <c r="AG113" i="1" s="1"/>
  <c r="U82" i="1"/>
  <c r="AG82" i="1" s="1"/>
  <c r="U64" i="1"/>
  <c r="AG64" i="1" s="1"/>
  <c r="U66" i="1"/>
  <c r="AG66" i="1" s="1"/>
  <c r="U378" i="1"/>
  <c r="AG378" i="1" s="1"/>
  <c r="U189" i="1"/>
  <c r="AG189" i="1" s="1"/>
  <c r="U245" i="1"/>
  <c r="AG245" i="1" s="1"/>
  <c r="U56" i="1"/>
  <c r="AG56" i="1" s="1"/>
  <c r="U262" i="1"/>
  <c r="AG262" i="1" s="1"/>
  <c r="U369" i="1"/>
  <c r="AG369" i="1" s="1"/>
  <c r="U286" i="1"/>
  <c r="AG286" i="1" s="1"/>
  <c r="U301" i="1"/>
  <c r="AG301" i="1" s="1"/>
  <c r="U272" i="1"/>
  <c r="AG272" i="1" s="1"/>
  <c r="U229" i="1"/>
  <c r="AG229" i="1" s="1"/>
  <c r="U280" i="1"/>
  <c r="AG280" i="1" s="1"/>
  <c r="U166" i="1"/>
  <c r="AG166" i="1" s="1"/>
  <c r="U226" i="1"/>
  <c r="AG226" i="1" s="1"/>
  <c r="U194" i="1"/>
  <c r="AG194" i="1" s="1"/>
  <c r="U177" i="1"/>
  <c r="AG177" i="1" s="1"/>
  <c r="U143" i="1"/>
  <c r="AG143" i="1" s="1"/>
  <c r="U33" i="1"/>
  <c r="AG33" i="1" s="1"/>
  <c r="U78" i="1"/>
  <c r="AG78" i="1" s="1"/>
  <c r="U91" i="1"/>
  <c r="AG91" i="1" s="1"/>
  <c r="U116" i="1"/>
  <c r="AG116" i="1" s="1"/>
  <c r="U38" i="1"/>
  <c r="AG38" i="1" s="1"/>
  <c r="U34" i="1"/>
  <c r="AG34" i="1" s="1"/>
  <c r="L2" i="1" l="1"/>
  <c r="N5" i="1"/>
  <c r="M2" i="1"/>
  <c r="U348" i="1"/>
  <c r="AG348" i="1" s="1"/>
  <c r="U347" i="1"/>
  <c r="AG347" i="1" s="1"/>
  <c r="O5" i="1" l="1"/>
  <c r="N2" i="1"/>
  <c r="P5" i="1" l="1"/>
  <c r="O2" i="1"/>
  <c r="P2" i="1" l="1"/>
  <c r="Q5" i="1"/>
  <c r="Q2" i="1" l="1"/>
  <c r="R5" i="1"/>
  <c r="R2" i="1" l="1"/>
  <c r="S5" i="1"/>
  <c r="S2" i="1" l="1"/>
  <c r="T5" i="1"/>
  <c r="T2" i="1" l="1"/>
  <c r="U5" i="1"/>
  <c r="U2" i="1" l="1"/>
  <c r="AG5" i="1"/>
  <c r="AG3" i="1" s="1"/>
</calcChain>
</file>

<file path=xl/sharedStrings.xml><?xml version="1.0" encoding="utf-8"?>
<sst xmlns="http://schemas.openxmlformats.org/spreadsheetml/2006/main" count="7662" uniqueCount="839">
  <si>
    <t>BUDGET 2026 - BASE DE CUSTOS E DESPESAS</t>
  </si>
  <si>
    <t>Empresa</t>
  </si>
  <si>
    <t>Conta Contábil</t>
  </si>
  <si>
    <t>Descrição</t>
  </si>
  <si>
    <t>Favorecido</t>
  </si>
  <si>
    <t>Centro de Custos</t>
  </si>
  <si>
    <t>Filial</t>
  </si>
  <si>
    <t>Responsavel</t>
  </si>
  <si>
    <t>Y</t>
  </si>
  <si>
    <t>Valor do contrato</t>
  </si>
  <si>
    <t>Término</t>
  </si>
  <si>
    <t>Mês reajuste</t>
  </si>
  <si>
    <t>Índice reajuste</t>
  </si>
  <si>
    <t>Tipo Contrato</t>
  </si>
  <si>
    <t>Índice</t>
  </si>
  <si>
    <t>N</t>
  </si>
  <si>
    <t>CHAVE</t>
  </si>
  <si>
    <t>DRE Despesas Fixas</t>
  </si>
  <si>
    <t>Cred PIS/COFINS</t>
  </si>
  <si>
    <t>Valor</t>
  </si>
  <si>
    <t>FARMA</t>
  </si>
  <si>
    <t>Recursos Humanos</t>
  </si>
  <si>
    <t>ITAJAI</t>
  </si>
  <si>
    <t>ESG-S</t>
  </si>
  <si>
    <t>SAC</t>
  </si>
  <si>
    <t>Torre de Controle</t>
  </si>
  <si>
    <t>Projetos</t>
  </si>
  <si>
    <t>RIO DE JANEIRO</t>
  </si>
  <si>
    <t>INTEC</t>
  </si>
  <si>
    <t>BRASILIA</t>
  </si>
  <si>
    <t>CONTAGEM</t>
  </si>
  <si>
    <t>GOIANIA</t>
  </si>
  <si>
    <t>ITAPEVI</t>
  </si>
  <si>
    <t>SERRA</t>
  </si>
  <si>
    <t>Presidência</t>
  </si>
  <si>
    <t>NOP</t>
  </si>
  <si>
    <t>Operação Armazenagem</t>
  </si>
  <si>
    <t>Operação Transporte</t>
  </si>
  <si>
    <t>ALUGUEIS DE EQUIPAMENTOS</t>
  </si>
  <si>
    <t xml:space="preserve">LOCAÇÃO DATA LOGGERS </t>
  </si>
  <si>
    <t>SHIELD EQUIPAMENTOS DE TECNOLOGIA INDUSTRIA E COMERCIO DE EM</t>
  </si>
  <si>
    <t>Qualidade</t>
  </si>
  <si>
    <t>BRUNA SILVA</t>
  </si>
  <si>
    <t>Novembro</t>
  </si>
  <si>
    <t>IPCA</t>
  </si>
  <si>
    <t>Contrato Fixo</t>
  </si>
  <si>
    <t>MANUTEN. SISTEMAS  INFORMATICA</t>
  </si>
  <si>
    <t>ATUALIZAÇÃO DE PÁGINA INTERNET ( projeto)</t>
  </si>
  <si>
    <t>WEFIT TECNOLOGIA ESTRATEGICA LTDA</t>
  </si>
  <si>
    <t>Tecnologia da Informação</t>
  </si>
  <si>
    <t>GILSON GIANSO</t>
  </si>
  <si>
    <t>Janeiro</t>
  </si>
  <si>
    <t>Gerenciamento de Riscos</t>
  </si>
  <si>
    <t>ANDREZA BICHLER</t>
  </si>
  <si>
    <t>Outubro</t>
  </si>
  <si>
    <t>IGP-M</t>
  </si>
  <si>
    <t>Contrato Variável</t>
  </si>
  <si>
    <t>AUDITORIA/CONSULTORIA</t>
  </si>
  <si>
    <t>GESTÃO DE MERCADO LIVRE DE ENERGIA</t>
  </si>
  <si>
    <t>BIOENERGIA BARRA LTDA - RAÍZEN POWER</t>
  </si>
  <si>
    <t>Facilities</t>
  </si>
  <si>
    <t>HUGO FERNANDES</t>
  </si>
  <si>
    <t>Maio</t>
  </si>
  <si>
    <t>Manutenção de Frota</t>
  </si>
  <si>
    <t>GABRIEL DUARTE</t>
  </si>
  <si>
    <t>Agosto</t>
  </si>
  <si>
    <t>MATERIAL PROCES. DADOS</t>
  </si>
  <si>
    <t>APLICATIVOS GESTÃO DE EQUIPAMENTOS E PROCESSOS DE GR</t>
  </si>
  <si>
    <t>A DEFINIR</t>
  </si>
  <si>
    <t>ASSESSORIA E SERVICO INFORMATICA</t>
  </si>
  <si>
    <t>SUPORTE SISTEMA INFORMA - MIGRAR MODULO INFORMA</t>
  </si>
  <si>
    <t>SKAC PROCESSAMENTO DE DADOS LTDA - ME</t>
  </si>
  <si>
    <t>MANUT. EQUP. INFORMATICA</t>
  </si>
  <si>
    <t>TROCA PARQUE SWITCH ANTIGOS</t>
  </si>
  <si>
    <t>TROCA COLETORES DE DADOS</t>
  </si>
  <si>
    <t>LEASING DESKTOP-NOTEBOOK 50</t>
  </si>
  <si>
    <t>INVOICE PIPEFY</t>
  </si>
  <si>
    <t>Comercial</t>
  </si>
  <si>
    <t>ELAINE BITTENCOURT</t>
  </si>
  <si>
    <t>PUBLICIDADE E PROPAGANDA</t>
  </si>
  <si>
    <t>ASSESSORIA DE IMPRENSA</t>
  </si>
  <si>
    <t>AGENCIA COMUNICADO LTDA - ME</t>
  </si>
  <si>
    <t>Fevereiro</t>
  </si>
  <si>
    <t>SOFTWARE PARA GESTÃO DE REQUISITOS LEGAIS (ISO 14001)</t>
  </si>
  <si>
    <t>AMBPLAN SISTEMAS LTDA</t>
  </si>
  <si>
    <t>VAL BARROS</t>
  </si>
  <si>
    <t>Março</t>
  </si>
  <si>
    <t>LIMPEZA</t>
  </si>
  <si>
    <t>SERVIÇO DE LIMPEZA</t>
  </si>
  <si>
    <t>RCM SERVICOS LTDA</t>
  </si>
  <si>
    <t>PORTO ALEGRE</t>
  </si>
  <si>
    <t>FACILE - ADMINISTRACAO E SERVICOS LTDA</t>
  </si>
  <si>
    <t>Dissídio</t>
  </si>
  <si>
    <t>LIMPSERVICE SERVICOS LTDA</t>
  </si>
  <si>
    <t>ORBENK ADMINISTRACAO E SERVICOS LTDA.</t>
  </si>
  <si>
    <t>RF FACILITIES LTDA</t>
  </si>
  <si>
    <t>junho</t>
  </si>
  <si>
    <t>SERVIÇO DE LIMPEZA - AREA INTERNA</t>
  </si>
  <si>
    <t>CONTRATO SERVIÇOS DE LIMPEZA / SERVIÇOS EXTRA - LIMPEZA DO ARMAZEM A CADA TRIMESTRE R$500,00</t>
  </si>
  <si>
    <t>SAMTHA SERVIÇOS ( TAMIRES TORRES DA SILVA)</t>
  </si>
  <si>
    <t>CURITIBA</t>
  </si>
  <si>
    <t>40% igpm +60% DISSIDIO</t>
  </si>
  <si>
    <t>Julho</t>
  </si>
  <si>
    <t>Abril</t>
  </si>
  <si>
    <t>INVENTARIO GEE E MONITORAMENTO AMBIENTAL</t>
  </si>
  <si>
    <t>VIA GREEN TECNOLOGIA LTDA ( VGP )</t>
  </si>
  <si>
    <t>WORLD SERVICE TERCEIRIZACAO LTDA</t>
  </si>
  <si>
    <t>SEGURANCA PREDIAL</t>
  </si>
  <si>
    <t>BOMBEIRO INTERNO</t>
  </si>
  <si>
    <t>EXACT</t>
  </si>
  <si>
    <t>LOCAÇÃO DE BEBEDOUROS</t>
  </si>
  <si>
    <t>BRASFILTER</t>
  </si>
  <si>
    <t>COLETA DE RESÍDUO ORGANICO</t>
  </si>
  <si>
    <t>AMBIENTAL TRANSPORTE DE RESIDUOS LTDA - ME</t>
  </si>
  <si>
    <t>AMBIENTAL TRANSPORTES RODOVIARIOS LTDA</t>
  </si>
  <si>
    <t>MIX MANUTENCAO MENSAL E TAXA INICIAL NOVOS CONTRATOS QUANTIDADE DE VIDAS ATIVAS</t>
  </si>
  <si>
    <t>MAKE TECHNOLOGY LTDA ( AGE DESENVOLVIMENTO)</t>
  </si>
  <si>
    <t>ASSESSORIA ADMINISTRATIVA</t>
  </si>
  <si>
    <t>DESTINAÇÃO DE RESIDUOS OFICINA, PILHAS, BATERIAS E LÂMPADAS</t>
  </si>
  <si>
    <t>SEVEN SOLUCOES AMBIENTAIS LTDA-ME</t>
  </si>
  <si>
    <t>GESTÃO DE FRETE E VALE PEDAGIO = TX ADM 0,27%</t>
  </si>
  <si>
    <t>REPOM S.A.</t>
  </si>
  <si>
    <t>Gestão de Frota</t>
  </si>
  <si>
    <t>FABIO LOPES</t>
  </si>
  <si>
    <t>ASSESSORIA JURIDICA</t>
  </si>
  <si>
    <t xml:space="preserve">PROCESSOS CIVEÍS </t>
  </si>
  <si>
    <t xml:space="preserve">BORNHAUSEN ZIMMER ADVOGADOS </t>
  </si>
  <si>
    <t>Jurídico</t>
  </si>
  <si>
    <t>CLÁUDIA BILIU</t>
  </si>
  <si>
    <t>Setembro</t>
  </si>
  <si>
    <t xml:space="preserve">4 PROCESSO CIVEIS INTEC </t>
  </si>
  <si>
    <t>CESAR E CESAR SOCIEDADE DE ADVOGADOS</t>
  </si>
  <si>
    <t xml:space="preserve">5 PROCESSOS CIVEIS FARMA </t>
  </si>
  <si>
    <t>TRABALHISTA</t>
  </si>
  <si>
    <t>PUBLICAÇÕES</t>
  </si>
  <si>
    <t>CORTEZ DE LIMA LEITURA JURIDICA LTDA</t>
  </si>
  <si>
    <t>TRIBUTÁRIO/EXECUÇÕES FISCAIS</t>
  </si>
  <si>
    <t>GIOVANA MEDEIROS SONAGLIO SOC. INDIVIDUAL DE ADV.</t>
  </si>
  <si>
    <t xml:space="preserve">03 PROCESSOS CÍVEIS </t>
  </si>
  <si>
    <t>MARCELO PEREGRINO FERREIRA ADVOGADOS ASSOCIADOS</t>
  </si>
  <si>
    <t xml:space="preserve">TERMO AJUSTAMENTO DE CONDUTA </t>
  </si>
  <si>
    <t>SANTIN SOCIEDADE DE ADVOGADOS</t>
  </si>
  <si>
    <t xml:space="preserve">ACP - REVISTA INTIMA </t>
  </si>
  <si>
    <t>AÇÃO ANULATÓRIA AVCB - BOMBEIROS</t>
  </si>
  <si>
    <t>PESOTI NETTO SOCIEDADE DE ADVOGADOS</t>
  </si>
  <si>
    <t>SERVIÇOS ADVOCATÍCIOS DRª MARA CARAMICO</t>
  </si>
  <si>
    <t>B.C. SERVICOS DE CONSULTORIA EMPRESARIAL LTDA</t>
  </si>
  <si>
    <t>BORNHAUSEN E ZIMMER ADVOGADOS</t>
  </si>
  <si>
    <t>SERVIÇOS MENSAIS - FERNANDO/FARMA/INTEC</t>
  </si>
  <si>
    <t>SERAFINI ADVOGADOS</t>
  </si>
  <si>
    <t>CONSULTORIA PARA LGPD</t>
  </si>
  <si>
    <t>IT2S CONSULTORIA EM SEGURANÇA</t>
  </si>
  <si>
    <t xml:space="preserve">BICOLUNAÇÃO E TRADUÇÃO </t>
  </si>
  <si>
    <t xml:space="preserve">KESLEY AUGUSTO - TRADUÇÃO </t>
  </si>
  <si>
    <t>LOCAÇÃO DE 02 CONTAINERS ALMOXARIFADO HC 12M (1155/1178)</t>
  </si>
  <si>
    <t>A.J.M.MIRANDA LOCACAO DE CONTAINERS EIRELI</t>
  </si>
  <si>
    <t>ANDRÉ BISPO</t>
  </si>
  <si>
    <t>ASSESSORIA GUARDA DE DOCUMENTOS</t>
  </si>
  <si>
    <t>GUARDA DE DOCUMENTOS</t>
  </si>
  <si>
    <t>ARK TEC GUARDA DE DOCUMENTOS LTDA.</t>
  </si>
  <si>
    <t>ARK TEC GUARDA DE VOLUMES LTDA</t>
  </si>
  <si>
    <t>CONSERVACAO DE PREDIOS</t>
  </si>
  <si>
    <t>MANUTENÇÃO EMPILHADEIRA</t>
  </si>
  <si>
    <t>GLOBAL EMPILHADEIRAS</t>
  </si>
  <si>
    <t>Junho</t>
  </si>
  <si>
    <t xml:space="preserve">CONTAINERS CAPSUGEL/OPERAÇÃO </t>
  </si>
  <si>
    <t>JEAN CARLOS DIAS CONTAINER</t>
  </si>
  <si>
    <t>EMPILHADEIRA R20</t>
  </si>
  <si>
    <t>M.M. COMERCIO E LOCACAO DE EQUIPAMENTOS EIRELI</t>
  </si>
  <si>
    <t>EMPILHADEIRA ELÉTRICA RETRATIL - FROTA 295</t>
  </si>
  <si>
    <t xml:space="preserve">E0176 - TRANSPALETEIRA ELÉTRICA A BORDO / E0200 - TRANSPALETEIRA ELÉTRICA A BORDO </t>
  </si>
  <si>
    <t>E0105 - EMPILHADEIRA/ E0100 - EMPILHADEIRA</t>
  </si>
  <si>
    <t xml:space="preserve">EMPILHADEIRA ELÉTRICA RETRATIL </t>
  </si>
  <si>
    <t>E0164 - TRANSPALETEIRA ELÉTRICA A BORDO / E0095 - EMPILHADEIRA (FMX 20 E G115 11525TR)</t>
  </si>
  <si>
    <t>MOVILOG COMERCIO E REPRESENTACOES DE MAQUINAS LTDA</t>
  </si>
  <si>
    <t>julho</t>
  </si>
  <si>
    <t>MANUTENÇÃO MÁQUINAS DE INK-JET SETOR DE ADEQUAÇÃO</t>
  </si>
  <si>
    <t>VIDEOJET DO BRASIL COM. DE EQUIP. PARA CODIFICACAO</t>
  </si>
  <si>
    <t>5 (112 - 2000 - RSN TRA-999999 ) 10 (222 - 2000 - RTN TRA-999999 )</t>
  </si>
  <si>
    <t>DISKTRANS COMERCIAL LTDA</t>
  </si>
  <si>
    <t>18 (222 -2000 - RTN TRA-000021 ) 23 (212 -2000 - RTN TRA-000021 ) 2 (222 -2000 - RTN TRA-000021 ) 2 (222 -2500 - RTN TRA-000021 )</t>
  </si>
  <si>
    <t>9 (122 -2000 - RSN TRA-999999 ) 22 (222 -2000 - RTN TRA-999999 ) 14 (212 -2000 - RTN TRA-999999 ) 28 (112 -2000 - RSN TRA-999999 ) 1 (111 -2000 - RSN TRA-999999 ) 1 (122 -2500 - RSN TRA-999999 )</t>
  </si>
  <si>
    <t>DOMINOJET COMERCIO E SERVICOS LTDA - ME</t>
  </si>
  <si>
    <t>CTA COMERCIO DE CONTROLES ELETRONICOS S.A.</t>
  </si>
  <si>
    <t>JOSÉ HAILTON</t>
  </si>
  <si>
    <t>HONORARIOS PROF. PJ</t>
  </si>
  <si>
    <t>RATEIO ENTRE TODAS AS FILIAIS</t>
  </si>
  <si>
    <t>EDENRED SOLUCOES DE MOBILIDADE E INSTITUICAO DE PAGAMENTO HU</t>
  </si>
  <si>
    <t>LOCAÇÃO DE 4 TRANSPALETEIRAS</t>
  </si>
  <si>
    <t>ELCAFORT ASSISTENCIA TECNICA LTDA</t>
  </si>
  <si>
    <t>LOCAÇÃO DE EMPILHADEIRA</t>
  </si>
  <si>
    <t>EMPILHAMINAS LTDA</t>
  </si>
  <si>
    <t>LOCAÇÃO EMPILHADEIRA</t>
  </si>
  <si>
    <t>MOVI MAX MANUTENCAO DE EMPILHADEIRAS LTDA</t>
  </si>
  <si>
    <t>3 (222 -2000 - RTN TRA-000007 )</t>
  </si>
  <si>
    <t>1 (222 -2000 - RTN TRA-999999 ) 1 (212 -2000 - RTN TRA-999999 ) 1 (212 -2500 - RTN TRA-999999 ) 1 (112 -2000 - RSN TRA-999999 )</t>
  </si>
  <si>
    <t>4 (222 -2000 - RTN TRA-000011 ) 1 (212 -2000 - RTN TRA-000011 )</t>
  </si>
  <si>
    <t>6 (222 -2000 - RTN TRA-000024 )</t>
  </si>
  <si>
    <t>5 (122 - 2000 - RSN TRA-999999 ) 2 (112 - 2000 - RSN TRA-999999 )</t>
  </si>
  <si>
    <t>5 (222 -2000 - RTN TRA-000021 ) 3 (212 -2000 - RTN TRA-000021 ) 1 (112 -2000 - RSN TRA-000021 ) 1 (212 -2500 - RTN TRA-000021 )</t>
  </si>
  <si>
    <t>21 (122 -2000 - RSN TRA-999999 ) 4 (222 -2000 - RTN TRA-999999 ) 1 (222 -3000 - RTN TRA-999999 ) 3(112 -2000 - RSN TRA-999999 ) 1 (112 -3000 - RSN TRA-999999 )</t>
  </si>
  <si>
    <t>E0104 - EMPILHADEIRA (FMX 20 E G115 11525TR)</t>
  </si>
  <si>
    <t>PLANO DE EMERGÊNCIA - PRODUTOS PERIGOSOS</t>
  </si>
  <si>
    <t>AMBIPAR RESPONSE S/A</t>
  </si>
  <si>
    <t xml:space="preserve">CONSULTORIA PARA OBTENÇÃO DE LICENÇAS </t>
  </si>
  <si>
    <t>ARNON REIS - ASSESSORIA E CONS. ESPEC. LTDA - M</t>
  </si>
  <si>
    <t>SISTEMA DE QUALIDADE STARNET</t>
  </si>
  <si>
    <t>CONNECTION PHARMA INFORMATICA LTDA. - EPP</t>
  </si>
  <si>
    <t>CONTROLE DE PRAGAS</t>
  </si>
  <si>
    <t>ECOLAB QUIMICA LTDA</t>
  </si>
  <si>
    <t>CERTIFICACAO/QUALIDADE</t>
  </si>
  <si>
    <t>CONSULTORIA AMBIENTAL</t>
  </si>
  <si>
    <t>RESIDUA - SOLUCOES AMBIENTAIS LTDA</t>
  </si>
  <si>
    <t>CALIBRAÇÃO DATALOGGERS / EQUIPAMENTOS SHIELD</t>
  </si>
  <si>
    <t>TECNOVIP INSTRUMENTOS DE MEDICAO LTDA</t>
  </si>
  <si>
    <t>CALIBRAÇÃO ROTRONIC DATALOGGERS / EQUIPAMENTOS SHIELD</t>
  </si>
  <si>
    <t>MANUTENÇÃO MENSAL DO SISTEMA DE MONITORAM. TEMP. HW4 ROTRONIC</t>
  </si>
  <si>
    <t>CALIBRAÇÃO DO SISTEMA DE MONITORAM. TEMP. HW4 ROTRONIC</t>
  </si>
  <si>
    <t>R.G.D. COMERCIO E SERVICOS DE INSTRUMENTOS DE MEDICAO LTDA</t>
  </si>
  <si>
    <t>CARLA CAMARGO</t>
  </si>
  <si>
    <t>ÚNICO PEOPLE (ADMISSÃO DIGITAL) + ÚNICO SIGN (ASSINATURA ELETRÔNICA)</t>
  </si>
  <si>
    <t>ACESSO DIGITAL TECNOLOGIA DA INFORMACAO S.A. | ÚNICO</t>
  </si>
  <si>
    <t>Dezembro</t>
  </si>
  <si>
    <t>SUPORTE TECNI.  04 / ID BIO 03</t>
  </si>
  <si>
    <t>CONTROL ID INDUSTRIA, COMERCIO DE HARDWARE E SERVICOS DE TECN</t>
  </si>
  <si>
    <t>SUPORTE TECNI.  09 / ID BIO 02</t>
  </si>
  <si>
    <t>Diretoria</t>
  </si>
  <si>
    <t>PLATAFORMAS / APLICATIVOS</t>
  </si>
  <si>
    <t>HSPW SAUDE PREVENTIVA LTDA</t>
  </si>
  <si>
    <t>ASSESSORIA RH</t>
  </si>
  <si>
    <t>ND - ALÔ LUFT</t>
  </si>
  <si>
    <t>TRANSPORTES LUFT LTDA</t>
  </si>
  <si>
    <t>GUPY TECNOLOGIA EM RECRUTAMENTO LTDA</t>
  </si>
  <si>
    <t>RODOVIA SOLUCOES TECNOLOGICAS LTDA</t>
  </si>
  <si>
    <t>ANÁLISE DE CRÉDITO SERASA</t>
  </si>
  <si>
    <t>GADE CORPORATIVA LTDA</t>
  </si>
  <si>
    <t>Tesouraria</t>
  </si>
  <si>
    <t>EDILSON ARAÚJO</t>
  </si>
  <si>
    <t>CONSULTAS CARTÓRIOS</t>
  </si>
  <si>
    <t>RTF ASSESSORIA E COBRANCA LTDA. - EPP</t>
  </si>
  <si>
    <t>INTERNET/COMUNICACOES</t>
  </si>
  <si>
    <t>LOCAÇÃO ROTEADOR</t>
  </si>
  <si>
    <t>ALGAR MULTIMIDIA / VOGEL SOLUCOES EM TELECOM E INF</t>
  </si>
  <si>
    <t>SERVIÇO DE INTERNET</t>
  </si>
  <si>
    <t>LOCAÇÃO DE ROTEADOR</t>
  </si>
  <si>
    <t>SERVIÇO DE INTERNET 2 MBP</t>
  </si>
  <si>
    <t>SERVIÇO DE INTERNET 150MBPS</t>
  </si>
  <si>
    <t>ALLREDE SERVICOS DIGITAIS LTDA</t>
  </si>
  <si>
    <t>ALLREDE TELECOM LTDA</t>
  </si>
  <si>
    <t>TELEFONES</t>
  </si>
  <si>
    <t>TELEFONIA FIXA</t>
  </si>
  <si>
    <t>BALDUSSI SOLUCOES LTDA</t>
  </si>
  <si>
    <t>Segurança Patrimonial</t>
  </si>
  <si>
    <t>Controladoria</t>
  </si>
  <si>
    <t>Suprimentos</t>
  </si>
  <si>
    <t>Banda Larga - IP Corporate 40 MBPS( c/c segurança patrimonial)</t>
  </si>
  <si>
    <t>BRASILSITE TELECOMUNICACOES LTDA.</t>
  </si>
  <si>
    <t>BANDA LARGA - IP CORPORATE 120 MBPS</t>
  </si>
  <si>
    <t>Locação de equipamentos/ c/c segurança patrimonial do  Ref. IP Corporate 20 MBPS</t>
  </si>
  <si>
    <t>BANDA LARGA - IP CORPORATE 20 MBPS - CELLERA</t>
  </si>
  <si>
    <t>BANDA LARGA - IP CORPORATE 20 MBPS</t>
  </si>
  <si>
    <t>Locação de equipamentos Ref. IP Corporate 20 MBPS - CELLERA</t>
  </si>
  <si>
    <t>LOCAÇÃO DE EQUIPAMENTOS REF. IP CORPORATE 80 MBPS</t>
  </si>
  <si>
    <t>SERVIÇO DE INTERNET 150Mbps</t>
  </si>
  <si>
    <t>BRFIBRA TELECOMUNICACOES LTDA</t>
  </si>
  <si>
    <t>SERVIÇO DE INTERNET (PONTO A PONTO)</t>
  </si>
  <si>
    <t>DATA CENTER</t>
  </si>
  <si>
    <t>C&amp;C COMPUTACAO E COMUNIC. INFORMATICA LT</t>
  </si>
  <si>
    <t>SERVIÇO DE INTERNET 10MBPS</t>
  </si>
  <si>
    <t>CENTURY TECNOLOGIA DA INFORMACAO E SERVICOS LTDA</t>
  </si>
  <si>
    <t>CENTURY TELECOM LTDA</t>
  </si>
  <si>
    <t xml:space="preserve"> Serviço de manutenção de Software</t>
  </si>
  <si>
    <t>DELL COMPUTADORES DO BRASIL LTDA</t>
  </si>
  <si>
    <t xml:space="preserve"> Serviço de manutenção de Hardware </t>
  </si>
  <si>
    <t>15 DMS - ADVANCED 11 A 25 OPERADORES - MENSAL RENOVAÇÃO</t>
  </si>
  <si>
    <t>DESK MANAGER SOFTWARE LTDA</t>
  </si>
  <si>
    <t>20 MEGAS DEDICADO ( ONU + ROTEADOR WIFI)</t>
  </si>
  <si>
    <t>DIRECT WIFI TELECOM LTDA</t>
  </si>
  <si>
    <t>LICENÇA DE PROGRAMA</t>
  </si>
  <si>
    <t>ENOTAS DESENVOLVIMENTO DE SOFTWARES LTDA</t>
  </si>
  <si>
    <t>CONTRATO DE MANUTENÇÃO DE SERVIDORES</t>
  </si>
  <si>
    <t>EVERNEX DO BRASIL LTDA</t>
  </si>
  <si>
    <t>BANDA LARGA - IP CORPORATE 100 MBPS</t>
  </si>
  <si>
    <t>FASTSIGNAL COMERCIO E SERVICOS DE INFORMATICA LTDA</t>
  </si>
  <si>
    <t>CENTRO DE CUSTO SEGURANÇA PATRIMONIAL</t>
  </si>
  <si>
    <t>PROVIMENTO DE ACESSO À INTERNET PA UNIAO QUIMICA</t>
  </si>
  <si>
    <t>FULLNET TELECOMUNICACOES LTDA</t>
  </si>
  <si>
    <t>SERVIÇO DE INTERNET PA ROCHE</t>
  </si>
  <si>
    <t>G8 NETWORKS LTDA</t>
  </si>
  <si>
    <t>WEB INFORMA / SAC WEB</t>
  </si>
  <si>
    <t>IB SOFTWARE E SOLUCOES PARA LOGISTICA LTDA</t>
  </si>
  <si>
    <t>EQUIPAMENTOS DE RADIOCOMUNICAÇÃO</t>
  </si>
  <si>
    <t>INTELISENSE RADIOCOMUNICACAO LTDA</t>
  </si>
  <si>
    <t>ARMAZENAGEM DE FITAS</t>
  </si>
  <si>
    <t>IRON MOUNTAIN DO BRASIL LTDA</t>
  </si>
  <si>
    <t>INTERNET DEDICADA 50MB  PA MERC - SUPORTE TECNICO</t>
  </si>
  <si>
    <t>LINQ TELECOM</t>
  </si>
  <si>
    <t>INTERNET DEDICADA 50MB  PA MERC - LINK DE INTERNET</t>
  </si>
  <si>
    <t>INSTALAÇÃO, IMPLANTAÇÃO E SUPORTE TÉCNICO DE INFORMÁTICA MENSAL</t>
  </si>
  <si>
    <t>PERIPHERART ELET. IND. E COMERCIO LTDA</t>
  </si>
  <si>
    <t>LOCAÇÃO IMPRESSORAS TERMICAS</t>
  </si>
  <si>
    <t>QUALITY BUSINESS ( QBB )</t>
  </si>
  <si>
    <t>R.L.S. TELECOMUNICACOES LTDA</t>
  </si>
  <si>
    <t>REFERENTE AO GOOGLE WORKSPACE</t>
  </si>
  <si>
    <t>SAUTER TECNOLOGIA E SERVICOS LTDA (GOOGLE)</t>
  </si>
  <si>
    <t>PLATAFORMA DE GESTÃO SYTHEX</t>
  </si>
  <si>
    <t>SENIOR SISTEMAS S/A</t>
  </si>
  <si>
    <t>maio</t>
  </si>
  <si>
    <t>PRESTAÇÃO DE SERVIÇO EM SANTANA DE PARNAÍBA</t>
  </si>
  <si>
    <t>SUPORTE SISTEMA INFORMA</t>
  </si>
  <si>
    <t>CONTRATO -REFERENTE SERVIÇOS PRESTADOS - MS SQL</t>
  </si>
  <si>
    <t>SPHERE IT SERVICOS LTDA</t>
  </si>
  <si>
    <t>SISTEMA VALIDAÇÃO NF</t>
  </si>
  <si>
    <t>TECNOSPEED S/A</t>
  </si>
  <si>
    <t>LINK IP DEDICADO - 35MBPS</t>
  </si>
  <si>
    <t>VOIPGLOBE  ( GO TELECOM )</t>
  </si>
  <si>
    <t>LINK IP DEDICADO - 120MBPS</t>
  </si>
  <si>
    <t>ATUALIZAÇÃO DE PÁGINA INTERNET</t>
  </si>
  <si>
    <t xml:space="preserve">REFERENTE </t>
  </si>
  <si>
    <t>SERVIÇO DE INTERNET 100MBPS</t>
  </si>
  <si>
    <t xml:space="preserve">WSNET </t>
  </si>
  <si>
    <t>LINK IP DEDICADO - PA GSK</t>
  </si>
  <si>
    <t>LOCAÇÃO DE IMPRESSORAS - CUSTO FIXO DE MENSALIDADE</t>
  </si>
  <si>
    <t>GP EMISSAO INSTANTANEA E GESTAO DE DOCUMENTOS LTDA</t>
  </si>
  <si>
    <t>AZURE CSP LICS (LICENCIAMENTO VISUAL STUDIO)</t>
  </si>
  <si>
    <t>INGRAM MICRO BRASIL LTDA</t>
  </si>
  <si>
    <t>AZURE CSP LICS OFFICE MICROSOFT (OFFICE 3650</t>
  </si>
  <si>
    <t>PRESTACAO DE SERVICO REFERENTE AO CHATBOT BLIP BUSINESS</t>
  </si>
  <si>
    <t>CURUPIRA S.A</t>
  </si>
  <si>
    <t xml:space="preserve">INTERNET DEDICADA 50MB  FILIAL GOIANIA </t>
  </si>
  <si>
    <t>BANDA LARGA - IP CORPORATE 20 MBPS - TAKEDA</t>
  </si>
  <si>
    <t>Locação de equipamentos Ref. IP Corporate 20 MBPS - TAKEDA</t>
  </si>
  <si>
    <t>LOCAÇÃO DE IMPRESSORAS - USO RATEIO</t>
  </si>
  <si>
    <t>Conta: 0301468284</t>
  </si>
  <si>
    <t>TELEFONICA BRASIL S.A</t>
  </si>
  <si>
    <t>Motoristas coleta / distribuição</t>
  </si>
  <si>
    <t>Motoristas viagens</t>
  </si>
  <si>
    <t>Conta: 0371398721</t>
  </si>
  <si>
    <t>Conta: 0309259010</t>
  </si>
  <si>
    <t>Manutenção de frota</t>
  </si>
  <si>
    <t>Conta: 0313096081</t>
  </si>
  <si>
    <t>Conta: 0310957036</t>
  </si>
  <si>
    <t>ESL CONSULTORIA E SERVICOS EM INFORMATICA LTDA</t>
  </si>
  <si>
    <t>ARNALDO OLIVEIRA</t>
  </si>
  <si>
    <t>GESTÃO TROPICOS MODULO P/ ROTEIRIZAÇÃO</t>
  </si>
  <si>
    <t>GEOLOGISTICA CONSULTORIA E DESENV DE SIST LTDA</t>
  </si>
  <si>
    <t>Guarda Fisica de Documentos (canhotos Dacte/Danfe)</t>
  </si>
  <si>
    <t>RDOCS SERVICOS DA INFORMACAO LTDA</t>
  </si>
  <si>
    <t>Processo de digitalização (canhotos Dacte/Danfe)</t>
  </si>
  <si>
    <t>ACCESS GESTAO DE DOCUMENTOS LTDA.</t>
  </si>
  <si>
    <t>CONTRATO COMPROVEI</t>
  </si>
  <si>
    <t>CT6 TECNOLOGIA LTDA - EPP</t>
  </si>
  <si>
    <t>LICENÇA DE USO MENSAL</t>
  </si>
  <si>
    <t>3S DISTRIBUICAO E COMERCIALIZACAO DE PRODUTOS LTDA</t>
  </si>
  <si>
    <t>MANUTENÇÃO DE EQUIPAMENTOS</t>
  </si>
  <si>
    <t>TRAVA INTELIGENTE COFRE ( manutenção )</t>
  </si>
  <si>
    <t>MASTERTRACK TECNOLOGIA EM SISTEMAS DE SEGURANCA LTDA - ME</t>
  </si>
  <si>
    <t>MONITORAMENTO DE VEÍCULOS</t>
  </si>
  <si>
    <t>RASTREADORES MÓVEIS</t>
  </si>
  <si>
    <t>SANTOS E ZANON TECNOLOGIA E SEGURANCA LTDA</t>
  </si>
  <si>
    <t>T4S TECNOLOGIA S.A.</t>
  </si>
  <si>
    <t>ANALISE PERFIL SECURITÁRIO</t>
  </si>
  <si>
    <t>TELERISCO - INFORMACOES INTEGRADAS DE RISCOS S.A.</t>
  </si>
  <si>
    <t>X-GLOBAL LOCACOES E SERVICOS LTDA</t>
  </si>
  <si>
    <t>LOCAÇÃO DE 03 SPLITÕES DE 40 TR</t>
  </si>
  <si>
    <t>5I SERVICOS DE MANUTENCAO LTDA</t>
  </si>
  <si>
    <t>ANÁLISE DE QUALIDADE DA ÁGUA "CHILLER" G3</t>
  </si>
  <si>
    <t>AQUANALYZE AMBIENTAL PRODUTOS QUIMICOS LTDA ME</t>
  </si>
  <si>
    <t>LOCAÇÃO DE 02 GERADORES PERKINS 500 KVA - ADICIONADOS AO SITE</t>
  </si>
  <si>
    <t>CHT ENERGY COM. E MANUT. DE EQUIP. LTDA - EPP</t>
  </si>
  <si>
    <t>LOCAÇÃO DE 01 GERADOR CUMMINS 500 KVA - ATENDIMENTO DA CÂMARA FRIA</t>
  </si>
  <si>
    <t>LOCAÇÃO DE 01 GERADOR CUMMINS 500 KVA</t>
  </si>
  <si>
    <t>MANUT. PREVENTIVA E CORRETIVA EM 02 GERADORES PERKINS 500 KVA - MATERIAL INCLUSO</t>
  </si>
  <si>
    <t>MANUT. PREVENTIVA E CORRETIVA EM 01 GERADOR CUMMINS 500 KVA - MATERIAL INCLUSO</t>
  </si>
  <si>
    <t>MANUTENÇÃO PREVENTIVA DE SISTEMAS DE AR CONDICIONADO</t>
  </si>
  <si>
    <t>CLIMATIZAR ENGENHARIA E MANUTENÇÃO LTDA</t>
  </si>
  <si>
    <t>PMOC E MANUTENÇÃO PREVENTIVA DE SISTEMAS DE AR CONDICIONADO</t>
  </si>
  <si>
    <t>BRAVOS REFRIGERAÇÃO ME</t>
  </si>
  <si>
    <t>MANUTENÇÃO PREVENTIVA DE EMPILHADEIRAS</t>
  </si>
  <si>
    <t>J.M. EQUIPAMENTOS SERVICOS E COMERCIO LTDA</t>
  </si>
  <si>
    <t>IMPÉRIO REFRIGERAÇÃO E CLIMATIZAÇÃO - MAURICIO OLIVEIRA FIGUEIREDO EM</t>
  </si>
  <si>
    <t>MANUTENÇÃO PREVENTIVA DE GRUPOS GERADORES</t>
  </si>
  <si>
    <t>NEWTEC GERADORES LTDA - ME</t>
  </si>
  <si>
    <t>LOCAÇÃO DE 03 BATERIAS TRACIONARIAS - 48V/608AH</t>
  </si>
  <si>
    <t>POSITIVA MANUTENCAO, COM. E LOCACAO DE EQUIP. - EI</t>
  </si>
  <si>
    <t>INPC</t>
  </si>
  <si>
    <t>GESTÃO E MANUTENÇÃO - BANCO DE BATERIAS E EMPILHADEIRAS</t>
  </si>
  <si>
    <t>CONTRATO DE MANUTENÇÃO PREVENTIVA NR-10</t>
  </si>
  <si>
    <t>SIMELETRIC SOLUCOES EM ENERGIA ELETRICA LTDA</t>
  </si>
  <si>
    <t>MANUTENÇÃO PREVENTIVA DAS ECLUSAS</t>
  </si>
  <si>
    <t>METAL ART BC LTDA</t>
  </si>
  <si>
    <t>MANUTENÇÃO PREVENTIVA EM EQUIPAMENTOS (CHILLER) - G3</t>
  </si>
  <si>
    <t>AVAC-R SOLUTIONS SUL LTDA</t>
  </si>
  <si>
    <t>LOCAÇÃO PLATAFORMA TESOURA ELETRICA: COMPACT 14-14-23</t>
  </si>
  <si>
    <t>W RENTAL LOCADORA DE EQUIPAMENTOS LTDA</t>
  </si>
  <si>
    <t>LOCAÇÃO PLATAFORMA PANTOGRAFICA ELETRICA - ZOOMLION - ZS1212AC-LI</t>
  </si>
  <si>
    <t>MAX PLATAFORMAS ME</t>
  </si>
  <si>
    <t>LOCAÇÃO PLATAFORMA ARTICULADA ELETRICA - JLG E450AJ</t>
  </si>
  <si>
    <t>ARES AR CONDICIONADO LTDA</t>
  </si>
  <si>
    <t>TJ AR E SOLAR LTDA</t>
  </si>
  <si>
    <t>SERVIÇOS DE VIGILÂNCIA</t>
  </si>
  <si>
    <t>PORTOVIG</t>
  </si>
  <si>
    <t>CARLOS CORRALES</t>
  </si>
  <si>
    <t>SERVIÇOS RECEPCIONISTA 44H SEMANAIS</t>
  </si>
  <si>
    <t>LOCAÇÃO 44 CÂMERA HD 2 MEGAPIXEL C/ GRAVAÇÃO 60D + 2 TORNIQUETE SEM URNA + 3 CONTROLE DE ACESSO BIOMÉTRICO - A641 + 2 CONTROLE DE ACESSO T970 AREA CONTROLADOS</t>
  </si>
  <si>
    <t>RD SEGURANCA E SERVICOS LTDA</t>
  </si>
  <si>
    <t>LOCAÇÃO DE  171 CÂMERA + 60 PONTO DE ACESSO 03 TORNIQUETE + MANUTENÇÃO DE CFTV E SEGURANÇA ELETRONICA</t>
  </si>
  <si>
    <t>LOCAÇÃO DE  197 CÂMERA + 53 PONTO DE ACESSO 01 TORNIQUETE + MANUTENÇÃO DE CFTV E SEGURANÇA ELETRONICA</t>
  </si>
  <si>
    <t>PORTES/SELOS E TELEGRAMAS CORREIOS</t>
  </si>
  <si>
    <t>SERVIÇOS DE MOTOBOY</t>
  </si>
  <si>
    <t>CINTIA XAVIER COLHADO 35984305828</t>
  </si>
  <si>
    <t>DENISE PASSARELLI</t>
  </si>
  <si>
    <t>AUDITORIA EXTERNA</t>
  </si>
  <si>
    <t>BDO RCS AUDITORES INDEPENDENTES - SOCIEDADE SIMPLES</t>
  </si>
  <si>
    <t>Corporativo</t>
  </si>
  <si>
    <t>RICARDO HORST</t>
  </si>
  <si>
    <t>CONSULTORIA EM GESTÃO EMPRESARIAL</t>
  </si>
  <si>
    <t>MATOS CONSULTORES ASSOCIADOS</t>
  </si>
  <si>
    <t xml:space="preserve">MATOS CONSULTORES ASSOCIADOS </t>
  </si>
  <si>
    <t>SERVIÇOS DO CORPORATIVO</t>
  </si>
  <si>
    <t xml:space="preserve">PROCESS. DADOS/SUPORTE  </t>
  </si>
  <si>
    <t>TOTVS S.A.</t>
  </si>
  <si>
    <t xml:space="preserve">MANUT SISTEMAS DE INFORMA </t>
  </si>
  <si>
    <t xml:space="preserve">LICENCA PROGRAMA </t>
  </si>
  <si>
    <t>ASSESSORIA CONTABIL</t>
  </si>
  <si>
    <t>ASSESSORIA CONTÁBIL - CNPJ FILIAL</t>
  </si>
  <si>
    <t>ASCONEMP ASSITENCIA CONTABIL EMPRESARIAL LTDA ME</t>
  </si>
  <si>
    <t>GILMAR SIEBERT</t>
  </si>
  <si>
    <t>CENTRAL CONTABIL LTDA</t>
  </si>
  <si>
    <t>CONTASIL ESCRITORIO DE CONT.- EIRELI - ME</t>
  </si>
  <si>
    <t>FORMALIZA CONTABILIDADE LTDA ME</t>
  </si>
  <si>
    <t>MARANHAO &amp; ASSOCIADOS, CONS. ORGANIZ.</t>
  </si>
  <si>
    <t>SAGA ASSESSORIA CONTABIL LTDA</t>
  </si>
  <si>
    <t>P.SANTOS CONTABILIDADE LTDA</t>
  </si>
  <si>
    <t>V&amp;S GESTAO CONTABIL LTDA - ME</t>
  </si>
  <si>
    <t>FEIRAS EVENTOS E CONFRATERNIZACOES</t>
  </si>
  <si>
    <t>PATROCINIO OPEN MIND</t>
  </si>
  <si>
    <t>AL FERREIRA</t>
  </si>
  <si>
    <t>FELIPE SELISTRE</t>
  </si>
  <si>
    <t xml:space="preserve">RESPONSABILIDADE TECNICA </t>
  </si>
  <si>
    <t>TESSCO CONSULTORIA FARMACEUTICA</t>
  </si>
  <si>
    <t>LOCAÇÃO DE CILINDROS (OXIGÊNIO, ACETILENO, MISTURA, ARGÔNIO)</t>
  </si>
  <si>
    <t>CGM COM E LOCACAO DE EQUIPAMENTOS LTDA</t>
  </si>
  <si>
    <t>GESTRAN SOFTWARE DE TRANSPORTES LTDA</t>
  </si>
  <si>
    <t>FROTA</t>
  </si>
  <si>
    <t>ROADCARD SOLUCOES INTEGRADAS EM MEIOS DE PAG.S.A.</t>
  </si>
  <si>
    <t>LOCAÇÃO DE MÁQUINAS DE LAVAGEM DE PEÇAS</t>
  </si>
  <si>
    <t>SERVICEKLEEN DO BRASIL SIST.DE LAVAGEM DE PECAS E GESTAO</t>
  </si>
  <si>
    <t>CARTÃO GOODCARD</t>
  </si>
  <si>
    <t>TICKET SOLUCOES HDFGT S/A</t>
  </si>
  <si>
    <t>ESTACIONAMENTOS</t>
  </si>
  <si>
    <t>ESTACIONAMENTO DE VEICULOS INATIVOS</t>
  </si>
  <si>
    <t>AGILEBR CORPO LTDA</t>
  </si>
  <si>
    <t>EMBALAGENS ALUGADAS REFERENTE ASTRAZENECA</t>
  </si>
  <si>
    <t>STABLE TECH INDUSTRIA, COMERCIO E SERVICOS S.A.</t>
  </si>
  <si>
    <t>FREEZER ST800</t>
  </si>
  <si>
    <t>ECOBOX</t>
  </si>
  <si>
    <t>RENOVAÇÃO LICENCIAMENTO FIREWALL FORTNET</t>
  </si>
  <si>
    <t>CALIBRAÇÃO EQUIPAMENTOS SHIELD OPERAÇÃO AZ</t>
  </si>
  <si>
    <t>shield</t>
  </si>
  <si>
    <t>LICENCIAMENTO DEVEXPRESS</t>
  </si>
  <si>
    <t>DVEXPRESS</t>
  </si>
  <si>
    <t>RENVAÇÃO LICENÇA ANUAL BARTENDER</t>
  </si>
  <si>
    <t>BARTENDER</t>
  </si>
  <si>
    <t xml:space="preserve">CORRE. MALOTES CORREIOS </t>
  </si>
  <si>
    <t>EMPRESA BRASILEIRA DE CORREIOS E TELEGRAFOS</t>
  </si>
  <si>
    <t>MOTOBOY</t>
  </si>
  <si>
    <t>CINTIA XAVIER COLHADO35984305828</t>
  </si>
  <si>
    <t>ASSOS. SINDICATOS DE CLASSE</t>
  </si>
  <si>
    <t>MENSALIDADE- CBDL</t>
  </si>
  <si>
    <t>CAMARA BRASILEIRA DE DIAGNOSTICO LABORATORIAL-CBDL</t>
  </si>
  <si>
    <t>MENSALIDADE- ABOL</t>
  </si>
  <si>
    <t>ABOL - ASSOCIACAO BRASILEIRA DE OPERADORES LOGISTICOS</t>
  </si>
  <si>
    <t>MENSALIDADE- SINDUSFARMA</t>
  </si>
  <si>
    <t>SINDUSFARMA-SIND.IND.PROD.FARMACEUTICOS</t>
  </si>
  <si>
    <t>MENSALIDADE- SETCESP</t>
  </si>
  <si>
    <t>SINDICATO DAS EMPRESAS DE TRANSP. DE CARGA DE SP E REGIÃO</t>
  </si>
  <si>
    <t>FEIRA MIAMI (2 pessoas)</t>
  </si>
  <si>
    <t>FEIRA ADLM - CHICAGO (3 pessoas)</t>
  </si>
  <si>
    <t>FEIRA ALEMANHA (2 pessoas)</t>
  </si>
  <si>
    <t>CONGRESSO ABOL</t>
  </si>
  <si>
    <t>EVENTO ABOL</t>
  </si>
  <si>
    <t>EVENTO SINDUSFARMA - LUPA DE OURO</t>
  </si>
  <si>
    <t>EVENTO SINDUSFARMA -PRÊMIO QUALIDADE</t>
  </si>
  <si>
    <t>CONGRESSO 58º CBPC - FLORIANÓPOLIS</t>
  </si>
  <si>
    <t>CONGRESSO 51º CBAC - RIO DE JANEIRO</t>
  </si>
  <si>
    <t>JANTAR DE LIDERANÇA - ITAJAI</t>
  </si>
  <si>
    <t>ABRAFARMA - CBDL</t>
  </si>
  <si>
    <t>CPHI - CHINA (3 Pessoas)</t>
  </si>
  <si>
    <t>JANTAR CBDL - FESTA DE CONFRATERNIZAÇÃO CBDL</t>
  </si>
  <si>
    <t>CONDUCAO E TRANSPORTE</t>
  </si>
  <si>
    <t>REEMBOLSO DENISE PASSARELI - COMBUSTÍVEL</t>
  </si>
  <si>
    <t>COPA E REFEICOES/ESTADIAS</t>
  </si>
  <si>
    <t>REEMBOLSOS EQUIPE (GERENTE DE CONTAS. NOVOS NEGOCIOS, MARKETING E PROJETOS COMERCIAIS)</t>
  </si>
  <si>
    <t>COFFEE BREAK - CLIENTES</t>
  </si>
  <si>
    <t>UBER (GERENTE DE CONTAS. NOVOS NEGOCIOS, MARKETING E PROJETOS COMERCIAIS)</t>
  </si>
  <si>
    <t>VIAGENS</t>
  </si>
  <si>
    <t>VIAGENS DA EQUIPE (GERENTE DE CONTAS. NOVOS NEGOCIOS, MARKETING E PROJETOS COMERCIAIS)</t>
  </si>
  <si>
    <t>BENS DE PEQUENO VALOR</t>
  </si>
  <si>
    <t xml:space="preserve">COMPRA DE CADEIRAS - SALA COMERCIAL </t>
  </si>
  <si>
    <t>AGÊNCIA</t>
  </si>
  <si>
    <t>AGENCIA YOUCARE</t>
  </si>
  <si>
    <t>Marketing</t>
  </si>
  <si>
    <t>3017 - PODCAST</t>
  </si>
  <si>
    <t>BRINDES</t>
  </si>
  <si>
    <t>UBER</t>
  </si>
  <si>
    <t xml:space="preserve">GASTOS COM DESLOCAMENTO </t>
  </si>
  <si>
    <t>RICARDO LUCHETTI</t>
  </si>
  <si>
    <t>REEMBOLSO DE VIAGENS</t>
  </si>
  <si>
    <t>DIVERSOS</t>
  </si>
  <si>
    <t>CALIBRAÇÃO LUXIMETRO</t>
  </si>
  <si>
    <t>EQUIPAMENTO: LUXIMETRO</t>
  </si>
  <si>
    <t>COLETA DE RESÍDUOS</t>
  </si>
  <si>
    <t>DESTINAÇÃO PILHAS E BATERIAS</t>
  </si>
  <si>
    <t>EQUIPAMENTOS SOBRESSALENTES SISTEMA PREVENTIVO DE COMBATE A INCÊNDIO</t>
  </si>
  <si>
    <t>EVENTO - CONSCIÊNCIA NEGRA</t>
  </si>
  <si>
    <t>EVENTO - MOTORISTA</t>
  </si>
  <si>
    <t>EXTINTORES PARA EMPILHADEIRAS (FILIAIS)</t>
  </si>
  <si>
    <t>ILUMINAÇÃO SPOT EMPILHADEIRA ( FILIAIS)</t>
  </si>
  <si>
    <t>JUNHO - EVENTO - MEIO AMBIENTE</t>
  </si>
  <si>
    <t>JUNHO EVENTO - DIA DO ORGULHO</t>
  </si>
  <si>
    <t>KIT DE DERRAMAMENTO</t>
  </si>
  <si>
    <t>KIT DE PRIMEIROS SOCORROS - BOMBEIRO E AMBULATÓRIO</t>
  </si>
  <si>
    <t>LAUDO VASO DE PRESSÃO PARA COMPRESSOR NR13</t>
  </si>
  <si>
    <t>LAVAGEM UNIFORME CAMARA FRIA</t>
  </si>
  <si>
    <t>LIMPEZA CAIXA DAGUA</t>
  </si>
  <si>
    <t>MAIO - EVENTO - FAÇA BONITO</t>
  </si>
  <si>
    <t>MAIO AMARELO - PREVENÇÃO AOS ACIDENTES DE TRANSITO</t>
  </si>
  <si>
    <t>MANTA CORTA FOGO PARA CARROS ELÉTRICOS</t>
  </si>
  <si>
    <t>MANUTENÇÃO DA TUBULAÇÃO DO SISTEMA PREVENTIVO DE INCÊNDIO</t>
  </si>
  <si>
    <t>MANUTENÇÃO DA TUBULAÇÃO DO SISTEMA PREVENTIVO DE INCÊNDIO (FILIAIS)</t>
  </si>
  <si>
    <t>MANUTENÇÃO DE EXTINTORES, TESTE MANGUEIRA</t>
  </si>
  <si>
    <t>VECTRA</t>
  </si>
  <si>
    <t>MANUTENÇÃO DE EXTINTORES, TESTE MANGUEIRA (FILIAIS)</t>
  </si>
  <si>
    <t>MANUTENÇÃO DOS VASOS COMPRESSORES</t>
  </si>
  <si>
    <t>MANUTENÇÃO MENSAL PREVENTIVA SISTEMA ALARME E LINEARES</t>
  </si>
  <si>
    <t>BNS (PRIMEINVEST)</t>
  </si>
  <si>
    <t>MARÇO AZUL ESCURO - PREVENÇÃO CANCER</t>
  </si>
  <si>
    <t>MATERIAL E HIGIENE/LIMPEZA</t>
  </si>
  <si>
    <t>MATERIAL LIMPEZA/DESCARTÁVEIS</t>
  </si>
  <si>
    <t>GRUPO FORTPEL</t>
  </si>
  <si>
    <t>MEGA FONE PARA SIMULADOS</t>
  </si>
  <si>
    <t>PALESTRA NOVEMBRO AZUL +  COMPRA DE BRINDES</t>
  </si>
  <si>
    <t>PALESTRA OUTUBRO ROSA + COMPRA DE BRINDES</t>
  </si>
  <si>
    <t>PALESTRAS (CAIXA DE SOM)</t>
  </si>
  <si>
    <t>COTAR</t>
  </si>
  <si>
    <t>PAPEL HIGIÊNICO/TOALHA/SABONETE</t>
  </si>
  <si>
    <t>BUNZL</t>
  </si>
  <si>
    <t>DESPESAS DIVERSAS</t>
  </si>
  <si>
    <t>QUADRA POLIESPORTIVA</t>
  </si>
  <si>
    <t>SHOW DE BOLA</t>
  </si>
  <si>
    <t>TAXAS/CUSTAS/CARTORIO</t>
  </si>
  <si>
    <t xml:space="preserve">RENOVAÇÃO DE AVCB </t>
  </si>
  <si>
    <t>RENOVAÇÃO LAUDO ERGONOMICO</t>
  </si>
  <si>
    <t>ACN NORTE</t>
  </si>
  <si>
    <t>RENOVAÇÃO LAUDO INSALUBRIDADE</t>
  </si>
  <si>
    <t>RENOVAÇÃO LAUDO PERICULOSIDADE</t>
  </si>
  <si>
    <t>REPARO/REPOSIÇÃO EXTINTOR</t>
  </si>
  <si>
    <t>ROTA DE FUGA (ELABORAÇÃO DE MAPA)</t>
  </si>
  <si>
    <t>ROTA DE FUGA (PLACAS)</t>
  </si>
  <si>
    <t>SETEMBRO AMARELO</t>
  </si>
  <si>
    <t>SIPATMA (PALESTRA E BRINDES PARA AS FILIAIS)</t>
  </si>
  <si>
    <t>SIPATMA (PALESTRA E BRINDES)</t>
  </si>
  <si>
    <t>TV E CAIXA DE SOM (GINASTICA LABORAL) Pinhais</t>
  </si>
  <si>
    <t>A COTAR</t>
  </si>
  <si>
    <t>VIAGENS PARA VISITAS A FILIAIS</t>
  </si>
  <si>
    <t>RAÍZEN POWER S.A.</t>
  </si>
  <si>
    <t>AGUA</t>
  </si>
  <si>
    <t>CONSUMO DE ÁGUA - G3</t>
  </si>
  <si>
    <t>SEMASA</t>
  </si>
  <si>
    <t>CONSUMO DE ÁGUA</t>
  </si>
  <si>
    <t>CESAN</t>
  </si>
  <si>
    <t>LAUDO FUMAÇA PRETA - GERADORES</t>
  </si>
  <si>
    <t>CERTIFICADO I-REC</t>
  </si>
  <si>
    <t>ANÁLISE MICROBIOLÓGICA DO AR</t>
  </si>
  <si>
    <t>CONFORLAB ENGENHARIA AMBIENTAL LTDA</t>
  </si>
  <si>
    <t>ANÁLISE MICROBIOLÓGICA DO AR - CONDOMÍNIO</t>
  </si>
  <si>
    <t>LOCAÇÃO DE 06 CAMERAS PARA ALMOXARIFADO RUA 5, BANCO DE BATERIAS E OFICINA EMPILHADEIRA</t>
  </si>
  <si>
    <t>VERBA</t>
  </si>
  <si>
    <t>MANUTENÇÃO CORRETIVA DO SISTEMA DE CLIMATIZAÇÃO</t>
  </si>
  <si>
    <t>CONFORME EQUALIZAÇÃO DE COMPRAS</t>
  </si>
  <si>
    <t>MANUTENÇÃO CORRETIVA DOS GRUPOS GERADORES (04 UNID)</t>
  </si>
  <si>
    <t>MANUTENÇÃO PREVENTIVA DO GERADOR</t>
  </si>
  <si>
    <t>MANUTENÇÃO CORRETIVA DO CHILLER CARRIER - G3</t>
  </si>
  <si>
    <t>INSTALAÇÃO DE DUAS (02) NIVELADORAS DE DOCA</t>
  </si>
  <si>
    <t>MANUTENÇÃO DOS BEBEDOUROS</t>
  </si>
  <si>
    <t>RECONDICIONAMENTO DE MOTORES</t>
  </si>
  <si>
    <t>ELÉTRICA RENOVO</t>
  </si>
  <si>
    <t>ADEQUAÇÃO DE LUMINÁRIAS LED - INDUSTRIAL</t>
  </si>
  <si>
    <t>MANUTENÇÃO CORRETIVA DE EMPILHADEIRAS</t>
  </si>
  <si>
    <t>POSITIVA</t>
  </si>
  <si>
    <t>GLOBAL EMPILHADEIRAS LTDA</t>
  </si>
  <si>
    <t>MANUTENÇÃO CORRETIVA DE PORTAS DA CÂMARA FRIA</t>
  </si>
  <si>
    <t>MANUTENÇÃO E RECONDICIONAMENTO DE COMPRESSORES BITZER</t>
  </si>
  <si>
    <t>MANUTENÇÃO E REFORMA DE DOCAS - ESTRUTURAL</t>
  </si>
  <si>
    <t>REVISÃO DE PINTURAS E DEMARCAÇÕES</t>
  </si>
  <si>
    <t>IDENTIFICAÇÃO VISUAL DO SITE (PLACAS DE SINALIZAÇÃO)</t>
  </si>
  <si>
    <t>SUBSTITUIÇÃO DOS 04 PORTÕES DAS ECLUSAS (LUFT 50% / UPS 50%)</t>
  </si>
  <si>
    <t>ADEQUAÇÃO DE LUMINÁRIAS LED NR17 - ARMAZEM 200 W</t>
  </si>
  <si>
    <t>ADEQUAÇÃO DE LUMINÁRIAS LED NR17 - ADMINISTRAÇÃO</t>
  </si>
  <si>
    <t>TRANSPORTE E DESCARTE FINAL DO LODO DA OFICINA</t>
  </si>
  <si>
    <t>MANUTENÇÃO / COMPRAS DE CADEIRAS</t>
  </si>
  <si>
    <t>MANUTENÇÃO PREDIAL DE BANHEIROS E LAVABOS</t>
  </si>
  <si>
    <t>MANUTENÇÃO PREVENTIVA E CORRETIVA DE CLIMATIZAÇÃO (ARMAZEM)</t>
  </si>
  <si>
    <t>MANUTENÇÃO PREVENTIVA E CORRETIVA DE REFRIGERAÇÃO (CÂMARA FRIA)</t>
  </si>
  <si>
    <t>PRODUTOS PARA LIMPEZA E CORRETIVA DA ANALISE MICROBIOLÓGIA DO AR</t>
  </si>
  <si>
    <t>MANUTENÇÃO PREVENTIVA E CORRETIVA DE NIVELADORA DE DOCAS</t>
  </si>
  <si>
    <t>PINTURA E REFORMA DE EMPILHADEIRAS</t>
  </si>
  <si>
    <t xml:space="preserve">CALIBRAÇÃO DE INSTRUMENTOS E ACESSÓRIOS </t>
  </si>
  <si>
    <t>MANUTENÇÃO E RETROFIT DE QUADROS ELÉTRICOS - ROOF TOPS</t>
  </si>
  <si>
    <t>GASES INDUSTRIAIS (Nitrogênio, Acetileno e Oxigênio) E REFRIGERANTE</t>
  </si>
  <si>
    <t>MANUTENÇÕES DE PLUGINS E MONOBLOCOS DOS BARRAMENTOS</t>
  </si>
  <si>
    <t>MANUTENÇÃO PREVENTIVA DOS COMPRESSORES AR - OFICINA</t>
  </si>
  <si>
    <t>MANUTENÇÃO PREVENTIVA DO BANCO DE CAPACITOR - CABINE SECUNDÁRIA</t>
  </si>
  <si>
    <t>TESTES DE TAPETES EPC - CABINE SECUNDÁRIA</t>
  </si>
  <si>
    <t>MANUTENÇÃO E ADEQUAÇÃO NR10 DE QUADROS - CABINE SECUNDÁRIA</t>
  </si>
  <si>
    <t>SUBSTITUIÇÃO DE BLOCOS AUTONÔMOS</t>
  </si>
  <si>
    <t>MANUTENÇÃO CORRETIVA E PREVENTIVA DA TALHA</t>
  </si>
  <si>
    <t>FERRAMENTAL BÁSICO DE MANUTENÇÃO</t>
  </si>
  <si>
    <t>MATERIAL PARA MANUTENÇÃO CORRETIVA REFRIGERAÇÃO (ESTOQUE MÍNIMO)</t>
  </si>
  <si>
    <t>MANUTENÇÃO DE MEZANINO TÉCNICO -  "CONDENSADORAS DE AC"</t>
  </si>
  <si>
    <t>VERBA DE CONTINGÊNCIA</t>
  </si>
  <si>
    <t>MATERIAL DE EXPEDIENTE</t>
  </si>
  <si>
    <t>MATERIAL DE ESCRITÓRIO</t>
  </si>
  <si>
    <t>ESPACIAL SUPRIMENTOS DE ESCRITORIO E INFORMATICA LTDA</t>
  </si>
  <si>
    <t>CAPSULAS DE CAFÉ PARA SALA DE REUNIÕES</t>
  </si>
  <si>
    <t>NESPRESSO</t>
  </si>
  <si>
    <t>VIAGENS PARA FILIAIS</t>
  </si>
  <si>
    <t xml:space="preserve">WORKSHOP BASES </t>
  </si>
  <si>
    <t xml:space="preserve">WOKRSHOP TRANSPORTADORES </t>
  </si>
  <si>
    <t>REEMBOLSOS FABIO IZIDORO LOPES</t>
  </si>
  <si>
    <t>REEMBOLSO DIVERSOS</t>
  </si>
  <si>
    <t>REEMBOLSO</t>
  </si>
  <si>
    <t>MATERIAL DE ESCRITORIO</t>
  </si>
  <si>
    <t>DESPESAS COM VIAGENS</t>
  </si>
  <si>
    <t xml:space="preserve">AUTOMATIZAÇÃO DE MENSAGENS GERAL </t>
  </si>
  <si>
    <t xml:space="preserve">ADESIVO AGREGADOS </t>
  </si>
  <si>
    <t xml:space="preserve">AUTOMATIZAÇÃO PORTAL DOS PARCEIROS / BASE </t>
  </si>
  <si>
    <t>REVERSA DE ISCAS DAS BASES</t>
  </si>
  <si>
    <t>CORREIOS - OPERAÇÃO DE REVERSA</t>
  </si>
  <si>
    <t>IMPRESSOS GRAFICOS/LOGOTIPOS</t>
  </si>
  <si>
    <t>IMPRESSÕES PERSONALIZADAS</t>
  </si>
  <si>
    <t>PAPELARIA/ GRAFICAS</t>
  </si>
  <si>
    <t>DESLOCAMENTO EM VIAGENS/VISITAS</t>
  </si>
  <si>
    <t>UBER DO BRASIL TECNOLOGIA LTDA.</t>
  </si>
  <si>
    <t>VIAGENS PARA BASES</t>
  </si>
  <si>
    <t>VIAGENS PELAS FILIAIS</t>
  </si>
  <si>
    <t>UBER AUDIÊNCIAS</t>
  </si>
  <si>
    <t>Jefferson Mendes Rodrigues</t>
  </si>
  <si>
    <t xml:space="preserve">UBER EMERGÊNCIAL </t>
  </si>
  <si>
    <t>EVENTUAIS REEMBOLSOS</t>
  </si>
  <si>
    <t>CARTÓRIO</t>
  </si>
  <si>
    <t>MULTAS DIVERSAS</t>
  </si>
  <si>
    <t>VIAGENS EMERGÊNCIAIS</t>
  </si>
  <si>
    <t xml:space="preserve">CUSTAS PROCESSUAIS </t>
  </si>
  <si>
    <t>SEGURO CRED</t>
  </si>
  <si>
    <t>PANIFICADORA E CONFEITARIA ALMIRA DA SILVA LTDA</t>
  </si>
  <si>
    <t>ADELILDE DA SILVA PORTO 04685568931</t>
  </si>
  <si>
    <t>ALLIANCA INDUSTRIA E COMERCIO DE MAQUINAS ROTULADORAS LTDA</t>
  </si>
  <si>
    <t xml:space="preserve">Uber - OPERACIONAL </t>
  </si>
  <si>
    <t>REEMBOLSOS / PASSAGEM AÉREA / HOSPEDAGEM</t>
  </si>
  <si>
    <t>Atividades de inventário</t>
  </si>
  <si>
    <t>PLATAFORMA ELEVATÓRIA / Empilhadeira</t>
  </si>
  <si>
    <t>Material de expediente</t>
  </si>
  <si>
    <t>Verba emergencial</t>
  </si>
  <si>
    <t>Viagens dos gestores 4</t>
  </si>
  <si>
    <t>Manutencao eletrica e Hidraulica</t>
  </si>
  <si>
    <t>Pintura de predio</t>
  </si>
  <si>
    <t>Manutenção de AR</t>
  </si>
  <si>
    <t>Instalação de AR</t>
  </si>
  <si>
    <t>Instalação de pontos e antenas</t>
  </si>
  <si>
    <t>Manutencao das niveladoras de docas</t>
  </si>
  <si>
    <t>Calibração Balanças</t>
  </si>
  <si>
    <t>TEKNOPAR</t>
  </si>
  <si>
    <t>a definir</t>
  </si>
  <si>
    <t>Tecnopar</t>
  </si>
  <si>
    <t xml:space="preserve">Calibração Cubometro </t>
  </si>
  <si>
    <t>Calibração da Câmara Fria</t>
  </si>
  <si>
    <t>Calibra Rio</t>
  </si>
  <si>
    <t xml:space="preserve">Calibração de Equipamentos </t>
  </si>
  <si>
    <t>Calibração Sensor  Veículo / freezer</t>
  </si>
  <si>
    <t xml:space="preserve">Calibração Sensor  Veículo </t>
  </si>
  <si>
    <t xml:space="preserve">Calibração Sensor Controlador Câmara Fria </t>
  </si>
  <si>
    <t xml:space="preserve">Calibração Sensor Freezer </t>
  </si>
  <si>
    <t xml:space="preserve">Calibração Sensor Veículo </t>
  </si>
  <si>
    <t>IMPOSTOS/TAXAS FEDERAIS</t>
  </si>
  <si>
    <t>Conselho Regional de Farmácia</t>
  </si>
  <si>
    <t>CRF</t>
  </si>
  <si>
    <t xml:space="preserve">Conselho Regional de Veterinario </t>
  </si>
  <si>
    <t>Conselho Regional de Veterinario</t>
  </si>
  <si>
    <t xml:space="preserve">Despesas viagens - Auditoria Filiais </t>
  </si>
  <si>
    <t xml:space="preserve">Despesas viagens - Qualificação de Bases </t>
  </si>
  <si>
    <t>Exercito (Certificado e Consultoria)</t>
  </si>
  <si>
    <t xml:space="preserve">EXERCITO </t>
  </si>
  <si>
    <t>IBAMA (Certificado, Consultoria)</t>
  </si>
  <si>
    <t xml:space="preserve">IBAMA </t>
  </si>
  <si>
    <t xml:space="preserve">Licença - LETPP DSV </t>
  </si>
  <si>
    <t>DEPTO SISTEMA VIÁRIO</t>
  </si>
  <si>
    <t xml:space="preserve">Licença Ambiental </t>
  </si>
  <si>
    <t>SEMMA</t>
  </si>
  <si>
    <t>INEA</t>
  </si>
  <si>
    <t xml:space="preserve">Ambiental </t>
  </si>
  <si>
    <t>Taruma Soluções Ambientais</t>
  </si>
  <si>
    <t>Licença/Alvará Sanitário</t>
  </si>
  <si>
    <t>VIGILÂNCIA SANITÁRIA</t>
  </si>
  <si>
    <t xml:space="preserve">Licença/Alvará Sanitário </t>
  </si>
  <si>
    <t xml:space="preserve">Licença/Alvará Sanitário - Veículos </t>
  </si>
  <si>
    <t>Pesquisa de Satisfação de Clientes</t>
  </si>
  <si>
    <t>Policia Civil (Certificado, Consultoria)</t>
  </si>
  <si>
    <t xml:space="preserve">POLICIA CIVIL </t>
  </si>
  <si>
    <t>Policia Federal (FUNAD, Certificado, Consultoria)</t>
  </si>
  <si>
    <t xml:space="preserve">POLICIA FEDERAL  </t>
  </si>
  <si>
    <t>Licença Ambiental - Transporte Produtos Perigosos</t>
  </si>
  <si>
    <t>PREFEITURA</t>
  </si>
  <si>
    <t>Renovação AFT (CRQ) para Transporte de Produtos Perigosos</t>
  </si>
  <si>
    <t xml:space="preserve">CRQ RESIDUA SOLUÇÕES AMBIENTAIS </t>
  </si>
  <si>
    <t>Semana da Qualidade</t>
  </si>
  <si>
    <t xml:space="preserve">Taxa anual Policia </t>
  </si>
  <si>
    <t>Licença LETPP</t>
  </si>
  <si>
    <t xml:space="preserve">MOOVII </t>
  </si>
  <si>
    <t xml:space="preserve">Reposição datalogger para qualificações </t>
  </si>
  <si>
    <t>Certificação ISO 9001:2015</t>
  </si>
  <si>
    <t>QMS DO BRASIL SERVICOS DE CERTIFICACAO LTDA</t>
  </si>
  <si>
    <t>Certificação ISO13485</t>
  </si>
  <si>
    <t>Certificação ISO 14001:2015</t>
  </si>
  <si>
    <t>Certificação ISO 14001:15</t>
  </si>
  <si>
    <t>Auditoria Interna - 13485</t>
  </si>
  <si>
    <t xml:space="preserve">Sensor freezer </t>
  </si>
  <si>
    <t>IAT- Licenciamento</t>
  </si>
  <si>
    <t xml:space="preserve">Consultoria Ambiental </t>
  </si>
  <si>
    <t>ARMONA CONSULTORIA AMBIENTAL LTDA</t>
  </si>
  <si>
    <t>Consultoria Projetos</t>
  </si>
  <si>
    <t>DEMETRIO CONSULTORIA EPROJETOS LTDA</t>
  </si>
  <si>
    <t>Taxa Prefeitura</t>
  </si>
  <si>
    <t>SECRETARIA DE ESTADO DE ECONOMIA DO DISTRITO FEDERAL</t>
  </si>
  <si>
    <t>Licença/Alvará Sanitário e Projeto Arquitetonico- Expansão Filial</t>
  </si>
  <si>
    <t>Licença Ambiental  - Expansão Filial</t>
  </si>
  <si>
    <t xml:space="preserve">IEMA / SEMMA </t>
  </si>
  <si>
    <t xml:space="preserve">POLICIA FEDERAL / IBAMA </t>
  </si>
  <si>
    <t>Autorização Especial - Expansão Filial</t>
  </si>
  <si>
    <t>ANVISA</t>
  </si>
  <si>
    <t>Autorização Produtos para Saude - Expansão Filial</t>
  </si>
  <si>
    <t>Atualização Projeto Arquitetonico</t>
  </si>
  <si>
    <t>Atualização PGRS</t>
  </si>
  <si>
    <t>IMPOSTOS/ TAXAS ESTADUAIS</t>
  </si>
  <si>
    <t xml:space="preserve">Licença Policia Civil e Exercito </t>
  </si>
  <si>
    <t>IMA</t>
  </si>
  <si>
    <t>IMPOSTOS/TAXAS MUNICIPAIS</t>
  </si>
  <si>
    <t xml:space="preserve">Renovação Certficado de Boas Praticas - Medicamentos </t>
  </si>
  <si>
    <t>NEGOCIAL SINDICAL</t>
  </si>
  <si>
    <t>SAGESP</t>
  </si>
  <si>
    <t xml:space="preserve">CAFÉ INTEGRAÇÃO </t>
  </si>
  <si>
    <t>LC RESTAURANTE</t>
  </si>
  <si>
    <t>ENCONTRO TRILHA DE JOVENS APRENDIZES</t>
  </si>
  <si>
    <t>LC E BRINDES</t>
  </si>
  <si>
    <t>BRINDES E DOACOES/INDEDUTIVEL</t>
  </si>
  <si>
    <t>KIT ADMISSIONAL</t>
  </si>
  <si>
    <t>KIT ADMISSIONAL - APRENDIZES</t>
  </si>
  <si>
    <t>CORDÕES DE CRACHÁ</t>
  </si>
  <si>
    <t>INFOACTIVE SCANBOX</t>
  </si>
  <si>
    <t>BRINDES - DATAS COMEMORATIVAS</t>
  </si>
  <si>
    <t>EVENTOS</t>
  </si>
  <si>
    <t>KIT ANIVERSÁRIO DE EMPRESA</t>
  </si>
  <si>
    <t>KIT MATERNIDADE</t>
  </si>
  <si>
    <t>COTAR/COTAÇÃO</t>
  </si>
  <si>
    <t>FITA PARA IMPRESSORA DE CRACHÁ</t>
  </si>
  <si>
    <t>STAR PRINTER IMPORTADORA, COMERCIAL E TECNOLOGIA</t>
  </si>
  <si>
    <t>ADESIVO CARTILHA DO COLABORADOR / MANUAL DE ETICA E CONDUTA</t>
  </si>
  <si>
    <t>ADEGRAF</t>
  </si>
  <si>
    <t>CRACHÁ DE IDENTIFICAÇÃO (PVC)</t>
  </si>
  <si>
    <t>ARTCARDS CRACHÁS</t>
  </si>
  <si>
    <t>CONSULTORIA DE R&amp;S</t>
  </si>
  <si>
    <t xml:space="preserve">REEMBOLSOS DIVERSOS </t>
  </si>
  <si>
    <t>MURAL ELETRONICO</t>
  </si>
  <si>
    <t>BRINDES - COPO</t>
  </si>
  <si>
    <t>VB</t>
  </si>
  <si>
    <t>REFEIÇÕES</t>
  </si>
  <si>
    <t>LC ADMINISTRAÇÃO DE RESTAURANTES</t>
  </si>
  <si>
    <t>IFOOD</t>
  </si>
  <si>
    <t>REUNIÕES E VISITAS</t>
  </si>
  <si>
    <t>Visitas em Filiais e Parceiros</t>
  </si>
  <si>
    <t>EVENTOS INTERNOS E WORKSHOPS</t>
  </si>
  <si>
    <t>MATERIAL DE ESCRITÓRIO (SULFITE FLUXO RB)</t>
  </si>
  <si>
    <t>ESTACIONAMENTOS DIVERSOS</t>
  </si>
  <si>
    <t>NOTEBOOK E CELULAR INOPERANTE</t>
  </si>
  <si>
    <t>LICENCA DE QLIK SENSE E OFFICE 365</t>
  </si>
  <si>
    <t>VIDEO WALL (QUEIMOU)</t>
  </si>
  <si>
    <t>SUPORTE  - FILIAIS</t>
  </si>
  <si>
    <t>UBER - DIVERSOS</t>
  </si>
  <si>
    <t>NOVOS PROJETOS - ATUALIZAÇÃO WINDOWS SERVER</t>
  </si>
  <si>
    <t>NOVOS PROJETOS</t>
  </si>
  <si>
    <t>SWITCH CORE ATUAL JÁ DESCONTINUADO E SEM SUPORTE</t>
  </si>
  <si>
    <t>REEOGANIZAÇÃO FIBRAS OTICAS</t>
  </si>
  <si>
    <t xml:space="preserve">SERVIÇO EXTRA </t>
  </si>
  <si>
    <t>MANTUENÇÃO NOBREAK DATACENTER</t>
  </si>
  <si>
    <t>MANUTENÇÃO EQUIPAMETOS TI</t>
  </si>
  <si>
    <t>PRESTAÇÃO DE SERVIÇO DE INFORMATICA E DESENVOLVIMENTO</t>
  </si>
  <si>
    <t>ISRAEL ROCHA CUSTODIO &amp; CIA LTDA</t>
  </si>
  <si>
    <t>LICENÇAS GEMINI 2.5 PRO - DESENVOLVIMENTO IA</t>
  </si>
  <si>
    <t>API VERTEX/GEMINNI  - DESENVOLVIMENTO IA</t>
  </si>
  <si>
    <t xml:space="preserve">RENOVAÇÃO DE LICENCIAMENTO </t>
  </si>
  <si>
    <t>INVOICE DEVELOPER EXPRESS</t>
  </si>
  <si>
    <t>HOSPEDAGEM ARQUIVOS ANTIGOS</t>
  </si>
  <si>
    <t>CLIENTE SUNSTAR - LINK DE DADOS</t>
  </si>
  <si>
    <t>RENOVAÇÃO LICENCIAMENTO BACKUP</t>
  </si>
  <si>
    <t>HP - DATAPROTECTOR</t>
  </si>
  <si>
    <t>RENOVAÇAO LICENÇA ANTIVIRUS</t>
  </si>
  <si>
    <t>BITDEFEENDER</t>
  </si>
  <si>
    <t xml:space="preserve"> </t>
  </si>
  <si>
    <t>LICENIAMENTO VMWARE</t>
  </si>
  <si>
    <t>VMWARE</t>
  </si>
  <si>
    <t>RENOVAÇÃO LICENCIAMENTO BI ( SENSE)</t>
  </si>
  <si>
    <t>ORANGE</t>
  </si>
  <si>
    <t>RENOVAÇÃO SUPORTE ORACLE</t>
  </si>
  <si>
    <t>ORACLE</t>
  </si>
  <si>
    <t>NNL CONSULTORIA EMPRESARIAL LTDA</t>
  </si>
  <si>
    <t>AUGUSTO VIEIRA</t>
  </si>
  <si>
    <t>MUSSOLINI ASSESSORIA EM NEGOCIOS LTDA</t>
  </si>
  <si>
    <t>Não se Aplica</t>
  </si>
  <si>
    <t>VIAGENS FILIAIS</t>
  </si>
  <si>
    <t>REEMBOLSO CARLOS CORRALES</t>
  </si>
  <si>
    <t>QUADRO DE GESTÃO A VISTA</t>
  </si>
  <si>
    <t>REEMBOLSO JOSÉ CORRALES</t>
  </si>
  <si>
    <t>Pasta Aluguel Imoveis</t>
  </si>
  <si>
    <t>CRISTINA ALKMIM</t>
  </si>
  <si>
    <t>ESPACIAL SUPRIMENTOS</t>
  </si>
  <si>
    <t>CURSO REFORMA TRIBUTÁRIA</t>
  </si>
  <si>
    <t>Difal / Outros</t>
  </si>
  <si>
    <t>SINDICATO ARMAZENS GERAIS</t>
  </si>
  <si>
    <t>SINDICATO DAS EMPRESASDE TRANSPORTES DE CARGA DE SAO PAULO</t>
  </si>
  <si>
    <t>SETCESP SIND EMP T.C.E. SAO PAULO</t>
  </si>
  <si>
    <t>Reembolsos Angelica</t>
  </si>
  <si>
    <t>Reembolsos Gustavo</t>
  </si>
  <si>
    <t>Reembolsos Felipe</t>
  </si>
  <si>
    <t>Reembolsos Augusto</t>
  </si>
  <si>
    <t>Pepe Grill</t>
  </si>
  <si>
    <t>Oper</t>
  </si>
  <si>
    <t>Adm</t>
  </si>
  <si>
    <t>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</si>
</sst>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  <numFmt numFmtId="166" formatCode="_-&quot;R$&quot;* #,##0.00_-;\-&quot;R$&quot;* #,##0.00_-;_-&quot;R$&quot;* &quot;-&quot;??_-;_-@_-"/>
    <numFmt numFmtId="167" formatCode="_(* #,##0.00_);_(* \(#,##0.00\);_(* &quot;-&quot;??_);_(@_)"/>
    <numFmt numFmtId="168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FF0000"/>
      <name val="Arial"/>
      <family val="2"/>
    </font>
    <font>
      <b/>
      <sz val="14"/>
      <color indexed="30"/>
      <name val="Calibri"/>
      <family val="2"/>
    </font>
    <font>
      <sz val="11"/>
      <color indexed="30"/>
      <name val="Calibri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color theme="1"/>
      <name val="Tahoma"/>
      <family val="2"/>
    </font>
    <font>
      <sz val="9"/>
      <name val="Arial"/>
      <family val="2"/>
    </font>
    <font>
      <sz val="10"/>
      <color theme="0"/>
      <name val="Calibri"/>
      <family val="2"/>
      <scheme val="minor"/>
    </font>
    <font>
      <sz val="8"/>
      <color rgb="FFC00000"/>
      <name val="Arial"/>
      <family val="2"/>
    </font>
    <font>
      <sz val="9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44" fontId="1" fillId="0" borderId="0" applyFont="0" applyFill="0" applyBorder="0" applyAlignment="0" applyProtection="0"/>
  </cellStyleXfs>
  <cellXfs count="107">
    <xf numFmtId="0" fontId="0" fillId="0" borderId="0" xfId="0"/>
    <xf numFmtId="0" fontId="4" fillId="0" borderId="0" xfId="0" applyFont="1"/>
    <xf numFmtId="3" fontId="5" fillId="2" borderId="0" xfId="0" applyNumberFormat="1" applyFont="1" applyFill="1"/>
    <xf numFmtId="3" fontId="6" fillId="2" borderId="0" xfId="0" applyNumberFormat="1" applyFont="1" applyFill="1"/>
    <xf numFmtId="164" fontId="7" fillId="0" borderId="0" xfId="0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164" fontId="0" fillId="0" borderId="0" xfId="0" applyNumberFormat="1"/>
    <xf numFmtId="0" fontId="8" fillId="0" borderId="0" xfId="0" applyFont="1"/>
    <xf numFmtId="0" fontId="8" fillId="0" borderId="0" xfId="0" applyFont="1" applyAlignment="1">
      <alignment horizontal="center"/>
    </xf>
    <xf numFmtId="166" fontId="4" fillId="0" borderId="0" xfId="2" applyFont="1"/>
    <xf numFmtId="0" fontId="9" fillId="0" borderId="0" xfId="0" applyFont="1"/>
    <xf numFmtId="0" fontId="7" fillId="0" borderId="0" xfId="0" applyFont="1"/>
    <xf numFmtId="3" fontId="7" fillId="0" borderId="0" xfId="0" applyNumberFormat="1" applyFont="1"/>
    <xf numFmtId="164" fontId="7" fillId="0" borderId="0" xfId="0" applyNumberFormat="1" applyFont="1"/>
    <xf numFmtId="164" fontId="10" fillId="0" borderId="0" xfId="1" applyNumberFormat="1" applyFont="1"/>
    <xf numFmtId="0" fontId="7" fillId="0" borderId="0" xfId="0" applyFont="1" applyAlignment="1">
      <alignment horizontal="center"/>
    </xf>
    <xf numFmtId="0" fontId="11" fillId="0" borderId="0" xfId="0" applyFont="1"/>
    <xf numFmtId="166" fontId="9" fillId="0" borderId="0" xfId="2" applyFont="1"/>
    <xf numFmtId="167" fontId="7" fillId="0" borderId="0" xfId="0" applyNumberFormat="1" applyFont="1"/>
    <xf numFmtId="0" fontId="9" fillId="0" borderId="0" xfId="0" applyFont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17" fontId="13" fillId="3" borderId="3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6" fontId="9" fillId="0" borderId="0" xfId="2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17" fillId="0" borderId="3" xfId="1" applyNumberFormat="1" applyFont="1" applyFill="1" applyBorder="1"/>
    <xf numFmtId="0" fontId="19" fillId="4" borderId="3" xfId="0" applyFont="1" applyFill="1" applyBorder="1"/>
    <xf numFmtId="0" fontId="4" fillId="4" borderId="3" xfId="0" applyFont="1" applyFill="1" applyBorder="1"/>
    <xf numFmtId="0" fontId="3" fillId="0" borderId="0" xfId="0" applyFont="1"/>
    <xf numFmtId="168" fontId="18" fillId="0" borderId="0" xfId="0" applyNumberFormat="1" applyFont="1"/>
    <xf numFmtId="0" fontId="18" fillId="0" borderId="0" xfId="0" applyFont="1" applyAlignment="1">
      <alignment horizontal="center"/>
    </xf>
    <xf numFmtId="0" fontId="2" fillId="0" borderId="0" xfId="0" applyFont="1"/>
    <xf numFmtId="0" fontId="14" fillId="5" borderId="3" xfId="0" applyFont="1" applyFill="1" applyBorder="1"/>
    <xf numFmtId="0" fontId="14" fillId="5" borderId="3" xfId="0" applyFont="1" applyFill="1" applyBorder="1" applyProtection="1">
      <protection locked="0"/>
    </xf>
    <xf numFmtId="0" fontId="14" fillId="5" borderId="3" xfId="0" applyFont="1" applyFill="1" applyBorder="1" applyAlignment="1">
      <alignment horizontal="left"/>
    </xf>
    <xf numFmtId="164" fontId="17" fillId="5" borderId="3" xfId="1" applyNumberFormat="1" applyFont="1" applyFill="1" applyBorder="1"/>
    <xf numFmtId="44" fontId="17" fillId="5" borderId="0" xfId="4" applyFont="1" applyFill="1" applyBorder="1" applyAlignment="1"/>
    <xf numFmtId="14" fontId="17" fillId="5" borderId="0" xfId="0" applyNumberFormat="1" applyFont="1" applyFill="1"/>
    <xf numFmtId="0" fontId="17" fillId="5" borderId="0" xfId="0" applyFont="1" applyFill="1" applyAlignment="1">
      <alignment horizontal="center"/>
    </xf>
    <xf numFmtId="9" fontId="17" fillId="5" borderId="0" xfId="0" applyNumberFormat="1" applyFont="1" applyFill="1"/>
    <xf numFmtId="0" fontId="15" fillId="0" borderId="0" xfId="0" applyFont="1"/>
    <xf numFmtId="166" fontId="15" fillId="0" borderId="0" xfId="2" applyFont="1"/>
    <xf numFmtId="0" fontId="4" fillId="4" borderId="0" xfId="0" applyFont="1" applyFill="1"/>
    <xf numFmtId="0" fontId="14" fillId="4" borderId="3" xfId="0" applyFont="1" applyFill="1" applyBorder="1"/>
    <xf numFmtId="164" fontId="17" fillId="4" borderId="3" xfId="1" applyNumberFormat="1" applyFont="1" applyFill="1" applyBorder="1"/>
    <xf numFmtId="0" fontId="0" fillId="4" borderId="0" xfId="0" applyFill="1"/>
    <xf numFmtId="14" fontId="17" fillId="4" borderId="0" xfId="0" applyNumberFormat="1" applyFont="1" applyFill="1"/>
    <xf numFmtId="0" fontId="17" fillId="4" borderId="0" xfId="0" applyFont="1" applyFill="1" applyAlignment="1">
      <alignment horizontal="center"/>
    </xf>
    <xf numFmtId="9" fontId="17" fillId="4" borderId="0" xfId="0" applyNumberFormat="1" applyFont="1" applyFill="1"/>
    <xf numFmtId="44" fontId="17" fillId="5" borderId="0" xfId="4" applyFont="1" applyFill="1" applyBorder="1" applyAlignment="1">
      <alignment horizontal="center"/>
    </xf>
    <xf numFmtId="0" fontId="15" fillId="4" borderId="3" xfId="0" applyFont="1" applyFill="1" applyBorder="1" applyProtection="1">
      <protection locked="0"/>
    </xf>
    <xf numFmtId="0" fontId="15" fillId="4" borderId="3" xfId="0" applyFont="1" applyFill="1" applyBorder="1"/>
    <xf numFmtId="0" fontId="15" fillId="4" borderId="3" xfId="0" applyFont="1" applyFill="1" applyBorder="1" applyAlignment="1">
      <alignment horizontal="left"/>
    </xf>
    <xf numFmtId="164" fontId="11" fillId="4" borderId="0" xfId="1" applyNumberFormat="1" applyFont="1" applyFill="1" applyBorder="1"/>
    <xf numFmtId="168" fontId="8" fillId="4" borderId="0" xfId="0" applyNumberFormat="1" applyFont="1" applyFill="1"/>
    <xf numFmtId="0" fontId="8" fillId="4" borderId="0" xfId="0" applyFont="1" applyFill="1" applyAlignment="1">
      <alignment horizontal="center"/>
    </xf>
    <xf numFmtId="44" fontId="17" fillId="4" borderId="0" xfId="4" applyFont="1" applyFill="1" applyBorder="1" applyAlignment="1"/>
    <xf numFmtId="44" fontId="17" fillId="4" borderId="0" xfId="4" applyFont="1" applyFill="1" applyBorder="1" applyAlignment="1">
      <alignment horizontal="center"/>
    </xf>
    <xf numFmtId="0" fontId="14" fillId="5" borderId="3" xfId="5" applyFont="1" applyFill="1" applyBorder="1" applyAlignment="1">
      <alignment horizontal="left"/>
    </xf>
    <xf numFmtId="0" fontId="14" fillId="5" borderId="3" xfId="0" applyFont="1" applyFill="1" applyBorder="1" applyAlignment="1">
      <alignment horizontal="left" wrapText="1"/>
    </xf>
    <xf numFmtId="164" fontId="2" fillId="0" borderId="0" xfId="0" applyNumberFormat="1" applyFont="1"/>
    <xf numFmtId="44" fontId="11" fillId="5" borderId="0" xfId="1" applyNumberFormat="1" applyFont="1" applyFill="1" applyBorder="1"/>
    <xf numFmtId="44" fontId="17" fillId="5" borderId="0" xfId="1" applyNumberFormat="1" applyFont="1" applyFill="1" applyBorder="1"/>
    <xf numFmtId="0" fontId="14" fillId="0" borderId="3" xfId="0" applyFont="1" applyBorder="1"/>
    <xf numFmtId="0" fontId="14" fillId="0" borderId="3" xfId="0" applyFont="1" applyBorder="1" applyProtection="1">
      <protection locked="0"/>
    </xf>
    <xf numFmtId="0" fontId="14" fillId="0" borderId="3" xfId="0" applyFont="1" applyBorder="1" applyAlignment="1">
      <alignment horizontal="left"/>
    </xf>
    <xf numFmtId="0" fontId="15" fillId="5" borderId="3" xfId="0" applyFont="1" applyFill="1" applyBorder="1" applyProtection="1">
      <protection locked="0"/>
    </xf>
    <xf numFmtId="0" fontId="14" fillId="5" borderId="3" xfId="5" applyFont="1" applyFill="1" applyBorder="1"/>
    <xf numFmtId="0" fontId="15" fillId="5" borderId="3" xfId="0" applyFont="1" applyFill="1" applyBorder="1"/>
    <xf numFmtId="0" fontId="14" fillId="4" borderId="3" xfId="5" applyFont="1" applyFill="1" applyBorder="1" applyAlignment="1">
      <alignment horizontal="left"/>
    </xf>
    <xf numFmtId="0" fontId="14" fillId="4" borderId="3" xfId="5" applyFont="1" applyFill="1" applyBorder="1"/>
    <xf numFmtId="164" fontId="0" fillId="4" borderId="0" xfId="0" applyNumberFormat="1" applyFill="1"/>
    <xf numFmtId="44" fontId="17" fillId="4" borderId="0" xfId="1" applyNumberFormat="1" applyFont="1" applyFill="1" applyBorder="1"/>
    <xf numFmtId="0" fontId="15" fillId="5" borderId="3" xfId="0" applyFont="1" applyFill="1" applyBorder="1" applyAlignment="1">
      <alignment horizontal="left"/>
    </xf>
    <xf numFmtId="44" fontId="17" fillId="5" borderId="0" xfId="6" applyFont="1" applyFill="1" applyBorder="1" applyAlignment="1">
      <alignment horizontal="center"/>
    </xf>
    <xf numFmtId="0" fontId="16" fillId="4" borderId="3" xfId="0" applyFont="1" applyFill="1" applyBorder="1" applyAlignment="1">
      <alignment horizontal="left"/>
    </xf>
    <xf numFmtId="0" fontId="15" fillId="0" borderId="3" xfId="0" applyFont="1" applyBorder="1" applyProtection="1">
      <protection locked="0"/>
    </xf>
    <xf numFmtId="0" fontId="14" fillId="0" borderId="3" xfId="5" applyFont="1" applyBorder="1" applyAlignment="1">
      <alignment horizontal="left"/>
    </xf>
    <xf numFmtId="0" fontId="14" fillId="0" borderId="3" xfId="5" applyFont="1" applyBorder="1"/>
    <xf numFmtId="0" fontId="15" fillId="0" borderId="3" xfId="0" applyFont="1" applyBorder="1"/>
    <xf numFmtId="164" fontId="11" fillId="0" borderId="0" xfId="1" applyNumberFormat="1" applyFont="1" applyFill="1" applyBorder="1"/>
    <xf numFmtId="14" fontId="17" fillId="0" borderId="0" xfId="0" applyNumberFormat="1" applyFont="1"/>
    <xf numFmtId="0" fontId="17" fillId="0" borderId="0" xfId="0" applyFont="1" applyAlignment="1">
      <alignment horizontal="center"/>
    </xf>
    <xf numFmtId="9" fontId="17" fillId="0" borderId="0" xfId="0" applyNumberFormat="1" applyFont="1"/>
    <xf numFmtId="0" fontId="15" fillId="0" borderId="3" xfId="0" applyFont="1" applyBorder="1" applyAlignment="1">
      <alignment horizontal="left"/>
    </xf>
    <xf numFmtId="168" fontId="8" fillId="0" borderId="0" xfId="0" applyNumberFormat="1" applyFont="1"/>
    <xf numFmtId="164" fontId="17" fillId="4" borderId="3" xfId="1" applyNumberFormat="1" applyFont="1" applyFill="1" applyBorder="1" applyProtection="1">
      <protection locked="0"/>
    </xf>
    <xf numFmtId="0" fontId="15" fillId="0" borderId="3" xfId="5" applyFont="1" applyBorder="1" applyAlignment="1">
      <alignment horizontal="left"/>
    </xf>
    <xf numFmtId="0" fontId="15" fillId="0" borderId="3" xfId="5" applyFont="1" applyBorder="1"/>
    <xf numFmtId="0" fontId="14" fillId="6" borderId="3" xfId="0" applyFont="1" applyFill="1" applyBorder="1"/>
    <xf numFmtId="164" fontId="17" fillId="0" borderId="3" xfId="1" applyNumberFormat="1" applyFont="1" applyFill="1" applyBorder="1" applyProtection="1">
      <protection locked="0"/>
    </xf>
    <xf numFmtId="10" fontId="11" fillId="0" borderId="0" xfId="3" applyNumberFormat="1" applyFont="1" applyFill="1" applyBorder="1"/>
    <xf numFmtId="43" fontId="0" fillId="0" borderId="0" xfId="0" applyNumberFormat="1"/>
    <xf numFmtId="43" fontId="8" fillId="0" borderId="0" xfId="0" applyNumberFormat="1" applyFont="1" applyAlignment="1">
      <alignment horizontal="center"/>
    </xf>
    <xf numFmtId="10" fontId="0" fillId="0" borderId="0" xfId="3" applyNumberFormat="1" applyFont="1"/>
    <xf numFmtId="43" fontId="0" fillId="0" borderId="0" xfId="1" applyFont="1" applyFill="1" applyBorder="1"/>
    <xf numFmtId="168" fontId="8" fillId="0" borderId="0" xfId="1" applyNumberFormat="1" applyFont="1" applyFill="1" applyBorder="1"/>
    <xf numFmtId="0" fontId="14" fillId="6" borderId="3" xfId="0" applyFont="1" applyFill="1" applyBorder="1" applyAlignment="1">
      <alignment horizontal="left"/>
    </xf>
    <xf numFmtId="44" fontId="17" fillId="0" borderId="0" xfId="4" applyFont="1" applyFill="1" applyBorder="1" applyAlignment="1">
      <alignment horizontal="center"/>
    </xf>
    <xf numFmtId="0" fontId="16" fillId="0" borderId="3" xfId="0" applyFont="1" applyBorder="1" applyAlignment="1">
      <alignment horizontal="left"/>
    </xf>
    <xf numFmtId="0" fontId="15" fillId="6" borderId="3" xfId="0" applyFont="1" applyFill="1" applyBorder="1"/>
    <xf numFmtId="0" fontId="15" fillId="0" borderId="0" xfId="0" applyFont="1" applyProtection="1">
      <protection locked="0"/>
    </xf>
    <xf numFmtId="164" fontId="20" fillId="0" borderId="0" xfId="1" applyNumberFormat="1" applyFont="1" applyFill="1" applyBorder="1"/>
    <xf numFmtId="164" fontId="12" fillId="3" borderId="1" xfId="1" applyNumberFormat="1" applyFont="1" applyFill="1" applyBorder="1" applyAlignment="1">
      <alignment horizontal="center"/>
    </xf>
    <xf numFmtId="164" fontId="12" fillId="3" borderId="2" xfId="1" applyNumberFormat="1" applyFont="1" applyFill="1" applyBorder="1" applyAlignment="1">
      <alignment horizontal="center"/>
    </xf>
  </cellXfs>
  <cellStyles count="7">
    <cellStyle name="Moeda" xfId="2" builtinId="4"/>
    <cellStyle name="Moeda 2" xfId="4" xr:uid="{FFD7CDC8-89FB-4596-8F03-9C915C73FA4C}"/>
    <cellStyle name="Moeda 2 4" xfId="6" xr:uid="{C6FD768A-E59C-4820-9649-A14F9C1CD8ED}"/>
    <cellStyle name="Normal" xfId="0" builtinId="0"/>
    <cellStyle name="Normal 8" xfId="5" xr:uid="{E55D1D28-BDAB-4800-8A00-B83B0ECB1FD8}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520and%2520Settings\Cristina\My%2520Documents\Altana\Excel\Apura&#231;&#227;o%2520Faturamento%2520Altana%2520Nov%25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5\Societa\fecha05_Osas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Budget%202018\Despesas_Budget_2018_Centro_de_Custos\Budget_Estat&#237;stica_201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tullio.sanches\AppData\Local\Microsoft\Windows\Temporary%20Internet%20Files\Content.Outlook\I4G5ZSEH\Planilha%20de%20Controle%20de%20Premia&#231;&#227;o%20-%20Geral%20Outubr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no.dameto\AppData\Local\Microsoft\Windows\Temporary%20Internet%20Files\Content.Outlook\GGE6Y1SM\Meus%20Documentos\Planilhas%20de%20controle\Controle%20de%20Coletas%20201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0.206\luftlogistics\Users\cristiane.grizoni.LUFTFARMA\Documents\Clientes\Genomma\Estudo%2520Rodo%2520Tabela%2520Cometa%2520Origem%2520SC%2520(1)%2520%2520Genomm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MsOffice\Excel\OPCOM-Polomex\2004\POLOMEX_OPCOM_YTD12_04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0.206\luftlogistics\Controladora_new\Realizado%25202016\REAL_DRE_2015_Previa_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0.206\luftlogistics\Users\augusto.vieira\AppData\Local\Microsoft\Windows\Temporary%2520Internet%2520Files\Content.Outlook\H1UOCN30\MODELO%2520AGENDA%2520%2520FOLLOW%2520UP_Ger&#234;ncia%2520de%2520Conta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thers\Reports\REPORT99\TOTRES9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0.206\luftlogistics\Users\ECAIXE~1.NID\AppData\Local\Temp\notesA2383B\~6345258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D533BA7\Constitui&#231;&#227;o%20dos%20Prazos%20-%20Tabela%20Padr&#227;o%20Agosto%20de%202012%20-%20v1%20Original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ntroladoria\2006\MATRIZ\fecha06_osaCOPI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0.206\luftlogistics\172.16.200.206\luftlogistics\Users\Felipe\Desktop\172.16.200.24\J\KPIs\Dados%20processo%20expedi&#231;&#227;o%202013%20Oficial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paola.menezes\AppData\Roaming\Microsoft\Excel\&#205;ndicadores%20Operacionais\2015\Premia&#231;&#227;o%20Golden\Agosto%202014\Planilha%20de%20Controle%20-%20Premia&#231;&#227;o%20-%20GERAL%20-%20Agosto%20FECHAMENTO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520and%2520Settings\thais.paulo\Desktop\OPERA&#199;&#195;O%2520Clientes\Teva\TEV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oras%20Extras_Jan%20a%20Abril2017%20(4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pedro.terra\Documents\05%20-%20Apoio\Tabela%20Precifica&#231;&#227;o%20-%20Custos%20Diretos%20-%20Completa_V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0.206\luftlogistics\172.16.200.206\luftlogistics\Users\francisco.santos\Documents\LUFT_Custos_RodoFracionado_V5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0.206\luftlogistics\Users\augusto.vieira\Documents\OR&#199;AMENTO%25202014%2520-%2520TRANSPORTE%2520V7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SI&#199;&#195;O%20FRETE%20DRE%20201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520and%2520Settings\cgrizoni\Meus%2520documentos\Cris\Simuladores\PSIMON%2520SHUTTLE%25202008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paola.menezes\AppData\Roaming\Microsoft\Excel\DADOS%20-%20HIST&#211;RICO\Planilha%20de%20Controle%20-%20Premia&#231;&#227;o%20GERAL%20-%20Mar&#231;o%2015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0.206\luftlogistics\172.16.200.206\luftlogistics\Users\francisco.mazzoni\Desktop\Projetos%20em%20desenvolvimento\Incluir%20na%20Rede\Cellera%20-%20Varginha\AE\Avalia&#231;&#227;o%20Economica_%20Armazenagem%20Cellera%20Rev7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DCT%20Detail%20Mar-08%20by%20sku%20%20Region1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0.206\luftlogistics\172.16.200.206\luftlogistics\Reporte%20Internacional\2011.09\MAR\BRAZIL\3%20-%20Financial%20Statement%20Trend%20-%20BRAZIL%20-%202011.10.1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9%20FAT.%20POR%20TIPO%20DE%20DOC%20-%20SET.13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0.206\luftlogistics\Users\augusto.vieira\Documents\Analise%2520%2520-%25202011%25202012%25202013%2520-%2520Transporte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0.206\luftlogistics\192.168.0.58\Clientes\DU%20PONT\Tabelas%202012%20x%202013\Revis&#227;o%20de%20Prazos%20DuPOnt-Fevereiro%202013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nts%20and%20Settings\Marcos%20Vilela%20Ribeir\My%20Documents\Clientes\FMC\Tabela-Frete-2004R4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0.206\luftlogistics\slaidtfs002\PCP\Financeiro\Reporte%20Internacional\2011.09\MAR\BRAZIL\3%20-%20Financial%20Statement%20Trend%20-%20BRAZIL%20-%202011.10.1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tullio.sanches\AppData\Local\Microsoft\Windows\Temporary%20Internet%20Files\Content.Outlook\ZU910SKX\PLANOS%20DE%20VIAGENS\08%20-%20AGOSTO\16_08_10\EFO-244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0.206\luftlogistics\Departamento\Sementes\Budget\Budget%202015\Produ&#231;&#227;o%202015%20Jefferson\Rog&#233;rio%20Garcia\Recebidos\315002300%20-%20Armazenagem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0.206\LuftLogistics\CONTROLADORIA\CONTROLADORA\Budget%202026\De_Para-DRE%20Despesas%20Fixas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CONTROLADORIA\CONTROLADORA\Budget%202026\Budget%202026_v21.xlsx" TargetMode="External"/><Relationship Id="rId1" Type="http://schemas.openxmlformats.org/officeDocument/2006/relationships/externalLinkPath" Target="file:///L:\CONTROLADORIA\CONTROLADORA\Budget%202026\Budget%202026_v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xMK"/>
      <sheetName val="Cadastro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dinc"/>
      <sheetName val="cpv"/>
      <sheetName val="transf"/>
      <sheetName val="fat"/>
      <sheetName val="result"/>
      <sheetName val="gif"/>
      <sheetName val="Prod_Outros"/>
      <sheetName val="Giro bco dados"/>
      <sheetName val="res APR"/>
      <sheetName val="gif APR"/>
      <sheetName val="adm_com APR"/>
      <sheetName val="Dados para Graficos Osasco"/>
      <sheetName val="Gráfico Margem Bruta Osasco"/>
      <sheetName val="Grafico Dias de Estoque AR_ OS"/>
      <sheetName val="Gráfico Est R$ Ar OS"/>
      <sheetName val="Plan1"/>
      <sheetName val="Estoques Areia OS"/>
      <sheetName val="Cadastro"/>
      <sheetName val="Legand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F3" t="str">
            <v>DESPESAS INCORRIDAS</v>
          </cell>
        </row>
      </sheetData>
      <sheetData sheetId="9">
        <row r="3">
          <cell r="AF3" t="str">
            <v>DESPESAS INCORRIDAS</v>
          </cell>
        </row>
      </sheetData>
      <sheetData sheetId="10">
        <row r="3">
          <cell r="AF3" t="str">
            <v>DESPESAS INCORRIDAS</v>
          </cell>
        </row>
      </sheetData>
      <sheetData sheetId="11">
        <row r="3">
          <cell r="AF3" t="str">
            <v>DESPESAS INCORRIDAS</v>
          </cell>
          <cell r="AN3" t="str">
            <v>SET/05</v>
          </cell>
        </row>
        <row r="4">
          <cell r="AF4" t="str">
            <v>Em Milhares de R$</v>
          </cell>
          <cell r="AM4" t="str">
            <v>ACUMULADO</v>
          </cell>
        </row>
        <row r="5">
          <cell r="AF5" t="str">
            <v>ADMINISTRATIVOS</v>
          </cell>
          <cell r="AH5" t="str">
            <v>JUL</v>
          </cell>
          <cell r="AI5" t="str">
            <v>AGO</v>
          </cell>
          <cell r="AJ5" t="str">
            <v>SET</v>
          </cell>
          <cell r="AK5" t="str">
            <v>Plano Set</v>
          </cell>
          <cell r="AM5" t="str">
            <v>REAL</v>
          </cell>
          <cell r="AN5" t="str">
            <v>PLANO</v>
          </cell>
        </row>
        <row r="7">
          <cell r="AF7" t="str">
            <v>Salarios e Ordenados</v>
          </cell>
          <cell r="AH7">
            <v>113.1012546167466</v>
          </cell>
          <cell r="AI7">
            <v>128.24914013564793</v>
          </cell>
          <cell r="AJ7">
            <v>126.79361634243911</v>
          </cell>
          <cell r="AK7" t="e">
            <v>#NAME?</v>
          </cell>
          <cell r="AM7">
            <v>1524.4036376631382</v>
          </cell>
          <cell r="AN7">
            <v>1566.3159328206125</v>
          </cell>
        </row>
        <row r="8">
          <cell r="AF8" t="str">
            <v>Horas Extras</v>
          </cell>
          <cell r="AH8">
            <v>10.768281148120249</v>
          </cell>
          <cell r="AI8">
            <v>11.414497664274323</v>
          </cell>
          <cell r="AJ8">
            <v>10.917154935951773</v>
          </cell>
          <cell r="AK8" t="e">
            <v>#NAME?</v>
          </cell>
          <cell r="AM8">
            <v>93.456669754007805</v>
          </cell>
          <cell r="AN8">
            <v>105.44431487653651</v>
          </cell>
        </row>
        <row r="9">
          <cell r="AF9" t="str">
            <v>Encargos Sociais</v>
          </cell>
          <cell r="AH9">
            <v>70.300649826964673</v>
          </cell>
          <cell r="AI9">
            <v>78.829235455325232</v>
          </cell>
          <cell r="AJ9">
            <v>76.043759465169188</v>
          </cell>
          <cell r="AK9" t="e">
            <v>#NAME?</v>
          </cell>
          <cell r="AM9">
            <v>886.57834469455634</v>
          </cell>
          <cell r="AN9">
            <v>993.14519751165301</v>
          </cell>
        </row>
        <row r="10">
          <cell r="AF10" t="str">
            <v>Beneficios</v>
          </cell>
          <cell r="AH10">
            <v>2.8051269474798097</v>
          </cell>
          <cell r="AI10">
            <v>11.423838986705455</v>
          </cell>
          <cell r="AJ10">
            <v>13.575389169425884</v>
          </cell>
          <cell r="AK10" t="e">
            <v>#NAME?</v>
          </cell>
          <cell r="AM10">
            <v>157.83381267056751</v>
          </cell>
          <cell r="AN10">
            <v>215.08046968873222</v>
          </cell>
        </row>
        <row r="11">
          <cell r="AF11" t="str">
            <v>TOTAL C/ PESSOAL</v>
          </cell>
          <cell r="AH11">
            <v>229.91671224195295</v>
          </cell>
          <cell r="AI11">
            <v>227.32991991298596</v>
          </cell>
          <cell r="AJ11" t="e">
            <v>#NAME?</v>
          </cell>
          <cell r="AK11" t="e">
            <v>#NAME?</v>
          </cell>
          <cell r="AM11">
            <v>2662.2724647822697</v>
          </cell>
          <cell r="AN11">
            <v>2879.9859148975343</v>
          </cell>
        </row>
        <row r="13">
          <cell r="AF13" t="str">
            <v>Viagens/Cond./Refeicoes</v>
          </cell>
          <cell r="AH13">
            <v>15.005594553040368</v>
          </cell>
          <cell r="AI13">
            <v>16.16960510353627</v>
          </cell>
          <cell r="AJ13">
            <v>17.761354400779112</v>
          </cell>
          <cell r="AK13" t="e">
            <v>#NAME?</v>
          </cell>
          <cell r="AM13">
            <v>219.54549265086095</v>
          </cell>
          <cell r="AN13">
            <v>406.87942130972851</v>
          </cell>
        </row>
        <row r="14">
          <cell r="AF14" t="str">
            <v>Leasing/Aluguel</v>
          </cell>
          <cell r="AH14">
            <v>4.0087669915707567</v>
          </cell>
          <cell r="AI14">
            <v>2.7882839810071292</v>
          </cell>
          <cell r="AJ14">
            <v>17.228363201201788</v>
          </cell>
          <cell r="AK14" t="e">
            <v>#NAME?</v>
          </cell>
          <cell r="AM14">
            <v>112.15774436685311</v>
          </cell>
          <cell r="AN14">
            <v>78.443388190775778</v>
          </cell>
        </row>
        <row r="15">
          <cell r="AF15" t="str">
            <v>Seguros</v>
          </cell>
          <cell r="AH15">
            <v>0</v>
          </cell>
          <cell r="AI15">
            <v>0</v>
          </cell>
          <cell r="AJ15">
            <v>0</v>
          </cell>
          <cell r="AK15" t="e">
            <v>#NAME?</v>
          </cell>
          <cell r="AM15">
            <v>3.981270506697545E-2</v>
          </cell>
          <cell r="AN15">
            <v>0</v>
          </cell>
        </row>
        <row r="16">
          <cell r="AF16" t="str">
            <v>Materiais de Consumo</v>
          </cell>
          <cell r="AH16">
            <v>12.220244406384204</v>
          </cell>
          <cell r="AI16">
            <v>17.197205638687318</v>
          </cell>
          <cell r="AJ16">
            <v>11.875032193202163</v>
          </cell>
          <cell r="AK16" t="e">
            <v>#NAME?</v>
          </cell>
          <cell r="AM16">
            <v>200.06796187331267</v>
          </cell>
          <cell r="AN16">
            <v>187.79479746026794</v>
          </cell>
        </row>
        <row r="17">
          <cell r="AF17" t="str">
            <v>Servicos de Terceiros</v>
          </cell>
          <cell r="AH17">
            <v>116.28346301792685</v>
          </cell>
          <cell r="AI17">
            <v>71.269512783345121</v>
          </cell>
          <cell r="AJ17">
            <v>83.891664790493039</v>
          </cell>
          <cell r="AK17" t="e">
            <v>#NAME?</v>
          </cell>
          <cell r="AM17">
            <v>926.86952762851649</v>
          </cell>
          <cell r="AN17">
            <v>831.5650359282406</v>
          </cell>
        </row>
        <row r="18">
          <cell r="AF18" t="str">
            <v>Manutencao</v>
          </cell>
          <cell r="AH18">
            <v>3.0271940195686757</v>
          </cell>
          <cell r="AI18">
            <v>2.5537246949173955</v>
          </cell>
          <cell r="AJ18">
            <v>1.2972454571479257</v>
          </cell>
          <cell r="AK18" t="e">
            <v>#NAME?</v>
          </cell>
          <cell r="AM18">
            <v>59.953499057927388</v>
          </cell>
          <cell r="AN18">
            <v>58.153717856337195</v>
          </cell>
        </row>
        <row r="19">
          <cell r="AF19" t="str">
            <v>Comunicacoes</v>
          </cell>
          <cell r="AH19">
            <v>9.7250216229600159</v>
          </cell>
          <cell r="AI19">
            <v>10.261047131853214</v>
          </cell>
          <cell r="AJ19">
            <v>10.91126545852838</v>
          </cell>
          <cell r="AK19" t="e">
            <v>#NAME?</v>
          </cell>
          <cell r="AM19">
            <v>121.68526136158513</v>
          </cell>
          <cell r="AN19">
            <v>95.397171438524126</v>
          </cell>
        </row>
        <row r="20">
          <cell r="AF20" t="str">
            <v>Depreciaçao</v>
          </cell>
          <cell r="AH20">
            <v>2.7895605304337088</v>
          </cell>
          <cell r="AI20">
            <v>2.8015023794478005</v>
          </cell>
          <cell r="AJ20">
            <v>2.8992531679196287</v>
          </cell>
          <cell r="AK20" t="e">
            <v>#NAME?</v>
          </cell>
          <cell r="AM20">
            <v>33.835680606177171</v>
          </cell>
          <cell r="AN20">
            <v>33.568664399999996</v>
          </cell>
        </row>
        <row r="21">
          <cell r="AF21" t="str">
            <v>Outras Despesas</v>
          </cell>
          <cell r="AH21">
            <v>11.202566239388153</v>
          </cell>
          <cell r="AI21">
            <v>7.9353944953649096</v>
          </cell>
          <cell r="AJ21">
            <v>18.579045926984318</v>
          </cell>
          <cell r="AK21" t="e">
            <v>#NAME?</v>
          </cell>
          <cell r="AM21">
            <v>234.15367091392176</v>
          </cell>
          <cell r="AN21">
            <v>178.15995557803441</v>
          </cell>
        </row>
        <row r="22">
          <cell r="AF22" t="str">
            <v>TOTAL C/ DESPESAS</v>
          </cell>
          <cell r="AH22">
            <v>130.97627620815916</v>
          </cell>
          <cell r="AI22">
            <v>164.44322459625639</v>
          </cell>
          <cell r="AJ22" t="e">
            <v>#NAME?</v>
          </cell>
          <cell r="AK22" t="e">
            <v>#NAME?</v>
          </cell>
          <cell r="AM22">
            <v>1908.3086511642216</v>
          </cell>
          <cell r="AN22">
            <v>1869.9621521619085</v>
          </cell>
        </row>
        <row r="24">
          <cell r="AF24" t="str">
            <v>TOTAL</v>
          </cell>
          <cell r="AH24">
            <v>360.89298845011211</v>
          </cell>
          <cell r="AI24">
            <v>391.77314450924234</v>
          </cell>
          <cell r="AJ24" t="e">
            <v>#NAME?</v>
          </cell>
          <cell r="AK24" t="e">
            <v>#NAME?</v>
          </cell>
          <cell r="AM24">
            <v>4570.5811159464911</v>
          </cell>
          <cell r="AN24">
            <v>4749.948067059443</v>
          </cell>
        </row>
        <row r="27">
          <cell r="AF27" t="str">
            <v>DESPESAS INCORRIDAS</v>
          </cell>
          <cell r="AN27" t="str">
            <v>SET/05</v>
          </cell>
        </row>
        <row r="28">
          <cell r="AF28" t="str">
            <v>Em Milhares de R$</v>
          </cell>
          <cell r="AM28" t="str">
            <v>ACUMULADO</v>
          </cell>
        </row>
        <row r="29">
          <cell r="AF29" t="str">
            <v>COMERCIAIS</v>
          </cell>
          <cell r="AH29" t="str">
            <v>JUL</v>
          </cell>
          <cell r="AI29" t="str">
            <v>AGO</v>
          </cell>
          <cell r="AJ29" t="str">
            <v>SET</v>
          </cell>
          <cell r="AK29" t="str">
            <v>Plano Set</v>
          </cell>
          <cell r="AM29" t="str">
            <v>REAL</v>
          </cell>
          <cell r="AN29" t="str">
            <v>PLANO</v>
          </cell>
        </row>
        <row r="31">
          <cell r="AF31" t="str">
            <v>Salarios e Ordenados</v>
          </cell>
          <cell r="AH31">
            <v>20.762552669356516</v>
          </cell>
          <cell r="AI31">
            <v>21.381899938108742</v>
          </cell>
          <cell r="AJ31">
            <v>22.570733739822764</v>
          </cell>
          <cell r="AK31" t="e">
            <v>#NAME?</v>
          </cell>
          <cell r="AM31">
            <v>207.09534317190591</v>
          </cell>
          <cell r="AN31">
            <v>214.00027508890724</v>
          </cell>
        </row>
        <row r="32">
          <cell r="AF32" t="str">
            <v>Horas Extras</v>
          </cell>
          <cell r="AH32">
            <v>1.9930883858496132E-2</v>
          </cell>
          <cell r="AI32">
            <v>2.8137429784641496E-2</v>
          </cell>
          <cell r="AJ32">
            <v>3.586643258395656E-2</v>
          </cell>
          <cell r="AK32" t="e">
            <v>#NAME?</v>
          </cell>
          <cell r="AM32">
            <v>0.19971278773676637</v>
          </cell>
          <cell r="AN32">
            <v>13.826770461930124</v>
          </cell>
        </row>
        <row r="33">
          <cell r="AF33" t="str">
            <v>Encargos Sociais</v>
          </cell>
          <cell r="AH33">
            <v>12.046872799310407</v>
          </cell>
          <cell r="AI33">
            <v>11.527469611756299</v>
          </cell>
          <cell r="AJ33">
            <v>12.566380804475589</v>
          </cell>
          <cell r="AK33" t="e">
            <v>#NAME?</v>
          </cell>
          <cell r="AM33">
            <v>113.51898594940538</v>
          </cell>
          <cell r="AN33">
            <v>124.62207526086186</v>
          </cell>
        </row>
        <row r="34">
          <cell r="AF34" t="str">
            <v>Beneficios</v>
          </cell>
          <cell r="AH34">
            <v>4.7039883756399705</v>
          </cell>
          <cell r="AI34">
            <v>1.5680983756213402</v>
          </cell>
          <cell r="AJ34">
            <v>1.6379505397262766</v>
          </cell>
          <cell r="AK34" t="e">
            <v>#NAME?</v>
          </cell>
          <cell r="AM34">
            <v>18.053028088682932</v>
          </cell>
          <cell r="AN34">
            <v>11.51053800217573</v>
          </cell>
        </row>
        <row r="35">
          <cell r="AF35" t="str">
            <v>TOTAL C/ PESSOAL</v>
          </cell>
          <cell r="AH35">
            <v>34.505605355271022</v>
          </cell>
          <cell r="AI35">
            <v>36.810931516608584</v>
          </cell>
          <cell r="AJ35" t="e">
            <v>#NAME?</v>
          </cell>
          <cell r="AK35" t="e">
            <v>#NAME?</v>
          </cell>
          <cell r="AM35">
            <v>338.86706999773099</v>
          </cell>
          <cell r="AN35">
            <v>363.95965881387497</v>
          </cell>
        </row>
        <row r="37">
          <cell r="AF37" t="str">
            <v>Viagens/Cond./Refeicoes</v>
          </cell>
          <cell r="AH37">
            <v>13.831224680216208</v>
          </cell>
          <cell r="AI37">
            <v>16.684846194190257</v>
          </cell>
          <cell r="AJ37">
            <v>14.816934798291248</v>
          </cell>
          <cell r="AK37" t="e">
            <v>#NAME?</v>
          </cell>
          <cell r="AM37">
            <v>110.32736624840643</v>
          </cell>
          <cell r="AN37">
            <v>114.33588433915938</v>
          </cell>
        </row>
        <row r="38">
          <cell r="AF38" t="str">
            <v>Leasing/Aluguel</v>
          </cell>
          <cell r="AH38">
            <v>0.11548366560957131</v>
          </cell>
          <cell r="AI38">
            <v>9.6381940536359303E-2</v>
          </cell>
          <cell r="AJ38">
            <v>0.14473481754959444</v>
          </cell>
          <cell r="AK38" t="e">
            <v>#NAME?</v>
          </cell>
          <cell r="AM38">
            <v>1.4938971824102281</v>
          </cell>
          <cell r="AN38">
            <v>0.44666706242741516</v>
          </cell>
        </row>
        <row r="39">
          <cell r="AF39" t="str">
            <v>Seguros</v>
          </cell>
          <cell r="AH39">
            <v>0</v>
          </cell>
          <cell r="AI39">
            <v>0</v>
          </cell>
          <cell r="AJ39">
            <v>0</v>
          </cell>
          <cell r="AK39" t="e">
            <v>#NAME?</v>
          </cell>
          <cell r="AM39">
            <v>0.40424679854851814</v>
          </cell>
          <cell r="AN39">
            <v>0</v>
          </cell>
        </row>
        <row r="40">
          <cell r="AF40" t="str">
            <v>Materiais de Consumo</v>
          </cell>
          <cell r="AH40">
            <v>0.62561645895850537</v>
          </cell>
          <cell r="AI40">
            <v>1.6555217103642097</v>
          </cell>
          <cell r="AJ40">
            <v>0.99438265426094596</v>
          </cell>
          <cell r="AK40" t="e">
            <v>#NAME?</v>
          </cell>
          <cell r="AM40">
            <v>8.8998117023590702</v>
          </cell>
          <cell r="AN40">
            <v>7.0528443639527314</v>
          </cell>
        </row>
        <row r="41">
          <cell r="AF41" t="str">
            <v>Servicos de Terceiros</v>
          </cell>
          <cell r="AH41">
            <v>4.4373748908921655</v>
          </cell>
          <cell r="AI41">
            <v>3.3674264318555398</v>
          </cell>
          <cell r="AJ41">
            <v>3.1333714245286735</v>
          </cell>
          <cell r="AK41" t="e">
            <v>#NAME?</v>
          </cell>
          <cell r="AM41">
            <v>35.521425664460011</v>
          </cell>
          <cell r="AN41">
            <v>88.647850552993589</v>
          </cell>
        </row>
        <row r="42">
          <cell r="AF42" t="str">
            <v>Manutencao</v>
          </cell>
          <cell r="AH42">
            <v>0.58861504548060295</v>
          </cell>
          <cell r="AI42">
            <v>4.5858858970713873E-2</v>
          </cell>
          <cell r="AJ42">
            <v>3.6527142937516285E-2</v>
          </cell>
          <cell r="AK42" t="e">
            <v>#NAME?</v>
          </cell>
          <cell r="AM42">
            <v>1.8018346196746551</v>
          </cell>
          <cell r="AN42">
            <v>1.3770736337824914</v>
          </cell>
        </row>
        <row r="43">
          <cell r="AF43" t="str">
            <v>Comunicacoes</v>
          </cell>
          <cell r="AH43">
            <v>1.672105760144432</v>
          </cell>
          <cell r="AI43">
            <v>1.6827037684238622</v>
          </cell>
          <cell r="AJ43">
            <v>2.6436249389403925</v>
          </cell>
          <cell r="AK43" t="e">
            <v>#NAME?</v>
          </cell>
          <cell r="AM43">
            <v>17.706859401895073</v>
          </cell>
          <cell r="AN43">
            <v>19.794600324927476</v>
          </cell>
        </row>
        <row r="44">
          <cell r="AF44" t="str">
            <v>Depreciaçao</v>
          </cell>
          <cell r="AH44">
            <v>0.25204791650969943</v>
          </cell>
          <cell r="AI44">
            <v>0.24717926620636443</v>
          </cell>
          <cell r="AJ44">
            <v>0.27348175288037718</v>
          </cell>
          <cell r="AK44" t="e">
            <v>#NAME?</v>
          </cell>
          <cell r="AM44">
            <v>2.3726960915107176</v>
          </cell>
          <cell r="AN44">
            <v>0.85640903999999984</v>
          </cell>
        </row>
        <row r="45">
          <cell r="AF45" t="str">
            <v>Outras Despesas</v>
          </cell>
          <cell r="AH45">
            <v>2.5638378743148929</v>
          </cell>
          <cell r="AI45">
            <v>0.97646612111625997</v>
          </cell>
          <cell r="AJ45">
            <v>2.11864788435097</v>
          </cell>
          <cell r="AK45" t="e">
            <v>#NAME?</v>
          </cell>
          <cell r="AM45">
            <v>31.763637573987083</v>
          </cell>
          <cell r="AN45">
            <v>42.502776764065416</v>
          </cell>
        </row>
        <row r="46">
          <cell r="AF46" t="str">
            <v>TOTAL C/ DESPESAS</v>
          </cell>
          <cell r="AH46">
            <v>24.756384291663565</v>
          </cell>
          <cell r="AI46">
            <v>24.161705413739718</v>
          </cell>
          <cell r="AJ46" t="e">
            <v>#NAME?</v>
          </cell>
          <cell r="AK46" t="e">
            <v>#NAME?</v>
          </cell>
          <cell r="AM46">
            <v>210.29177528325175</v>
          </cell>
          <cell r="AN46">
            <v>275.01410608130846</v>
          </cell>
        </row>
        <row r="48">
          <cell r="AF48" t="str">
            <v>TOTAL</v>
          </cell>
          <cell r="AH48">
            <v>59.261989646934587</v>
          </cell>
          <cell r="AI48">
            <v>60.972636930348301</v>
          </cell>
          <cell r="AJ48" t="e">
            <v>#NAME?</v>
          </cell>
          <cell r="AK48" t="e">
            <v>#NAME?</v>
          </cell>
          <cell r="AM48">
            <v>549.15884528098275</v>
          </cell>
          <cell r="AN48">
            <v>638.97376489518342</v>
          </cell>
        </row>
      </sheetData>
      <sheetData sheetId="12"/>
      <sheetData sheetId="13" refreshError="1"/>
      <sheetData sheetId="14"/>
      <sheetData sheetId="15"/>
      <sheetData sheetId="16"/>
      <sheetData sheetId="17"/>
      <sheetData sheetId="18" refreshError="1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Budget_Estatística_2018"/>
    </sheetNames>
    <definedNames>
      <definedName name="AxesFormat"/>
      <definedName name="consolidado"/>
      <definedName name="ExpandOutputs"/>
      <definedName name="ExpandVPeriods"/>
      <definedName name="ExportFile"/>
      <definedName name="ImportFile"/>
      <definedName name="marcos"/>
      <definedName name="mcinput"/>
      <definedName name="mcmenu"/>
      <definedName name="mcstart"/>
      <definedName name="ProImportExport.ImportFile"/>
      <definedName name="ProImportExport.SaveNewFile"/>
      <definedName name="rf5f"/>
      <definedName name="SaveNewFile"/>
      <definedName name="START"/>
    </defined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 PREMIO"/>
      <sheetName val="CONTROLE DE VIAGEM"/>
      <sheetName val="CONTROLE DE ABASTECIMENTO"/>
      <sheetName val="DEDUÇÕES"/>
      <sheetName val="PREMISSAS"/>
      <sheetName val="BASE DE KM"/>
      <sheetName val="RELAÇÃO DE MOTORISTA"/>
      <sheetName val="RELAÇÃO DE PLAC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A5" t="str">
            <v>ADAILTON PEREIRA DE SOUZA</v>
          </cell>
        </row>
        <row r="6">
          <cell r="A6" t="str">
            <v>ADAIR BERNARDINO TAVARES</v>
          </cell>
        </row>
        <row r="7">
          <cell r="A7" t="str">
            <v>ADELIMAR SANTOS COSTA</v>
          </cell>
        </row>
        <row r="8">
          <cell r="A8" t="str">
            <v>ADEMARIO PEREIRA DOS SANTOS</v>
          </cell>
        </row>
        <row r="9">
          <cell r="A9" t="str">
            <v>ADEMIR MATHILDES DE OLIVEIRA</v>
          </cell>
        </row>
        <row r="10">
          <cell r="A10" t="str">
            <v>ADRIANO FERREIRA DA SILVA</v>
          </cell>
        </row>
        <row r="11">
          <cell r="A11" t="str">
            <v>ADRIANO ROGENIO CASTRO FEREZIN</v>
          </cell>
        </row>
        <row r="12">
          <cell r="A12" t="str">
            <v>AEXTON ALMEIDA SANTANA</v>
          </cell>
        </row>
        <row r="13">
          <cell r="A13" t="str">
            <v>AILTON TADEU PEREIRA ANDRADE</v>
          </cell>
        </row>
        <row r="14">
          <cell r="A14" t="str">
            <v>AIRES PAIM</v>
          </cell>
        </row>
        <row r="15">
          <cell r="A15" t="str">
            <v>ALBERTO MARTINS DOS SANTOS</v>
          </cell>
        </row>
        <row r="16">
          <cell r="A16" t="str">
            <v>ALDAIR ROZA</v>
          </cell>
        </row>
        <row r="17">
          <cell r="A17" t="str">
            <v>ALDO BERTOLINO DA SILVA</v>
          </cell>
        </row>
        <row r="18">
          <cell r="A18" t="str">
            <v>ALESSANDRO DO CARMO NEIVA</v>
          </cell>
        </row>
        <row r="19">
          <cell r="A19" t="str">
            <v>ALESSANDRO SABINO ALVES</v>
          </cell>
        </row>
        <row r="20">
          <cell r="A20" t="str">
            <v>ALEXANDRE SANTOS DE OLIVEIRA</v>
          </cell>
        </row>
        <row r="21">
          <cell r="A21" t="str">
            <v>AMILTON MORAES DA SILVA</v>
          </cell>
        </row>
        <row r="22">
          <cell r="A22" t="str">
            <v>ANDERSON ALVES</v>
          </cell>
        </row>
        <row r="23">
          <cell r="A23" t="str">
            <v>ANDERSON ROCHA DE OLIVEIRA</v>
          </cell>
        </row>
        <row r="24">
          <cell r="A24" t="str">
            <v>ANSELMO ORIVAN BORBA</v>
          </cell>
        </row>
        <row r="25">
          <cell r="A25" t="str">
            <v>ANTAO BARROSO PIMENTEL</v>
          </cell>
        </row>
        <row r="26">
          <cell r="A26" t="str">
            <v>ANTONIO CARLOS BRONZE</v>
          </cell>
        </row>
        <row r="27">
          <cell r="A27" t="str">
            <v>ANTONIO CARLOS M ANDRADE</v>
          </cell>
        </row>
        <row r="28">
          <cell r="A28" t="str">
            <v>ANTONIO CARLOS MENDES DE NOVAES</v>
          </cell>
        </row>
        <row r="29">
          <cell r="A29" t="str">
            <v>ANTONIO CELESTINO RODRIGUES</v>
          </cell>
        </row>
        <row r="30">
          <cell r="A30" t="str">
            <v>ANTONIO PEDRO DE SOUZA</v>
          </cell>
        </row>
        <row r="31">
          <cell r="A31" t="str">
            <v>ANTONIO RAIMUNDO MOREIRA DOS SANTOS</v>
          </cell>
        </row>
        <row r="32">
          <cell r="A32" t="str">
            <v>ANTONIO ROBERTO SANTOS JUNIOR</v>
          </cell>
        </row>
        <row r="33">
          <cell r="A33" t="str">
            <v>ANTONIO SALVADOR FARELLI</v>
          </cell>
        </row>
        <row r="34">
          <cell r="A34" t="str">
            <v>ANTONIO VIEIRA DA SILVA</v>
          </cell>
        </row>
        <row r="35">
          <cell r="A35" t="str">
            <v>APARECIDO BELISARIO DA SILVA</v>
          </cell>
        </row>
        <row r="36">
          <cell r="A36" t="str">
            <v>ARLESON CARVALHO DA SILVA</v>
          </cell>
        </row>
        <row r="37">
          <cell r="A37" t="str">
            <v>BENEDITO CARLOS DE QUEIROZ</v>
          </cell>
        </row>
        <row r="38">
          <cell r="A38" t="str">
            <v>CARLOS ALBERTO DE CASTRO</v>
          </cell>
        </row>
        <row r="39">
          <cell r="A39" t="str">
            <v>CARLOS ALBERTO DO AMARAL</v>
          </cell>
        </row>
        <row r="40">
          <cell r="A40" t="str">
            <v>CARLOS ALBERTO TESTA</v>
          </cell>
        </row>
        <row r="41">
          <cell r="A41" t="str">
            <v>CARLOS ALVES MACIEL</v>
          </cell>
        </row>
        <row r="42">
          <cell r="A42" t="str">
            <v>CELSO TADEU DOS SANTOS</v>
          </cell>
        </row>
        <row r="43">
          <cell r="A43" t="str">
            <v>CLAUDEILSON DE FREITAS SILVA</v>
          </cell>
        </row>
        <row r="44">
          <cell r="A44" t="str">
            <v>CLAUDEMIR PEREIRA DE MENEZES</v>
          </cell>
        </row>
        <row r="45">
          <cell r="A45" t="str">
            <v>CLAUDIO ANSELMO VARONI</v>
          </cell>
        </row>
        <row r="46">
          <cell r="A46" t="str">
            <v>CLAUDIO DI BORTOLO</v>
          </cell>
        </row>
        <row r="47">
          <cell r="A47" t="str">
            <v>CLEBERSON RODRIGUES BIANGULO</v>
          </cell>
        </row>
        <row r="48">
          <cell r="A48" t="str">
            <v>CLODOOBERTO FORMIGONI</v>
          </cell>
        </row>
        <row r="49">
          <cell r="A49" t="str">
            <v>CRISPINIANO VICENTE DA SILVA</v>
          </cell>
        </row>
        <row r="50">
          <cell r="A50" t="str">
            <v>DARIO ALVES</v>
          </cell>
        </row>
        <row r="51">
          <cell r="A51" t="str">
            <v>DASIO FERREIRA ALVES</v>
          </cell>
        </row>
        <row r="52">
          <cell r="A52" t="str">
            <v>DIOGENES PEREIRA DOS SANTOS</v>
          </cell>
        </row>
        <row r="53">
          <cell r="A53" t="str">
            <v>DIVINO SERGIO CUNHA DOS SANTOS</v>
          </cell>
        </row>
        <row r="54">
          <cell r="A54" t="str">
            <v>DOUGLIMAR JESUS DE SOUZA</v>
          </cell>
        </row>
        <row r="55">
          <cell r="A55" t="str">
            <v>EDINHO DIAS DA SILVA</v>
          </cell>
        </row>
        <row r="56">
          <cell r="A56" t="str">
            <v>EDMILSON DE SOUZA CUNHA</v>
          </cell>
        </row>
        <row r="57">
          <cell r="A57" t="str">
            <v>EDSON CARVALHO SOARES</v>
          </cell>
        </row>
        <row r="58">
          <cell r="A58" t="str">
            <v>EDSON SILVEIRA</v>
          </cell>
        </row>
        <row r="59">
          <cell r="A59" t="str">
            <v>EDUARDO BENEDITO FERNANDES</v>
          </cell>
        </row>
        <row r="60">
          <cell r="A60" t="str">
            <v>EDVALDO BARBOSA DE ANDRADE</v>
          </cell>
        </row>
        <row r="61">
          <cell r="A61" t="str">
            <v>EDVALDO MAGALHAES GOMES</v>
          </cell>
        </row>
        <row r="62">
          <cell r="A62" t="str">
            <v>ELIELSON PEREIRA DIAS</v>
          </cell>
        </row>
        <row r="63">
          <cell r="A63" t="str">
            <v>ELIO ROCHA DA SILVA</v>
          </cell>
        </row>
        <row r="64">
          <cell r="A64" t="str">
            <v>ERASMO BARBOZA PIAUI</v>
          </cell>
        </row>
        <row r="65">
          <cell r="A65" t="str">
            <v>ERIVELTON DE ANDRADE GOMES</v>
          </cell>
        </row>
        <row r="66">
          <cell r="A66" t="str">
            <v>FABIANO CASTRO COSTA</v>
          </cell>
        </row>
        <row r="67">
          <cell r="A67" t="str">
            <v>FERNANDO FRANCISCO RODRIGUES</v>
          </cell>
        </row>
        <row r="68">
          <cell r="A68" t="str">
            <v>FERNANDO GOMES DA SILVA</v>
          </cell>
        </row>
        <row r="69">
          <cell r="A69" t="str">
            <v>FLAVIO MIGUEL SOLDADO</v>
          </cell>
        </row>
        <row r="70">
          <cell r="A70" t="str">
            <v>FRANCISMAR DE SANTANA</v>
          </cell>
        </row>
        <row r="71">
          <cell r="A71" t="str">
            <v>FRANCISCO BARROS PONTES</v>
          </cell>
        </row>
        <row r="72">
          <cell r="A72" t="str">
            <v>FRANCISCO DE ASSIS B FILHO</v>
          </cell>
        </row>
        <row r="73">
          <cell r="A73" t="str">
            <v>FRANCISCO DE SANTANA LIMA</v>
          </cell>
        </row>
        <row r="74">
          <cell r="A74" t="str">
            <v>FRANCISCO JOSE DOS SANTOS</v>
          </cell>
        </row>
        <row r="75">
          <cell r="A75" t="str">
            <v>FRANCISCO PEREIRA DE SOUSA</v>
          </cell>
        </row>
        <row r="76">
          <cell r="A76" t="str">
            <v>GENEILTON PAULA DA SILVA</v>
          </cell>
        </row>
        <row r="77">
          <cell r="A77" t="str">
            <v>GERALDO JOSE DA SILVA</v>
          </cell>
        </row>
        <row r="78">
          <cell r="A78" t="str">
            <v>GERMANO ISAQUE</v>
          </cell>
        </row>
        <row r="79">
          <cell r="A79" t="str">
            <v>GIDELSON ALVES DE CAMPOS</v>
          </cell>
        </row>
        <row r="80">
          <cell r="A80" t="str">
            <v>GILBERTO ALVES DE SOUZA</v>
          </cell>
        </row>
        <row r="81">
          <cell r="A81" t="str">
            <v>GILVAN RODRIGUES DE SOUSA</v>
          </cell>
        </row>
        <row r="82">
          <cell r="A82" t="str">
            <v>HORLEN AUGUSTO DE OLIVEIRA</v>
          </cell>
        </row>
        <row r="83">
          <cell r="A83" t="str">
            <v>HUDSON DE OLIVEIRA ALVES</v>
          </cell>
        </row>
        <row r="84">
          <cell r="A84" t="str">
            <v>IDARIO VICENTE JUSTINO</v>
          </cell>
        </row>
        <row r="85">
          <cell r="A85" t="str">
            <v>IVANILDO GUEDES CHINA</v>
          </cell>
        </row>
        <row r="86">
          <cell r="A86" t="str">
            <v>JAILTON DA SILVA LUSTOSA</v>
          </cell>
        </row>
        <row r="87">
          <cell r="A87" t="str">
            <v>JENILSON DOS SANTOS</v>
          </cell>
        </row>
        <row r="88">
          <cell r="A88" t="str">
            <v>JOAO BATISTA FACANHA DE HOLANDA</v>
          </cell>
        </row>
        <row r="89">
          <cell r="A89" t="str">
            <v>JOAO BATISTA FRANCO FILHO</v>
          </cell>
        </row>
        <row r="90">
          <cell r="A90" t="str">
            <v>JOAO BATISTA PEREIRA</v>
          </cell>
        </row>
        <row r="91">
          <cell r="A91" t="str">
            <v>JOAO DE OLIVEIRA LEITE</v>
          </cell>
        </row>
        <row r="92">
          <cell r="A92" t="str">
            <v>JOAO ROBERTO JACINTO</v>
          </cell>
        </row>
        <row r="93">
          <cell r="A93" t="str">
            <v>JOAO ROSA COELHO</v>
          </cell>
        </row>
        <row r="94">
          <cell r="A94" t="str">
            <v>JOAQUIM DIAS DE ALCANTARA</v>
          </cell>
        </row>
        <row r="95">
          <cell r="A95" t="str">
            <v>JOELSON PINHO BRASILEIRO</v>
          </cell>
        </row>
        <row r="96">
          <cell r="A96" t="str">
            <v>JOILDES DA GUIA LIMA</v>
          </cell>
        </row>
        <row r="97">
          <cell r="A97" t="str">
            <v>JONES CESAR GAMA DA SILVA</v>
          </cell>
        </row>
        <row r="98">
          <cell r="A98" t="str">
            <v>JOSE ANTONIO GONCALVES</v>
          </cell>
        </row>
        <row r="99">
          <cell r="A99" t="str">
            <v>JOSE BARROS XAVIER DA SILVA</v>
          </cell>
        </row>
        <row r="100">
          <cell r="A100" t="str">
            <v>JOSE CARLOS CRUZ</v>
          </cell>
        </row>
        <row r="101">
          <cell r="A101" t="str">
            <v>JOSE CARLOS DA SILVA</v>
          </cell>
        </row>
        <row r="102">
          <cell r="A102" t="str">
            <v>JOSE CARLOS ROBERTO</v>
          </cell>
        </row>
        <row r="103">
          <cell r="A103" t="str">
            <v>JOSE DA COSTA SOBRINHO</v>
          </cell>
        </row>
        <row r="104">
          <cell r="A104" t="str">
            <v>JOSE HUMBERTO AMARANTE</v>
          </cell>
        </row>
        <row r="105">
          <cell r="A105" t="str">
            <v>JOSE LEANDRO DA SILVA</v>
          </cell>
        </row>
        <row r="106">
          <cell r="A106" t="str">
            <v>JOSE NUNES LINO</v>
          </cell>
        </row>
        <row r="107">
          <cell r="A107" t="str">
            <v>JOSE PAULO TORRES</v>
          </cell>
        </row>
        <row r="108">
          <cell r="A108" t="str">
            <v>JOSE RENATO SILVA C DE JESUS</v>
          </cell>
        </row>
        <row r="109">
          <cell r="A109" t="str">
            <v>JOSE ROBSON DAS NEVES SOUZA</v>
          </cell>
        </row>
        <row r="110">
          <cell r="A110" t="str">
            <v>JOSE SOUZA DE PAULA</v>
          </cell>
        </row>
        <row r="111">
          <cell r="A111" t="str">
            <v>JOSELINO DA SILVA</v>
          </cell>
        </row>
        <row r="112">
          <cell r="A112" t="str">
            <v>JOSENILSON SANTOS DA SILVA</v>
          </cell>
        </row>
        <row r="113">
          <cell r="A113" t="str">
            <v>JOSIVALDO PAULINO DE ARAUJO</v>
          </cell>
        </row>
        <row r="114">
          <cell r="A114" t="str">
            <v>JOVENIL LOPES COELHO</v>
          </cell>
        </row>
        <row r="115">
          <cell r="A115" t="str">
            <v>JULIANO VLADEMIR SOUZA OLIVEIRA</v>
          </cell>
        </row>
        <row r="116">
          <cell r="A116" t="str">
            <v>KLEBER DIAS MORAIS</v>
          </cell>
        </row>
        <row r="117">
          <cell r="A117" t="str">
            <v>LAMARCK SANTOS DA SILVA</v>
          </cell>
        </row>
        <row r="118">
          <cell r="A118" t="str">
            <v>LAURIANO SILVA DOS ANJOS</v>
          </cell>
        </row>
        <row r="119">
          <cell r="A119" t="str">
            <v>LEANDRO BASSANELLO</v>
          </cell>
        </row>
        <row r="120">
          <cell r="A120" t="str">
            <v>LEANDRO RODRIGUES DA SILVA</v>
          </cell>
        </row>
        <row r="121">
          <cell r="A121" t="str">
            <v>LEANDRO VIEIRA DE FREITAS</v>
          </cell>
        </row>
        <row r="122">
          <cell r="A122" t="str">
            <v>LEOVEGILDO PEREIRA DA SILVA</v>
          </cell>
        </row>
        <row r="123">
          <cell r="A123" t="str">
            <v>LINDOMAR PEREIRA DE SOUSA</v>
          </cell>
        </row>
        <row r="124">
          <cell r="A124" t="str">
            <v>LUCIANO PINHEIRO DE SOUZA</v>
          </cell>
        </row>
        <row r="125">
          <cell r="A125" t="str">
            <v>LUIS FERNANDO COSTA DOS SANTOS</v>
          </cell>
        </row>
        <row r="126">
          <cell r="A126" t="str">
            <v>LUIZ CARLOS ALVES MASCENA</v>
          </cell>
        </row>
        <row r="127">
          <cell r="A127" t="str">
            <v>MANOEL ANTONIO SOARES DA SILVA</v>
          </cell>
        </row>
        <row r="128">
          <cell r="A128" t="str">
            <v>MANOEL DA COSTA ROCHA</v>
          </cell>
        </row>
        <row r="129">
          <cell r="A129" t="str">
            <v>MARCIO AP MARFIL FERNANDES</v>
          </cell>
        </row>
        <row r="130">
          <cell r="A130" t="str">
            <v>MARCIO DE FRANCO DA S FELIX</v>
          </cell>
        </row>
        <row r="131">
          <cell r="A131" t="str">
            <v>MARCIO GONCALVES SOBRINHO</v>
          </cell>
        </row>
        <row r="132">
          <cell r="A132" t="str">
            <v>MARCOS LEITE SIQUEIRA</v>
          </cell>
        </row>
        <row r="133">
          <cell r="A133" t="str">
            <v>MARIO ALVES COUTO</v>
          </cell>
        </row>
        <row r="134">
          <cell r="A134" t="str">
            <v>MARIO OLIVEIRA MOTA</v>
          </cell>
        </row>
        <row r="135">
          <cell r="A135" t="str">
            <v>MARISAN BRITO DE OLIVEIRA</v>
          </cell>
        </row>
        <row r="136">
          <cell r="A136" t="str">
            <v>MATUZINHO VIANA DA ROCHA SARAIVA</v>
          </cell>
        </row>
        <row r="137">
          <cell r="A137" t="str">
            <v>MAURICIO RODRIGUES DE OLIVEIRA</v>
          </cell>
        </row>
        <row r="138">
          <cell r="A138" t="str">
            <v>MAURICIO THARLEY CHAVES SILVA</v>
          </cell>
        </row>
        <row r="139">
          <cell r="A139" t="str">
            <v>MOACIR RODRIGUES</v>
          </cell>
        </row>
        <row r="140">
          <cell r="A140" t="str">
            <v>NAPOLEÃO CARVALHO GUIMARÃES</v>
          </cell>
        </row>
        <row r="141">
          <cell r="A141" t="str">
            <v>NELSON DE MELO TEIXEIRA</v>
          </cell>
        </row>
        <row r="142">
          <cell r="A142" t="str">
            <v>NELSON GARCIA CANTERO FILHO</v>
          </cell>
        </row>
        <row r="143">
          <cell r="A143" t="str">
            <v>NEMEZIO RODRIGUES</v>
          </cell>
        </row>
        <row r="144">
          <cell r="A144" t="str">
            <v>NILSON APARECIDO SOARES</v>
          </cell>
        </row>
        <row r="145">
          <cell r="A145" t="str">
            <v>NILSON DONIZETE NUNES</v>
          </cell>
        </row>
        <row r="146">
          <cell r="A146" t="str">
            <v>NILSON DOS SANTOS BARRETO</v>
          </cell>
        </row>
        <row r="147">
          <cell r="A147" t="str">
            <v>OSVALDO DIAS GUILHERME</v>
          </cell>
        </row>
        <row r="148">
          <cell r="A148" t="str">
            <v>PAULO ADRIANO RODRIGUES RIBEIRO</v>
          </cell>
        </row>
        <row r="149">
          <cell r="A149" t="str">
            <v>PAULO CESAR OLIVEIRA</v>
          </cell>
        </row>
        <row r="150">
          <cell r="A150" t="str">
            <v>PAULO MARINHO DA SILVA</v>
          </cell>
        </row>
        <row r="151">
          <cell r="A151" t="str">
            <v>PAULO MAXIMO MANARI</v>
          </cell>
        </row>
        <row r="152">
          <cell r="A152" t="str">
            <v>PAULO SANTANA RIBEIRO</v>
          </cell>
        </row>
        <row r="153">
          <cell r="A153" t="str">
            <v>PAULO SERGIO BIBIANO PEREIRA</v>
          </cell>
        </row>
        <row r="154">
          <cell r="A154" t="str">
            <v>RAFAEL GONCALVES PINHEIRO</v>
          </cell>
        </row>
        <row r="155">
          <cell r="A155" t="str">
            <v>RAIMUNDO NONATO SOUSA QUEIROZ</v>
          </cell>
        </row>
        <row r="156">
          <cell r="A156" t="str">
            <v>RAIMUNDO VALMIR DE MOURA</v>
          </cell>
        </row>
        <row r="157">
          <cell r="A157" t="str">
            <v>RANIERE VASQUES</v>
          </cell>
        </row>
        <row r="158">
          <cell r="A158" t="str">
            <v>REGINALDO APARECIDO GUERRA</v>
          </cell>
        </row>
        <row r="159">
          <cell r="A159" t="str">
            <v>RICARDO ALMIR SILVA DE OLIVEIRA</v>
          </cell>
        </row>
        <row r="160">
          <cell r="A160" t="str">
            <v>ROBERT VALERIANO MOTA DA SILVA</v>
          </cell>
        </row>
        <row r="161">
          <cell r="A161" t="str">
            <v>ROBERTO CARLOS DE OLIVEIRA</v>
          </cell>
        </row>
        <row r="162">
          <cell r="A162" t="str">
            <v>ROBERTO DONIZETTI GOULART</v>
          </cell>
        </row>
        <row r="163">
          <cell r="A163" t="str">
            <v>ROBERTO MARTINS DOS SANTOS</v>
          </cell>
        </row>
        <row r="164">
          <cell r="A164" t="str">
            <v>ROBERTO OLIMPIO CUNHA</v>
          </cell>
        </row>
        <row r="165">
          <cell r="A165" t="str">
            <v>ROBSON JACOB VINHAS</v>
          </cell>
        </row>
        <row r="166">
          <cell r="A166" t="str">
            <v>RODINEI APARECIDO FIDELIS</v>
          </cell>
        </row>
        <row r="167">
          <cell r="A167" t="str">
            <v>RODRIGO MARTINS MORENO PLAZA</v>
          </cell>
        </row>
        <row r="168">
          <cell r="A168" t="str">
            <v>RODRIGO QUEIROZ VIEIRA</v>
          </cell>
        </row>
        <row r="169">
          <cell r="A169" t="str">
            <v>ROGERIO BRAZIL LEDO</v>
          </cell>
        </row>
        <row r="170">
          <cell r="A170" t="str">
            <v>ROMILDO ELIAS DA SILVA</v>
          </cell>
        </row>
        <row r="171">
          <cell r="A171" t="str">
            <v>RONALDO CABRAL DA SILVA</v>
          </cell>
        </row>
        <row r="172">
          <cell r="A172" t="str">
            <v>RONALDO CASSIANO PEREIRA</v>
          </cell>
        </row>
        <row r="173">
          <cell r="A173" t="str">
            <v>SAMUEL CAVALCANTE DOS REIS</v>
          </cell>
        </row>
        <row r="174">
          <cell r="A174" t="str">
            <v>SAULO BASTOS TAVARES</v>
          </cell>
        </row>
        <row r="175">
          <cell r="A175" t="str">
            <v>SEBASTIAO ONOFRE</v>
          </cell>
        </row>
        <row r="176">
          <cell r="A176" t="str">
            <v>SIDNEI BAZON</v>
          </cell>
        </row>
        <row r="177">
          <cell r="A177" t="str">
            <v>TERIVALDO SOUZA DE JESUS</v>
          </cell>
        </row>
        <row r="178">
          <cell r="A178" t="str">
            <v>THADEU MARIANO BERTO DA SILVA</v>
          </cell>
        </row>
        <row r="179">
          <cell r="A179" t="str">
            <v>VALDEMIR MENDES DA SILVA</v>
          </cell>
        </row>
        <row r="180">
          <cell r="A180" t="str">
            <v>VALDENIS CORDIMO MEQUILES</v>
          </cell>
        </row>
        <row r="181">
          <cell r="A181" t="str">
            <v>VALMIR CARLOS DOS SANTOS</v>
          </cell>
        </row>
        <row r="182">
          <cell r="A182" t="str">
            <v>VALMIR DE SOUZA</v>
          </cell>
        </row>
        <row r="183">
          <cell r="A183" t="str">
            <v>VALTER JOSE MOREIRA</v>
          </cell>
        </row>
        <row r="184">
          <cell r="A184" t="str">
            <v>VALTER LUIZ DUARTE DA SILVA</v>
          </cell>
        </row>
        <row r="185">
          <cell r="A185" t="str">
            <v>VANDERLEY ALVES DOS SANTOS</v>
          </cell>
        </row>
        <row r="186">
          <cell r="A186" t="str">
            <v>WAGNER JUNIOR BENTO DOS SANTOS</v>
          </cell>
        </row>
        <row r="187">
          <cell r="A187" t="str">
            <v>WANDERLEI NERIS DA SILVA</v>
          </cell>
        </row>
        <row r="188">
          <cell r="A188" t="str">
            <v>WERLYS OLIVEIRA FONSECA</v>
          </cell>
        </row>
        <row r="189">
          <cell r="A189" t="str">
            <v>WILLIAN FERNANDO DE OLIVEIRA</v>
          </cell>
        </row>
        <row r="190">
          <cell r="A190" t="str">
            <v>WILSON TIBURCIO BISPO</v>
          </cell>
        </row>
        <row r="191">
          <cell r="A191" t="str">
            <v>WILLIAM RAFAEL DE MORAIS CERQUEIRA</v>
          </cell>
        </row>
        <row r="192">
          <cell r="A192" t="str">
            <v>ANGELINO PEREIRA DE JESUS</v>
          </cell>
        </row>
        <row r="193">
          <cell r="A193" t="str">
            <v>ROBERTO DOS SANTOS COSTA</v>
          </cell>
        </row>
        <row r="194">
          <cell r="A194" t="str">
            <v>SEBASTIAO PAULO SILVA</v>
          </cell>
        </row>
      </sheetData>
      <sheetData sheetId="7">
        <row r="5">
          <cell r="A5" t="str">
            <v>DVT1390</v>
          </cell>
        </row>
        <row r="6">
          <cell r="A6" t="str">
            <v>DVT1394</v>
          </cell>
        </row>
        <row r="7">
          <cell r="A7" t="str">
            <v>DVT1402</v>
          </cell>
        </row>
        <row r="8">
          <cell r="A8" t="str">
            <v>DVT2085</v>
          </cell>
        </row>
        <row r="9">
          <cell r="A9" t="str">
            <v>DVT2104</v>
          </cell>
        </row>
        <row r="10">
          <cell r="A10" t="str">
            <v>DVT2109</v>
          </cell>
        </row>
        <row r="11">
          <cell r="A11" t="str">
            <v>EFO2435</v>
          </cell>
        </row>
        <row r="12">
          <cell r="A12" t="str">
            <v>DVT2091</v>
          </cell>
        </row>
        <row r="13">
          <cell r="A13" t="str">
            <v>DVT2133</v>
          </cell>
        </row>
        <row r="14">
          <cell r="A14" t="str">
            <v>DVT2086</v>
          </cell>
        </row>
        <row r="15">
          <cell r="A15" t="str">
            <v>EFO2198</v>
          </cell>
        </row>
        <row r="16">
          <cell r="A16" t="str">
            <v>EFO2274</v>
          </cell>
        </row>
        <row r="17">
          <cell r="A17" t="str">
            <v>EFO2341</v>
          </cell>
        </row>
        <row r="18">
          <cell r="A18" t="str">
            <v>EFO2367</v>
          </cell>
        </row>
        <row r="19">
          <cell r="A19" t="str">
            <v>EFO2436</v>
          </cell>
        </row>
        <row r="20">
          <cell r="A20" t="str">
            <v>EFO2446</v>
          </cell>
        </row>
        <row r="21">
          <cell r="A21" t="str">
            <v>DJF4356</v>
          </cell>
        </row>
        <row r="22">
          <cell r="A22" t="str">
            <v>DJF4367</v>
          </cell>
        </row>
        <row r="23">
          <cell r="A23" t="str">
            <v>DJF4368</v>
          </cell>
        </row>
        <row r="24">
          <cell r="A24" t="str">
            <v>DJF4374</v>
          </cell>
        </row>
        <row r="25">
          <cell r="A25" t="str">
            <v>DJF4380</v>
          </cell>
        </row>
        <row r="26">
          <cell r="A26" t="str">
            <v>DJF4381</v>
          </cell>
        </row>
        <row r="27">
          <cell r="A27" t="str">
            <v>DJF4383</v>
          </cell>
        </row>
        <row r="28">
          <cell r="A28" t="str">
            <v>DJF4385</v>
          </cell>
        </row>
        <row r="29">
          <cell r="A29" t="str">
            <v>DVT1387</v>
          </cell>
        </row>
        <row r="30">
          <cell r="A30" t="str">
            <v>DVT1396</v>
          </cell>
        </row>
        <row r="31">
          <cell r="A31" t="str">
            <v>DVT1413</v>
          </cell>
        </row>
        <row r="32">
          <cell r="A32" t="str">
            <v>DVT2097</v>
          </cell>
        </row>
        <row r="33">
          <cell r="A33" t="str">
            <v>DVT2134</v>
          </cell>
        </row>
        <row r="34">
          <cell r="A34" t="str">
            <v>DVT2092</v>
          </cell>
        </row>
        <row r="35">
          <cell r="A35" t="str">
            <v>DVT2103</v>
          </cell>
        </row>
        <row r="36">
          <cell r="A36" t="str">
            <v>OBF6949</v>
          </cell>
        </row>
        <row r="37">
          <cell r="A37" t="str">
            <v>OBF6929</v>
          </cell>
        </row>
        <row r="38">
          <cell r="A38" t="str">
            <v>OBF6839</v>
          </cell>
        </row>
        <row r="39">
          <cell r="A39" t="str">
            <v>OBF7399</v>
          </cell>
        </row>
        <row r="40">
          <cell r="A40" t="str">
            <v>OBF6769</v>
          </cell>
        </row>
        <row r="41">
          <cell r="A41" t="str">
            <v>OBF8419</v>
          </cell>
        </row>
        <row r="42">
          <cell r="A42" t="str">
            <v>OBF7249</v>
          </cell>
        </row>
        <row r="43">
          <cell r="A43" t="str">
            <v>OBF7199</v>
          </cell>
        </row>
        <row r="44">
          <cell r="A44" t="str">
            <v>OBF7329</v>
          </cell>
        </row>
        <row r="45">
          <cell r="A45" t="str">
            <v>OBF5639</v>
          </cell>
        </row>
        <row r="46">
          <cell r="A46" t="str">
            <v>OBF6009</v>
          </cell>
        </row>
        <row r="47">
          <cell r="A47" t="str">
            <v>OBF7169</v>
          </cell>
        </row>
        <row r="48">
          <cell r="A48" t="str">
            <v>OBF7279</v>
          </cell>
        </row>
        <row r="49">
          <cell r="A49" t="str">
            <v>DPF6084</v>
          </cell>
        </row>
        <row r="50">
          <cell r="A50" t="str">
            <v>DPF6085</v>
          </cell>
        </row>
        <row r="51">
          <cell r="A51" t="str">
            <v>DPF6103</v>
          </cell>
        </row>
        <row r="52">
          <cell r="A52" t="str">
            <v>DPF6105</v>
          </cell>
        </row>
        <row r="53">
          <cell r="A53" t="str">
            <v>DPF6108</v>
          </cell>
        </row>
        <row r="54">
          <cell r="A54" t="str">
            <v>DPF6092</v>
          </cell>
        </row>
        <row r="55">
          <cell r="A55" t="str">
            <v>DPF6109</v>
          </cell>
        </row>
        <row r="56">
          <cell r="A56" t="str">
            <v>DPF6310</v>
          </cell>
        </row>
        <row r="57">
          <cell r="A57" t="str">
            <v>DPF6354</v>
          </cell>
        </row>
        <row r="58">
          <cell r="A58" t="str">
            <v>DPF6360</v>
          </cell>
        </row>
        <row r="59">
          <cell r="A59" t="str">
            <v>DJB0911</v>
          </cell>
        </row>
        <row r="60">
          <cell r="A60" t="str">
            <v>FTT2050</v>
          </cell>
        </row>
        <row r="61">
          <cell r="A61" t="str">
            <v>FTT2052</v>
          </cell>
        </row>
        <row r="62">
          <cell r="A62" t="str">
            <v>FTT2053</v>
          </cell>
        </row>
        <row r="63">
          <cell r="A63" t="str">
            <v>FTT2054</v>
          </cell>
        </row>
        <row r="64">
          <cell r="A64" t="str">
            <v>FTT2055</v>
          </cell>
        </row>
        <row r="65">
          <cell r="A65" t="str">
            <v>FTT2056</v>
          </cell>
        </row>
        <row r="66">
          <cell r="A66" t="str">
            <v>FTT2057</v>
          </cell>
        </row>
        <row r="67">
          <cell r="A67" t="str">
            <v>FTT2058</v>
          </cell>
        </row>
        <row r="68">
          <cell r="A68" t="str">
            <v>FTT2059</v>
          </cell>
        </row>
        <row r="69">
          <cell r="A69" t="str">
            <v>FTT2060</v>
          </cell>
        </row>
        <row r="70">
          <cell r="A70" t="str">
            <v>FTT2061</v>
          </cell>
        </row>
        <row r="71">
          <cell r="A71" t="str">
            <v>FTT2062</v>
          </cell>
        </row>
        <row r="72">
          <cell r="A72" t="str">
            <v>FTT2063</v>
          </cell>
        </row>
        <row r="73">
          <cell r="A73" t="str">
            <v>FTT2064</v>
          </cell>
        </row>
        <row r="74">
          <cell r="A74" t="str">
            <v>FTT2065</v>
          </cell>
        </row>
        <row r="75">
          <cell r="A75" t="str">
            <v>FTT2066</v>
          </cell>
        </row>
        <row r="76">
          <cell r="A76" t="str">
            <v>FTT2067</v>
          </cell>
        </row>
        <row r="77">
          <cell r="A77" t="str">
            <v>FTT2068</v>
          </cell>
        </row>
        <row r="78">
          <cell r="A78" t="str">
            <v>FTT2069</v>
          </cell>
        </row>
        <row r="79">
          <cell r="A79" t="str">
            <v>FTT2070</v>
          </cell>
        </row>
        <row r="80">
          <cell r="A80" t="str">
            <v>FTT2071</v>
          </cell>
        </row>
        <row r="81">
          <cell r="A81" t="str">
            <v>FTT2072</v>
          </cell>
        </row>
        <row r="82">
          <cell r="A82" t="str">
            <v>FTT2073</v>
          </cell>
        </row>
        <row r="83">
          <cell r="A83" t="str">
            <v>FTT2074</v>
          </cell>
        </row>
        <row r="84">
          <cell r="A84" t="str">
            <v>FTT2075</v>
          </cell>
        </row>
        <row r="85">
          <cell r="A85" t="str">
            <v>EWJ1189</v>
          </cell>
        </row>
        <row r="86">
          <cell r="A86" t="str">
            <v>EWJ1156</v>
          </cell>
        </row>
        <row r="87">
          <cell r="A87" t="str">
            <v>EWJ1158</v>
          </cell>
        </row>
        <row r="88">
          <cell r="A88" t="str">
            <v>EWJ1187</v>
          </cell>
        </row>
        <row r="89">
          <cell r="A89" t="str">
            <v>EWJ1186</v>
          </cell>
        </row>
        <row r="90">
          <cell r="A90" t="str">
            <v>EWJ1185</v>
          </cell>
        </row>
        <row r="91">
          <cell r="A91" t="str">
            <v>EWJ1157</v>
          </cell>
        </row>
        <row r="92">
          <cell r="A92" t="str">
            <v>EWJ1184</v>
          </cell>
        </row>
        <row r="93">
          <cell r="A93" t="str">
            <v>EWJ1183</v>
          </cell>
        </row>
        <row r="94">
          <cell r="A94" t="str">
            <v>EWJ1182</v>
          </cell>
        </row>
        <row r="95">
          <cell r="A95" t="str">
            <v>FUO0740</v>
          </cell>
        </row>
        <row r="96">
          <cell r="A96" t="str">
            <v>FUZ0670</v>
          </cell>
        </row>
        <row r="97">
          <cell r="A97" t="str">
            <v>EWJ0711</v>
          </cell>
        </row>
        <row r="98">
          <cell r="A98" t="str">
            <v>EWJ0712</v>
          </cell>
        </row>
        <row r="99">
          <cell r="A99" t="str">
            <v>EWJ0713</v>
          </cell>
        </row>
        <row r="100">
          <cell r="A100" t="str">
            <v>EWJ0714</v>
          </cell>
        </row>
        <row r="101">
          <cell r="A101" t="str">
            <v>EWJ0716</v>
          </cell>
        </row>
        <row r="102">
          <cell r="A102" t="str">
            <v>EWJ0717</v>
          </cell>
        </row>
        <row r="103">
          <cell r="A103" t="str">
            <v>EWJ0718</v>
          </cell>
        </row>
        <row r="104">
          <cell r="A104" t="str">
            <v>EWJ0719</v>
          </cell>
        </row>
        <row r="105">
          <cell r="A105" t="str">
            <v>EWJ0720</v>
          </cell>
        </row>
        <row r="106">
          <cell r="A106" t="str">
            <v>EWJ0721</v>
          </cell>
        </row>
        <row r="107">
          <cell r="A107" t="str">
            <v>EWJ0722</v>
          </cell>
        </row>
        <row r="108">
          <cell r="A108" t="str">
            <v>EWJ0723</v>
          </cell>
        </row>
        <row r="109">
          <cell r="A109" t="str">
            <v>EWJ0724</v>
          </cell>
        </row>
        <row r="110">
          <cell r="A110" t="str">
            <v>EWJ0725</v>
          </cell>
        </row>
        <row r="111">
          <cell r="A111" t="str">
            <v>EWJ0726</v>
          </cell>
        </row>
        <row r="112">
          <cell r="A112" t="str">
            <v>EWJ0727</v>
          </cell>
        </row>
        <row r="113">
          <cell r="A113" t="str">
            <v>EWJ0728</v>
          </cell>
        </row>
        <row r="114">
          <cell r="A114" t="str">
            <v>EWJ0729</v>
          </cell>
        </row>
        <row r="115">
          <cell r="A115" t="str">
            <v>EWJ0730</v>
          </cell>
        </row>
        <row r="116">
          <cell r="A116" t="str">
            <v>EWJ0731</v>
          </cell>
        </row>
        <row r="117">
          <cell r="A117" t="str">
            <v>EWJ0732</v>
          </cell>
        </row>
        <row r="118">
          <cell r="A118" t="str">
            <v>EWJ0733</v>
          </cell>
        </row>
        <row r="119">
          <cell r="A119" t="str">
            <v>EWJ0734</v>
          </cell>
        </row>
        <row r="120">
          <cell r="A120" t="str">
            <v>EWJ0735</v>
          </cell>
        </row>
        <row r="121">
          <cell r="A121" t="str">
            <v>EWJ0736</v>
          </cell>
        </row>
        <row r="122">
          <cell r="A122" t="str">
            <v>EWJ0737</v>
          </cell>
        </row>
        <row r="123">
          <cell r="A123" t="str">
            <v>EWJ0738</v>
          </cell>
        </row>
        <row r="124">
          <cell r="A124" t="str">
            <v>EWJ0739</v>
          </cell>
        </row>
        <row r="125">
          <cell r="A125" t="str">
            <v>EWJ0740</v>
          </cell>
        </row>
        <row r="126">
          <cell r="A126" t="str">
            <v>EWJ0742</v>
          </cell>
        </row>
        <row r="127">
          <cell r="A127" t="str">
            <v>EWJ0743</v>
          </cell>
        </row>
        <row r="128">
          <cell r="A128" t="str">
            <v>EWJ0744</v>
          </cell>
        </row>
        <row r="129">
          <cell r="A129" t="str">
            <v>EWJ0745</v>
          </cell>
        </row>
        <row r="130">
          <cell r="A130" t="str">
            <v>EWJ0746</v>
          </cell>
        </row>
        <row r="131">
          <cell r="A131" t="str">
            <v>EWJ0747</v>
          </cell>
        </row>
        <row r="132">
          <cell r="A132" t="str">
            <v>EWJ0748</v>
          </cell>
        </row>
        <row r="133">
          <cell r="A133" t="str">
            <v>EWJ0749</v>
          </cell>
        </row>
        <row r="134">
          <cell r="A134" t="str">
            <v>EWJ0751</v>
          </cell>
        </row>
        <row r="135">
          <cell r="A135" t="str">
            <v>EWJ0752</v>
          </cell>
        </row>
        <row r="136">
          <cell r="A136" t="str">
            <v>EWJ0753</v>
          </cell>
        </row>
        <row r="137">
          <cell r="A137" t="str">
            <v>EWJ0754</v>
          </cell>
        </row>
        <row r="138">
          <cell r="A138" t="str">
            <v>EWJ0755</v>
          </cell>
        </row>
        <row r="139">
          <cell r="A139" t="str">
            <v>EWJ0756</v>
          </cell>
        </row>
        <row r="140">
          <cell r="A140" t="str">
            <v>EWJ0757</v>
          </cell>
        </row>
        <row r="141">
          <cell r="A141" t="str">
            <v>EWJ0758</v>
          </cell>
        </row>
        <row r="142">
          <cell r="A142" t="str">
            <v>EWJ0759</v>
          </cell>
        </row>
        <row r="143">
          <cell r="A143" t="str">
            <v>EWJ0760</v>
          </cell>
        </row>
        <row r="144">
          <cell r="A144" t="str">
            <v>EWJ0761</v>
          </cell>
        </row>
        <row r="145">
          <cell r="A145" t="str">
            <v>FKE9796</v>
          </cell>
        </row>
        <row r="146">
          <cell r="A146" t="str">
            <v>FKE9798</v>
          </cell>
        </row>
        <row r="147">
          <cell r="A147" t="str">
            <v>FKE9799</v>
          </cell>
        </row>
        <row r="148">
          <cell r="A148" t="str">
            <v>FKE9800</v>
          </cell>
        </row>
        <row r="149">
          <cell r="A149" t="str">
            <v>FKE9801</v>
          </cell>
        </row>
        <row r="150">
          <cell r="A150" t="str">
            <v>FKE9804</v>
          </cell>
        </row>
        <row r="151">
          <cell r="A151" t="str">
            <v>FKE9781</v>
          </cell>
        </row>
        <row r="152">
          <cell r="A152" t="str">
            <v>FKE9805</v>
          </cell>
        </row>
        <row r="153">
          <cell r="A153" t="str">
            <v>FKE9789</v>
          </cell>
        </row>
        <row r="154">
          <cell r="A154" t="str">
            <v>FKE9790</v>
          </cell>
        </row>
        <row r="155">
          <cell r="A155" t="str">
            <v>FKE9791</v>
          </cell>
        </row>
        <row r="156">
          <cell r="A156" t="str">
            <v>FKE9792</v>
          </cell>
        </row>
        <row r="157">
          <cell r="A157" t="str">
            <v>FKE9793</v>
          </cell>
        </row>
        <row r="158">
          <cell r="A158" t="str">
            <v>FKE9794</v>
          </cell>
        </row>
        <row r="159">
          <cell r="A159" t="str">
            <v>FKE9795</v>
          </cell>
        </row>
        <row r="160">
          <cell r="A160" t="str">
            <v>FKE9802</v>
          </cell>
        </row>
        <row r="161">
          <cell r="A161" t="str">
            <v>FKE9803</v>
          </cell>
        </row>
        <row r="162">
          <cell r="A162" t="str">
            <v>FKE9788</v>
          </cell>
        </row>
        <row r="163">
          <cell r="A163" t="str">
            <v>FKE9783</v>
          </cell>
        </row>
        <row r="164">
          <cell r="A164" t="str">
            <v>FKE9784</v>
          </cell>
        </row>
        <row r="165">
          <cell r="A165" t="str">
            <v>FKE9785</v>
          </cell>
        </row>
        <row r="166">
          <cell r="A166" t="str">
            <v>FKE9786</v>
          </cell>
        </row>
        <row r="167">
          <cell r="A167" t="str">
            <v>FKE9787</v>
          </cell>
        </row>
        <row r="168">
          <cell r="A168" t="str">
            <v>FSQ8597</v>
          </cell>
        </row>
        <row r="169">
          <cell r="A169" t="str">
            <v>FTA5346</v>
          </cell>
        </row>
        <row r="170">
          <cell r="A170" t="str">
            <v>FTA6573</v>
          </cell>
        </row>
        <row r="171">
          <cell r="A171" t="str">
            <v>FTI3715</v>
          </cell>
        </row>
        <row r="172">
          <cell r="A172" t="str">
            <v>FTN2836</v>
          </cell>
        </row>
        <row r="173">
          <cell r="A173" t="str">
            <v>FTR9416</v>
          </cell>
        </row>
        <row r="174">
          <cell r="A174" t="str">
            <v>FTS5827</v>
          </cell>
        </row>
        <row r="175">
          <cell r="A175" t="str">
            <v>FTU5292</v>
          </cell>
        </row>
        <row r="176">
          <cell r="A176" t="str">
            <v>FTU7951</v>
          </cell>
        </row>
        <row r="177">
          <cell r="A177" t="str">
            <v>FTZ0214</v>
          </cell>
        </row>
        <row r="178">
          <cell r="A178" t="str">
            <v>FTZ8973</v>
          </cell>
        </row>
        <row r="179">
          <cell r="A179" t="str">
            <v>FKE9782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Planilha de Calculo"/>
      <sheetName val="Distâncias"/>
      <sheetName val="Base de dados"/>
    </sheetNames>
    <sheetDataSet>
      <sheetData sheetId="0" refreshError="1"/>
      <sheetData sheetId="1"/>
      <sheetData sheetId="2" refreshError="1"/>
      <sheetData sheetId="3">
        <row r="2">
          <cell r="C2" t="str">
            <v>Abadia de Goias</v>
          </cell>
        </row>
        <row r="3">
          <cell r="C3" t="str">
            <v>Abadia dos Dourados</v>
          </cell>
        </row>
        <row r="4">
          <cell r="C4" t="str">
            <v>Abadiania</v>
          </cell>
        </row>
        <row r="5">
          <cell r="C5" t="str">
            <v>Abaete</v>
          </cell>
        </row>
        <row r="6">
          <cell r="C6" t="str">
            <v>Abaetetuba</v>
          </cell>
        </row>
        <row r="7">
          <cell r="C7" t="str">
            <v>Abaiara</v>
          </cell>
        </row>
        <row r="8">
          <cell r="C8" t="str">
            <v>Abaira</v>
          </cell>
        </row>
        <row r="9">
          <cell r="C9" t="str">
            <v>Abare</v>
          </cell>
        </row>
        <row r="10">
          <cell r="C10" t="str">
            <v>Abatia</v>
          </cell>
        </row>
        <row r="11">
          <cell r="C11" t="str">
            <v>Abdon Batista</v>
          </cell>
        </row>
        <row r="12">
          <cell r="C12" t="str">
            <v>Abel Figueiredo</v>
          </cell>
        </row>
        <row r="13">
          <cell r="C13" t="str">
            <v>Abelardo Luz</v>
          </cell>
        </row>
        <row r="14">
          <cell r="C14" t="str">
            <v>Abre Campo</v>
          </cell>
        </row>
        <row r="15">
          <cell r="C15" t="str">
            <v>Abreu e Lima</v>
          </cell>
        </row>
        <row r="16">
          <cell r="C16" t="str">
            <v>Abreulandia</v>
          </cell>
        </row>
        <row r="17">
          <cell r="C17" t="str">
            <v>Acaiaca</v>
          </cell>
        </row>
        <row r="18">
          <cell r="C18" t="str">
            <v>Acailandia</v>
          </cell>
        </row>
        <row r="19">
          <cell r="C19" t="str">
            <v>Acajutiba</v>
          </cell>
        </row>
        <row r="20">
          <cell r="C20" t="str">
            <v>Acara</v>
          </cell>
        </row>
        <row r="21">
          <cell r="C21" t="str">
            <v>Acarape</v>
          </cell>
        </row>
        <row r="22">
          <cell r="C22" t="str">
            <v>Acarau</v>
          </cell>
        </row>
        <row r="23">
          <cell r="C23" t="str">
            <v>Acari</v>
          </cell>
        </row>
        <row r="24">
          <cell r="C24" t="str">
            <v>Acaua</v>
          </cell>
        </row>
        <row r="25">
          <cell r="C25" t="str">
            <v>Acegua</v>
          </cell>
        </row>
        <row r="26">
          <cell r="C26" t="str">
            <v>Acopiara</v>
          </cell>
        </row>
        <row r="27">
          <cell r="C27" t="str">
            <v>Acorizal</v>
          </cell>
        </row>
        <row r="28">
          <cell r="C28" t="str">
            <v>Acrelandia</v>
          </cell>
        </row>
        <row r="29">
          <cell r="C29" t="str">
            <v>Acreuna</v>
          </cell>
        </row>
        <row r="30">
          <cell r="C30" t="str">
            <v>Acu</v>
          </cell>
        </row>
        <row r="31">
          <cell r="C31" t="str">
            <v>Acucena</v>
          </cell>
        </row>
        <row r="32">
          <cell r="C32" t="str">
            <v>Adamantina</v>
          </cell>
        </row>
        <row r="33">
          <cell r="C33" t="str">
            <v>Adelandia</v>
          </cell>
        </row>
        <row r="34">
          <cell r="C34" t="str">
            <v>Adolfo</v>
          </cell>
        </row>
        <row r="35">
          <cell r="C35" t="str">
            <v>Adrianopolis</v>
          </cell>
        </row>
        <row r="36">
          <cell r="C36" t="str">
            <v>Adustina</v>
          </cell>
        </row>
        <row r="37">
          <cell r="C37" t="str">
            <v>Afogados da Ingazeira</v>
          </cell>
        </row>
        <row r="38">
          <cell r="C38" t="str">
            <v>Afonso Bezerra</v>
          </cell>
        </row>
        <row r="39">
          <cell r="C39" t="str">
            <v>Afonso Claudio</v>
          </cell>
        </row>
        <row r="40">
          <cell r="C40" t="str">
            <v>Afonso Cunha</v>
          </cell>
        </row>
        <row r="41">
          <cell r="C41" t="str">
            <v>Afranio</v>
          </cell>
        </row>
        <row r="42">
          <cell r="C42" t="str">
            <v>Afua</v>
          </cell>
        </row>
        <row r="43">
          <cell r="C43" t="str">
            <v>Agrestina</v>
          </cell>
        </row>
        <row r="44">
          <cell r="C44" t="str">
            <v>Agricolandia</v>
          </cell>
        </row>
        <row r="45">
          <cell r="C45" t="str">
            <v>Agrolandia</v>
          </cell>
        </row>
        <row r="46">
          <cell r="C46" t="str">
            <v>Agronomica</v>
          </cell>
        </row>
        <row r="47">
          <cell r="C47" t="str">
            <v>agua Azul do Norte</v>
          </cell>
        </row>
        <row r="48">
          <cell r="C48" t="str">
            <v>agua Boa</v>
          </cell>
        </row>
        <row r="49">
          <cell r="C49" t="str">
            <v>agua Boa</v>
          </cell>
        </row>
        <row r="50">
          <cell r="C50" t="str">
            <v>agua Branca</v>
          </cell>
        </row>
        <row r="51">
          <cell r="C51" t="str">
            <v>agua Branca</v>
          </cell>
        </row>
        <row r="52">
          <cell r="C52" t="str">
            <v>agua Branca</v>
          </cell>
        </row>
        <row r="53">
          <cell r="C53" t="str">
            <v>agua Clara</v>
          </cell>
        </row>
        <row r="54">
          <cell r="C54" t="str">
            <v>agua Comprida</v>
          </cell>
        </row>
        <row r="55">
          <cell r="C55" t="str">
            <v>agua Doce</v>
          </cell>
        </row>
        <row r="56">
          <cell r="C56" t="str">
            <v>agua Doce do Maranhao</v>
          </cell>
        </row>
        <row r="57">
          <cell r="C57" t="str">
            <v>agua Doce do Norte</v>
          </cell>
        </row>
        <row r="58">
          <cell r="C58" t="str">
            <v>agua Fria</v>
          </cell>
        </row>
        <row r="59">
          <cell r="C59" t="str">
            <v>agua Fria de Goias</v>
          </cell>
        </row>
        <row r="60">
          <cell r="C60" t="str">
            <v>agua Limpa</v>
          </cell>
        </row>
        <row r="61">
          <cell r="C61" t="str">
            <v>agua Nova</v>
          </cell>
        </row>
        <row r="62">
          <cell r="C62" t="str">
            <v>agua Preta</v>
          </cell>
        </row>
        <row r="63">
          <cell r="C63" t="str">
            <v>agua Santa</v>
          </cell>
        </row>
        <row r="64">
          <cell r="C64" t="str">
            <v>Aguai</v>
          </cell>
        </row>
        <row r="65">
          <cell r="C65" t="str">
            <v>Aguanil</v>
          </cell>
        </row>
        <row r="66">
          <cell r="C66" t="str">
            <v>aguas Belas</v>
          </cell>
        </row>
        <row r="67">
          <cell r="C67" t="str">
            <v>aguas da Prata</v>
          </cell>
        </row>
        <row r="68">
          <cell r="C68" t="str">
            <v>aguas de Chapeco</v>
          </cell>
        </row>
        <row r="69">
          <cell r="C69" t="str">
            <v>aguas de Lindoia</v>
          </cell>
        </row>
        <row r="70">
          <cell r="C70" t="str">
            <v>aguas de Santa Barbara</v>
          </cell>
        </row>
        <row r="71">
          <cell r="C71" t="str">
            <v>aguas de Sao Pedro</v>
          </cell>
        </row>
        <row r="72">
          <cell r="C72" t="str">
            <v>aguas Formosas</v>
          </cell>
        </row>
        <row r="73">
          <cell r="C73" t="str">
            <v>aguas Frias</v>
          </cell>
        </row>
        <row r="74">
          <cell r="C74" t="str">
            <v>aguas Lindas de Goias</v>
          </cell>
        </row>
        <row r="75">
          <cell r="C75" t="str">
            <v>aguas Mornas</v>
          </cell>
        </row>
        <row r="76">
          <cell r="C76" t="str">
            <v>aguas Vermelhas</v>
          </cell>
        </row>
        <row r="77">
          <cell r="C77" t="str">
            <v>Agudo</v>
          </cell>
        </row>
        <row r="78">
          <cell r="C78" t="str">
            <v>Agudos</v>
          </cell>
        </row>
        <row r="79">
          <cell r="C79" t="str">
            <v>Agudos do Sul</v>
          </cell>
        </row>
        <row r="80">
          <cell r="C80" t="str">
            <v>aguia Branca</v>
          </cell>
        </row>
        <row r="81">
          <cell r="C81" t="str">
            <v>Aguiar</v>
          </cell>
        </row>
        <row r="82">
          <cell r="C82" t="str">
            <v>Aguiarnopolis</v>
          </cell>
        </row>
        <row r="83">
          <cell r="C83" t="str">
            <v>Aimores</v>
          </cell>
        </row>
        <row r="84">
          <cell r="C84" t="str">
            <v>Aiquara</v>
          </cell>
        </row>
        <row r="85">
          <cell r="C85" t="str">
            <v>Aiuaba</v>
          </cell>
        </row>
        <row r="86">
          <cell r="C86" t="str">
            <v>Aiuruoca</v>
          </cell>
        </row>
        <row r="87">
          <cell r="C87" t="str">
            <v>Ajuricaba</v>
          </cell>
        </row>
        <row r="88">
          <cell r="C88" t="str">
            <v>Alagoa</v>
          </cell>
        </row>
        <row r="89">
          <cell r="C89" t="str">
            <v>Alagoa Grande</v>
          </cell>
        </row>
        <row r="90">
          <cell r="C90" t="str">
            <v>Alagoa Nova</v>
          </cell>
        </row>
        <row r="91">
          <cell r="C91" t="str">
            <v>Alagoinha</v>
          </cell>
        </row>
        <row r="92">
          <cell r="C92" t="str">
            <v>Alagoinha</v>
          </cell>
        </row>
        <row r="93">
          <cell r="C93" t="str">
            <v>Alagoinha do Piaui</v>
          </cell>
        </row>
        <row r="94">
          <cell r="C94" t="str">
            <v>Alagoinhas</v>
          </cell>
        </row>
        <row r="95">
          <cell r="C95" t="str">
            <v>Alambari</v>
          </cell>
        </row>
        <row r="96">
          <cell r="C96" t="str">
            <v>Albertina</v>
          </cell>
        </row>
        <row r="97">
          <cell r="C97" t="str">
            <v>Alcantara</v>
          </cell>
        </row>
        <row r="98">
          <cell r="C98" t="str">
            <v>Alcantaras</v>
          </cell>
        </row>
        <row r="99">
          <cell r="C99" t="str">
            <v>Alcantil</v>
          </cell>
        </row>
        <row r="100">
          <cell r="C100" t="str">
            <v>Alcinopolis</v>
          </cell>
        </row>
        <row r="101">
          <cell r="C101" t="str">
            <v>Alcobaca</v>
          </cell>
        </row>
        <row r="102">
          <cell r="C102" t="str">
            <v>Aldeias Altas</v>
          </cell>
        </row>
        <row r="103">
          <cell r="C103" t="str">
            <v>Alecrim</v>
          </cell>
        </row>
        <row r="104">
          <cell r="C104" t="str">
            <v>Alegre</v>
          </cell>
        </row>
        <row r="105">
          <cell r="C105" t="str">
            <v>Alegrete</v>
          </cell>
        </row>
        <row r="106">
          <cell r="C106" t="str">
            <v>Alegrete do Piaui</v>
          </cell>
        </row>
        <row r="107">
          <cell r="C107" t="str">
            <v>Alegria</v>
          </cell>
        </row>
        <row r="108">
          <cell r="C108" t="str">
            <v>Alem Paraiba</v>
          </cell>
        </row>
        <row r="109">
          <cell r="C109" t="str">
            <v>Alenquer</v>
          </cell>
        </row>
        <row r="110">
          <cell r="C110" t="str">
            <v>Alexandria</v>
          </cell>
        </row>
        <row r="111">
          <cell r="C111" t="str">
            <v>Alexania</v>
          </cell>
        </row>
        <row r="112">
          <cell r="C112" t="str">
            <v>Alfenas</v>
          </cell>
        </row>
        <row r="113">
          <cell r="C113" t="str">
            <v>Alfredo Chaves</v>
          </cell>
        </row>
        <row r="114">
          <cell r="C114" t="str">
            <v>Alfredo Marcondes</v>
          </cell>
        </row>
        <row r="115">
          <cell r="C115" t="str">
            <v>Alfredo Vasconcelos</v>
          </cell>
        </row>
        <row r="116">
          <cell r="C116" t="str">
            <v>Alfredo Wagner</v>
          </cell>
        </row>
        <row r="117">
          <cell r="C117" t="str">
            <v>Algodao de Jandaira</v>
          </cell>
        </row>
        <row r="118">
          <cell r="C118" t="str">
            <v>Alhandra</v>
          </cell>
        </row>
        <row r="119">
          <cell r="C119" t="str">
            <v>Alianca</v>
          </cell>
        </row>
        <row r="120">
          <cell r="C120" t="str">
            <v>Alianca do Tocantins</v>
          </cell>
        </row>
        <row r="121">
          <cell r="C121" t="str">
            <v>Almadina</v>
          </cell>
        </row>
        <row r="122">
          <cell r="C122" t="str">
            <v>Almas</v>
          </cell>
        </row>
        <row r="123">
          <cell r="C123" t="str">
            <v>Almeirim</v>
          </cell>
        </row>
        <row r="124">
          <cell r="C124" t="str">
            <v>Almenara</v>
          </cell>
        </row>
        <row r="125">
          <cell r="C125" t="str">
            <v>Almino Afonso</v>
          </cell>
        </row>
        <row r="126">
          <cell r="C126" t="str">
            <v>Almirante Tamandare</v>
          </cell>
        </row>
        <row r="127">
          <cell r="C127" t="str">
            <v>Almirante Tamandare do Sul</v>
          </cell>
        </row>
        <row r="128">
          <cell r="C128" t="str">
            <v>Aloandia</v>
          </cell>
        </row>
        <row r="129">
          <cell r="C129" t="str">
            <v>Alpercata</v>
          </cell>
        </row>
        <row r="130">
          <cell r="C130" t="str">
            <v>Alpestre</v>
          </cell>
        </row>
        <row r="131">
          <cell r="C131" t="str">
            <v>Alpinopolis</v>
          </cell>
        </row>
        <row r="132">
          <cell r="C132" t="str">
            <v>Alta Floresta</v>
          </cell>
        </row>
        <row r="133">
          <cell r="C133" t="str">
            <v>Alta Floresta D'Oeste</v>
          </cell>
        </row>
        <row r="134">
          <cell r="C134" t="str">
            <v>Altair</v>
          </cell>
        </row>
        <row r="135">
          <cell r="C135" t="str">
            <v>Altamira</v>
          </cell>
        </row>
        <row r="136">
          <cell r="C136" t="str">
            <v>Altamira do Maranhao</v>
          </cell>
        </row>
        <row r="137">
          <cell r="C137" t="str">
            <v>Altamira do Parana</v>
          </cell>
        </row>
        <row r="138">
          <cell r="C138" t="str">
            <v>Altaneira</v>
          </cell>
        </row>
        <row r="139">
          <cell r="C139" t="str">
            <v>Alterosa</v>
          </cell>
        </row>
        <row r="140">
          <cell r="C140" t="str">
            <v>Altinho</v>
          </cell>
        </row>
        <row r="141">
          <cell r="C141" t="str">
            <v>Altinopolis</v>
          </cell>
        </row>
        <row r="142">
          <cell r="C142" t="str">
            <v>Alto Alegre</v>
          </cell>
        </row>
        <row r="143">
          <cell r="C143" t="str">
            <v>Alto Alegre</v>
          </cell>
        </row>
        <row r="144">
          <cell r="C144" t="str">
            <v>Alto Alegre</v>
          </cell>
        </row>
        <row r="145">
          <cell r="C145" t="str">
            <v>Alto Alegre do Maranhao</v>
          </cell>
        </row>
        <row r="146">
          <cell r="C146" t="str">
            <v>Alto Alegre do Pindare</v>
          </cell>
        </row>
        <row r="147">
          <cell r="C147" t="str">
            <v>Alto Alegre dos Parecis</v>
          </cell>
        </row>
        <row r="148">
          <cell r="C148" t="str">
            <v>Alto Araguaia</v>
          </cell>
        </row>
        <row r="149">
          <cell r="C149" t="str">
            <v>Alto Bela Vista</v>
          </cell>
        </row>
        <row r="150">
          <cell r="C150" t="str">
            <v>Alto Boa Vista</v>
          </cell>
        </row>
        <row r="151">
          <cell r="C151" t="str">
            <v>Alto Caparao</v>
          </cell>
        </row>
        <row r="152">
          <cell r="C152" t="str">
            <v>Alto do Rodrigues</v>
          </cell>
        </row>
        <row r="153">
          <cell r="C153" t="str">
            <v>Alto Feliz</v>
          </cell>
        </row>
        <row r="154">
          <cell r="C154" t="str">
            <v>Alto Garcas</v>
          </cell>
        </row>
        <row r="155">
          <cell r="C155" t="str">
            <v>Alto Horizonte</v>
          </cell>
        </row>
        <row r="156">
          <cell r="C156" t="str">
            <v>Alto Jequitiba</v>
          </cell>
        </row>
        <row r="157">
          <cell r="C157" t="str">
            <v>Alto Longa</v>
          </cell>
        </row>
        <row r="158">
          <cell r="C158" t="str">
            <v>Alto Paraguai</v>
          </cell>
        </row>
        <row r="159">
          <cell r="C159" t="str">
            <v>Alto Paraiso</v>
          </cell>
        </row>
        <row r="160">
          <cell r="C160" t="str">
            <v>Alto Paraiso de Goias</v>
          </cell>
        </row>
        <row r="161">
          <cell r="C161" t="str">
            <v>Alto Parana</v>
          </cell>
        </row>
        <row r="162">
          <cell r="C162" t="str">
            <v>Alto Parnaiba</v>
          </cell>
        </row>
        <row r="163">
          <cell r="C163" t="str">
            <v>Alto Piquiri</v>
          </cell>
        </row>
        <row r="164">
          <cell r="C164" t="str">
            <v>Alto Rio Doce</v>
          </cell>
        </row>
        <row r="165">
          <cell r="C165" t="str">
            <v>Alto Rio Novo</v>
          </cell>
        </row>
        <row r="166">
          <cell r="C166" t="str">
            <v>Alto Santo</v>
          </cell>
        </row>
        <row r="167">
          <cell r="C167" t="str">
            <v>Alto Taquari</v>
          </cell>
        </row>
        <row r="168">
          <cell r="C168" t="str">
            <v>Altonia</v>
          </cell>
        </row>
        <row r="169">
          <cell r="C169" t="str">
            <v>Altos</v>
          </cell>
        </row>
        <row r="170">
          <cell r="C170" t="str">
            <v>Aluminio</v>
          </cell>
        </row>
        <row r="171">
          <cell r="C171" t="str">
            <v>Alvaraes</v>
          </cell>
        </row>
        <row r="172">
          <cell r="C172" t="str">
            <v>Alvarenga</v>
          </cell>
        </row>
        <row r="173">
          <cell r="C173" t="str">
            <v>alvares Florence</v>
          </cell>
        </row>
        <row r="174">
          <cell r="C174" t="str">
            <v>alvares Machado</v>
          </cell>
        </row>
        <row r="175">
          <cell r="C175" t="str">
            <v>alvaro de Carvalho</v>
          </cell>
        </row>
        <row r="176">
          <cell r="C176" t="str">
            <v>Alvinlandia</v>
          </cell>
        </row>
        <row r="177">
          <cell r="C177" t="str">
            <v>Alvinopolis</v>
          </cell>
        </row>
        <row r="178">
          <cell r="C178" t="str">
            <v>Alvorada</v>
          </cell>
        </row>
        <row r="179">
          <cell r="C179" t="str">
            <v>Alvorada</v>
          </cell>
        </row>
        <row r="180">
          <cell r="C180" t="str">
            <v>Alvorada de Minas</v>
          </cell>
        </row>
        <row r="181">
          <cell r="C181" t="str">
            <v>Alvorada do Gurgueia</v>
          </cell>
        </row>
        <row r="182">
          <cell r="C182" t="str">
            <v>Alvorada do Norte</v>
          </cell>
        </row>
        <row r="183">
          <cell r="C183" t="str">
            <v>Alvorada do Sul</v>
          </cell>
        </row>
        <row r="184">
          <cell r="C184" t="str">
            <v>Alvorada D'Oeste</v>
          </cell>
        </row>
        <row r="185">
          <cell r="C185" t="str">
            <v>Amajari</v>
          </cell>
        </row>
        <row r="186">
          <cell r="C186" t="str">
            <v>Amambai</v>
          </cell>
        </row>
        <row r="187">
          <cell r="C187" t="str">
            <v>Amapa</v>
          </cell>
        </row>
        <row r="188">
          <cell r="C188" t="str">
            <v>Amapa do Maranhao</v>
          </cell>
        </row>
        <row r="189">
          <cell r="C189" t="str">
            <v>Amapora</v>
          </cell>
        </row>
        <row r="190">
          <cell r="C190" t="str">
            <v>Amaraji</v>
          </cell>
        </row>
        <row r="191">
          <cell r="C191" t="str">
            <v>Amaral Ferrador</v>
          </cell>
        </row>
        <row r="192">
          <cell r="C192" t="str">
            <v>Amaralina</v>
          </cell>
        </row>
        <row r="193">
          <cell r="C193" t="str">
            <v>Amarante</v>
          </cell>
        </row>
        <row r="194">
          <cell r="C194" t="str">
            <v>Amarante do Maranhao</v>
          </cell>
        </row>
        <row r="195">
          <cell r="C195" t="str">
            <v>Amargosa</v>
          </cell>
        </row>
        <row r="196">
          <cell r="C196" t="str">
            <v>Amatura</v>
          </cell>
        </row>
        <row r="197">
          <cell r="C197" t="str">
            <v>Amelia Rodrigues</v>
          </cell>
        </row>
        <row r="198">
          <cell r="C198" t="str">
            <v>America Dourada</v>
          </cell>
        </row>
        <row r="199">
          <cell r="C199" t="str">
            <v>Americana</v>
          </cell>
        </row>
        <row r="200">
          <cell r="C200" t="str">
            <v>Americano do Brasil</v>
          </cell>
        </row>
        <row r="201">
          <cell r="C201" t="str">
            <v>Americo Brasiliense</v>
          </cell>
        </row>
        <row r="202">
          <cell r="C202" t="str">
            <v>Americo de Campos</v>
          </cell>
        </row>
        <row r="203">
          <cell r="C203" t="str">
            <v>Ametista do Sul</v>
          </cell>
        </row>
        <row r="204">
          <cell r="C204" t="str">
            <v>Amontada</v>
          </cell>
        </row>
        <row r="205">
          <cell r="C205" t="str">
            <v>Amorinopolis</v>
          </cell>
        </row>
        <row r="206">
          <cell r="C206" t="str">
            <v>Amparo</v>
          </cell>
        </row>
        <row r="207">
          <cell r="C207" t="str">
            <v>Amparo</v>
          </cell>
        </row>
        <row r="208">
          <cell r="C208" t="str">
            <v>Amparo de Sao Francisco</v>
          </cell>
        </row>
        <row r="209">
          <cell r="C209" t="str">
            <v>Amparo do Serra</v>
          </cell>
        </row>
        <row r="210">
          <cell r="C210" t="str">
            <v>Ampere</v>
          </cell>
        </row>
        <row r="211">
          <cell r="C211" t="str">
            <v>Anadia</v>
          </cell>
        </row>
        <row r="212">
          <cell r="C212" t="str">
            <v>Anage</v>
          </cell>
        </row>
        <row r="213">
          <cell r="C213" t="str">
            <v>Anahy</v>
          </cell>
        </row>
        <row r="214">
          <cell r="C214" t="str">
            <v>Anajas</v>
          </cell>
        </row>
        <row r="215">
          <cell r="C215" t="str">
            <v>Anajatuba</v>
          </cell>
        </row>
        <row r="216">
          <cell r="C216" t="str">
            <v>Analandia</v>
          </cell>
        </row>
        <row r="217">
          <cell r="C217" t="str">
            <v>Anama</v>
          </cell>
        </row>
        <row r="218">
          <cell r="C218" t="str">
            <v>Ananas</v>
          </cell>
        </row>
        <row r="219">
          <cell r="C219" t="str">
            <v>Ananindeua</v>
          </cell>
        </row>
        <row r="220">
          <cell r="C220" t="str">
            <v>Anapolis</v>
          </cell>
        </row>
        <row r="221">
          <cell r="C221" t="str">
            <v>Anapu</v>
          </cell>
        </row>
        <row r="222">
          <cell r="C222" t="str">
            <v>Anapurus</v>
          </cell>
        </row>
        <row r="223">
          <cell r="C223" t="str">
            <v>Anastacio</v>
          </cell>
        </row>
        <row r="224">
          <cell r="C224" t="str">
            <v>Anaurilandia</v>
          </cell>
        </row>
        <row r="225">
          <cell r="C225" t="str">
            <v>Anchieta</v>
          </cell>
        </row>
        <row r="226">
          <cell r="C226" t="str">
            <v>Anchieta</v>
          </cell>
        </row>
        <row r="227">
          <cell r="C227" t="str">
            <v>Andarai</v>
          </cell>
        </row>
        <row r="228">
          <cell r="C228" t="str">
            <v>Andira</v>
          </cell>
        </row>
        <row r="229">
          <cell r="C229" t="str">
            <v>Andorinha</v>
          </cell>
        </row>
        <row r="230">
          <cell r="C230" t="str">
            <v>Andradas</v>
          </cell>
        </row>
        <row r="231">
          <cell r="C231" t="str">
            <v>Andradina</v>
          </cell>
        </row>
        <row r="232">
          <cell r="C232" t="str">
            <v>Andre da Rocha</v>
          </cell>
        </row>
        <row r="233">
          <cell r="C233" t="str">
            <v>Andrelandia</v>
          </cell>
        </row>
        <row r="234">
          <cell r="C234" t="str">
            <v>Angatuba</v>
          </cell>
        </row>
        <row r="235">
          <cell r="C235" t="str">
            <v>Angelandia</v>
          </cell>
        </row>
        <row r="236">
          <cell r="C236" t="str">
            <v>Angelica</v>
          </cell>
        </row>
        <row r="237">
          <cell r="C237" t="str">
            <v>Angelim</v>
          </cell>
        </row>
        <row r="238">
          <cell r="C238" t="str">
            <v>Angelina</v>
          </cell>
        </row>
        <row r="239">
          <cell r="C239" t="str">
            <v>Angical</v>
          </cell>
        </row>
        <row r="240">
          <cell r="C240" t="str">
            <v>Angical do Piaui</v>
          </cell>
        </row>
        <row r="241">
          <cell r="C241" t="str">
            <v>Angico</v>
          </cell>
        </row>
        <row r="242">
          <cell r="C242" t="str">
            <v>Angicos</v>
          </cell>
        </row>
        <row r="243">
          <cell r="C243" t="str">
            <v>Angra dos Reis</v>
          </cell>
        </row>
        <row r="244">
          <cell r="C244" t="str">
            <v>Anguera</v>
          </cell>
        </row>
        <row r="245">
          <cell r="C245" t="str">
            <v>angulo</v>
          </cell>
        </row>
        <row r="246">
          <cell r="C246" t="str">
            <v>Anhanguera</v>
          </cell>
        </row>
        <row r="247">
          <cell r="C247" t="str">
            <v>Anhembi</v>
          </cell>
        </row>
        <row r="248">
          <cell r="C248" t="str">
            <v>Anhumas</v>
          </cell>
        </row>
        <row r="249">
          <cell r="C249" t="str">
            <v>Anicuns</v>
          </cell>
        </row>
        <row r="250">
          <cell r="C250" t="str">
            <v>Anisio de Abreu</v>
          </cell>
        </row>
        <row r="251">
          <cell r="C251" t="str">
            <v>Anita Garibaldi</v>
          </cell>
        </row>
        <row r="252">
          <cell r="C252" t="str">
            <v>Anitapolis</v>
          </cell>
        </row>
        <row r="253">
          <cell r="C253" t="str">
            <v>Anori</v>
          </cell>
        </row>
        <row r="254">
          <cell r="C254" t="str">
            <v>Anta Gorda</v>
          </cell>
        </row>
        <row r="255">
          <cell r="C255" t="str">
            <v>Antas</v>
          </cell>
        </row>
        <row r="256">
          <cell r="C256" t="str">
            <v>Antonina</v>
          </cell>
        </row>
        <row r="257">
          <cell r="C257" t="str">
            <v>Antonina do Norte</v>
          </cell>
        </row>
        <row r="258">
          <cell r="C258" t="str">
            <v>Antonio Almeida</v>
          </cell>
        </row>
        <row r="259">
          <cell r="C259" t="str">
            <v>Antonio Cardoso</v>
          </cell>
        </row>
        <row r="260">
          <cell r="C260" t="str">
            <v>Antonio Carlos</v>
          </cell>
        </row>
        <row r="261">
          <cell r="C261" t="str">
            <v>Antonio Carlos</v>
          </cell>
        </row>
        <row r="262">
          <cell r="C262" t="str">
            <v>Antonio Dias</v>
          </cell>
        </row>
        <row r="263">
          <cell r="C263" t="str">
            <v>Antonio Goncalves</v>
          </cell>
        </row>
        <row r="264">
          <cell r="C264" t="str">
            <v>Antonio Joao</v>
          </cell>
        </row>
        <row r="265">
          <cell r="C265" t="str">
            <v>Antonio Martins</v>
          </cell>
        </row>
        <row r="266">
          <cell r="C266" t="str">
            <v>Antonio Olinto</v>
          </cell>
        </row>
        <row r="267">
          <cell r="C267" t="str">
            <v>Antonio Prado</v>
          </cell>
        </row>
        <row r="268">
          <cell r="C268" t="str">
            <v>Antonio Prado de Minas</v>
          </cell>
        </row>
        <row r="269">
          <cell r="C269" t="str">
            <v>Aparecida</v>
          </cell>
        </row>
        <row r="270">
          <cell r="C270" t="str">
            <v>Aparecida</v>
          </cell>
        </row>
        <row r="271">
          <cell r="C271" t="str">
            <v>Aparecida de Goiania</v>
          </cell>
        </row>
        <row r="272">
          <cell r="C272" t="str">
            <v>Aparecida do Rio Doce</v>
          </cell>
        </row>
        <row r="273">
          <cell r="C273" t="str">
            <v>Aparecida do Rio Negro</v>
          </cell>
        </row>
        <row r="274">
          <cell r="C274" t="str">
            <v>Aparecida do Taboado</v>
          </cell>
        </row>
        <row r="275">
          <cell r="C275" t="str">
            <v>Aparecida d'Oeste</v>
          </cell>
        </row>
        <row r="276">
          <cell r="C276" t="str">
            <v>Aperibe</v>
          </cell>
        </row>
        <row r="277">
          <cell r="C277" t="str">
            <v>Apiaca</v>
          </cell>
        </row>
        <row r="278">
          <cell r="C278" t="str">
            <v>Apiacas</v>
          </cell>
        </row>
        <row r="279">
          <cell r="C279" t="str">
            <v>Apiai</v>
          </cell>
        </row>
        <row r="280">
          <cell r="C280" t="str">
            <v>Apicum-Acu</v>
          </cell>
        </row>
        <row r="281">
          <cell r="C281" t="str">
            <v>Apiuna</v>
          </cell>
        </row>
        <row r="282">
          <cell r="C282" t="str">
            <v>Apodi</v>
          </cell>
        </row>
        <row r="283">
          <cell r="C283" t="str">
            <v>Apora</v>
          </cell>
        </row>
        <row r="284">
          <cell r="C284" t="str">
            <v>Apore</v>
          </cell>
        </row>
        <row r="285">
          <cell r="C285" t="str">
            <v>Apuarema</v>
          </cell>
        </row>
        <row r="286">
          <cell r="C286" t="str">
            <v>Apucarana</v>
          </cell>
        </row>
        <row r="287">
          <cell r="C287" t="str">
            <v>Apui</v>
          </cell>
        </row>
        <row r="288">
          <cell r="C288" t="str">
            <v>Apuiares</v>
          </cell>
        </row>
        <row r="289">
          <cell r="C289" t="str">
            <v>Aquidaba</v>
          </cell>
        </row>
        <row r="290">
          <cell r="C290" t="str">
            <v>Aquidauana</v>
          </cell>
        </row>
        <row r="291">
          <cell r="C291" t="str">
            <v>Aquiraz</v>
          </cell>
        </row>
        <row r="292">
          <cell r="C292" t="str">
            <v>Arabuta</v>
          </cell>
        </row>
        <row r="293">
          <cell r="C293" t="str">
            <v>Aracagi</v>
          </cell>
        </row>
        <row r="294">
          <cell r="C294" t="str">
            <v>Aracai</v>
          </cell>
        </row>
        <row r="295">
          <cell r="C295" t="str">
            <v>Aracaju</v>
          </cell>
        </row>
        <row r="296">
          <cell r="C296" t="str">
            <v>Aracariguama</v>
          </cell>
        </row>
        <row r="297">
          <cell r="C297" t="str">
            <v>Aracas</v>
          </cell>
        </row>
        <row r="298">
          <cell r="C298" t="str">
            <v>Aracati</v>
          </cell>
        </row>
        <row r="299">
          <cell r="C299" t="str">
            <v>Aracatu</v>
          </cell>
        </row>
        <row r="300">
          <cell r="C300" t="str">
            <v>Aracatuba</v>
          </cell>
        </row>
        <row r="301">
          <cell r="C301" t="str">
            <v>Araci</v>
          </cell>
        </row>
        <row r="302">
          <cell r="C302" t="str">
            <v>Aracitaba</v>
          </cell>
        </row>
        <row r="303">
          <cell r="C303" t="str">
            <v>Aracoiaba</v>
          </cell>
        </row>
        <row r="304">
          <cell r="C304" t="str">
            <v>Aracoiaba</v>
          </cell>
        </row>
        <row r="305">
          <cell r="C305" t="str">
            <v>Aracoiaba da Serra</v>
          </cell>
        </row>
        <row r="306">
          <cell r="C306" t="str">
            <v>Aracruz</v>
          </cell>
        </row>
        <row r="307">
          <cell r="C307" t="str">
            <v>Aracu</v>
          </cell>
        </row>
        <row r="308">
          <cell r="C308" t="str">
            <v>Aracuai</v>
          </cell>
        </row>
        <row r="309">
          <cell r="C309" t="str">
            <v>Aragarcas</v>
          </cell>
        </row>
        <row r="310">
          <cell r="C310" t="str">
            <v>Aragoiania</v>
          </cell>
        </row>
        <row r="311">
          <cell r="C311" t="str">
            <v>Aragominas</v>
          </cell>
        </row>
        <row r="312">
          <cell r="C312" t="str">
            <v>Araguacema</v>
          </cell>
        </row>
        <row r="313">
          <cell r="C313" t="str">
            <v>Araguacu</v>
          </cell>
        </row>
        <row r="314">
          <cell r="C314" t="str">
            <v>Araguaiana</v>
          </cell>
        </row>
        <row r="315">
          <cell r="C315" t="str">
            <v>Araguaina</v>
          </cell>
        </row>
        <row r="316">
          <cell r="C316" t="str">
            <v>Araguainha</v>
          </cell>
        </row>
        <row r="317">
          <cell r="C317" t="str">
            <v>Araguana</v>
          </cell>
        </row>
        <row r="318">
          <cell r="C318" t="str">
            <v>Araguana</v>
          </cell>
        </row>
        <row r="319">
          <cell r="C319" t="str">
            <v>Araguapaz</v>
          </cell>
        </row>
        <row r="320">
          <cell r="C320" t="str">
            <v>Araguari</v>
          </cell>
        </row>
        <row r="321">
          <cell r="C321" t="str">
            <v>Araguatins</v>
          </cell>
        </row>
        <row r="322">
          <cell r="C322" t="str">
            <v>Araioses</v>
          </cell>
        </row>
        <row r="323">
          <cell r="C323" t="str">
            <v>Aral Moreira</v>
          </cell>
        </row>
        <row r="324">
          <cell r="C324" t="str">
            <v>Aramari</v>
          </cell>
        </row>
        <row r="325">
          <cell r="C325" t="str">
            <v>Arambare</v>
          </cell>
        </row>
        <row r="326">
          <cell r="C326" t="str">
            <v>Arame</v>
          </cell>
        </row>
        <row r="327">
          <cell r="C327" t="str">
            <v>Aramina</v>
          </cell>
        </row>
        <row r="328">
          <cell r="C328" t="str">
            <v>Arandu</v>
          </cell>
        </row>
        <row r="329">
          <cell r="C329" t="str">
            <v>Arantina</v>
          </cell>
        </row>
        <row r="330">
          <cell r="C330" t="str">
            <v>Arapei</v>
          </cell>
        </row>
        <row r="331">
          <cell r="C331" t="str">
            <v>Arapiraca</v>
          </cell>
        </row>
        <row r="332">
          <cell r="C332" t="str">
            <v>Arapoema</v>
          </cell>
        </row>
        <row r="333">
          <cell r="C333" t="str">
            <v>Araponga</v>
          </cell>
        </row>
        <row r="334">
          <cell r="C334" t="str">
            <v>Arapongas</v>
          </cell>
        </row>
        <row r="335">
          <cell r="C335" t="str">
            <v>Arapora</v>
          </cell>
        </row>
        <row r="336">
          <cell r="C336" t="str">
            <v>Arapoti</v>
          </cell>
        </row>
        <row r="337">
          <cell r="C337" t="str">
            <v>Arapua</v>
          </cell>
        </row>
        <row r="338">
          <cell r="C338" t="str">
            <v>Arapua</v>
          </cell>
        </row>
        <row r="339">
          <cell r="C339" t="str">
            <v>Araputanga</v>
          </cell>
        </row>
        <row r="340">
          <cell r="C340" t="str">
            <v>Araquari</v>
          </cell>
        </row>
        <row r="341">
          <cell r="C341" t="str">
            <v>Arara</v>
          </cell>
        </row>
        <row r="342">
          <cell r="C342" t="str">
            <v>Ararangua</v>
          </cell>
        </row>
        <row r="343">
          <cell r="C343" t="str">
            <v>Araraquara</v>
          </cell>
        </row>
        <row r="344">
          <cell r="C344" t="str">
            <v>Araras</v>
          </cell>
        </row>
        <row r="345">
          <cell r="C345" t="str">
            <v>Ararenda</v>
          </cell>
        </row>
        <row r="346">
          <cell r="C346" t="str">
            <v>Arari</v>
          </cell>
        </row>
        <row r="347">
          <cell r="C347" t="str">
            <v>Ararica</v>
          </cell>
        </row>
        <row r="348">
          <cell r="C348" t="str">
            <v>Araripe</v>
          </cell>
        </row>
        <row r="349">
          <cell r="C349" t="str">
            <v>Araripina</v>
          </cell>
        </row>
        <row r="350">
          <cell r="C350" t="str">
            <v>Araruama</v>
          </cell>
        </row>
        <row r="351">
          <cell r="C351" t="str">
            <v>Araruna</v>
          </cell>
        </row>
        <row r="352">
          <cell r="C352" t="str">
            <v>Araruna</v>
          </cell>
        </row>
        <row r="353">
          <cell r="C353" t="str">
            <v>Arataca</v>
          </cell>
        </row>
        <row r="354">
          <cell r="C354" t="str">
            <v>Aratiba</v>
          </cell>
        </row>
        <row r="355">
          <cell r="C355" t="str">
            <v>Aratuba</v>
          </cell>
        </row>
        <row r="356">
          <cell r="C356" t="str">
            <v>Aratuipe</v>
          </cell>
        </row>
        <row r="357">
          <cell r="C357" t="str">
            <v>Araua</v>
          </cell>
        </row>
        <row r="358">
          <cell r="C358" t="str">
            <v>Araucaria</v>
          </cell>
        </row>
        <row r="359">
          <cell r="C359" t="str">
            <v>Araujos</v>
          </cell>
        </row>
        <row r="360">
          <cell r="C360" t="str">
            <v>Araxa</v>
          </cell>
        </row>
        <row r="361">
          <cell r="C361" t="str">
            <v>Arceburgo</v>
          </cell>
        </row>
        <row r="362">
          <cell r="C362" t="str">
            <v>Arco-iris</v>
          </cell>
        </row>
        <row r="363">
          <cell r="C363" t="str">
            <v>Arcos</v>
          </cell>
        </row>
        <row r="364">
          <cell r="C364" t="str">
            <v>Arcoverde</v>
          </cell>
        </row>
        <row r="365">
          <cell r="C365" t="str">
            <v>Areado</v>
          </cell>
        </row>
        <row r="366">
          <cell r="C366" t="str">
            <v>Areal</v>
          </cell>
        </row>
        <row r="367">
          <cell r="C367" t="str">
            <v>Arealva</v>
          </cell>
        </row>
        <row r="368">
          <cell r="C368" t="str">
            <v>Areia</v>
          </cell>
        </row>
        <row r="369">
          <cell r="C369" t="str">
            <v>Areia Branca</v>
          </cell>
        </row>
        <row r="370">
          <cell r="C370" t="str">
            <v>Areia Branca</v>
          </cell>
        </row>
        <row r="371">
          <cell r="C371" t="str">
            <v>Areia de Baraunas</v>
          </cell>
        </row>
        <row r="372">
          <cell r="C372" t="str">
            <v>Areial</v>
          </cell>
        </row>
        <row r="373">
          <cell r="C373" t="str">
            <v>Areias</v>
          </cell>
        </row>
        <row r="374">
          <cell r="C374" t="str">
            <v>Areiopolis</v>
          </cell>
        </row>
        <row r="375">
          <cell r="C375" t="str">
            <v>Arenapolis</v>
          </cell>
        </row>
        <row r="376">
          <cell r="C376" t="str">
            <v>Arenopolis</v>
          </cell>
        </row>
        <row r="377">
          <cell r="C377" t="str">
            <v>Ares</v>
          </cell>
        </row>
        <row r="378">
          <cell r="C378" t="str">
            <v>Argirita</v>
          </cell>
        </row>
        <row r="379">
          <cell r="C379" t="str">
            <v>Aricanduva</v>
          </cell>
        </row>
        <row r="380">
          <cell r="C380" t="str">
            <v>Arinos</v>
          </cell>
        </row>
        <row r="381">
          <cell r="C381" t="str">
            <v>Aripuana</v>
          </cell>
        </row>
        <row r="382">
          <cell r="C382" t="str">
            <v>Ariquemes</v>
          </cell>
        </row>
        <row r="383">
          <cell r="C383" t="str">
            <v>Ariranha</v>
          </cell>
        </row>
        <row r="384">
          <cell r="C384" t="str">
            <v>Ariranha do Ivai</v>
          </cell>
        </row>
        <row r="385">
          <cell r="C385" t="str">
            <v>Armacao dos Buzios</v>
          </cell>
        </row>
        <row r="386">
          <cell r="C386" t="str">
            <v>Armazem</v>
          </cell>
        </row>
        <row r="387">
          <cell r="C387" t="str">
            <v>Arneiroz</v>
          </cell>
        </row>
        <row r="388">
          <cell r="C388" t="str">
            <v>Aroazes</v>
          </cell>
        </row>
        <row r="389">
          <cell r="C389" t="str">
            <v>Aroeiras</v>
          </cell>
        </row>
        <row r="390">
          <cell r="C390" t="str">
            <v>Arraial</v>
          </cell>
        </row>
        <row r="391">
          <cell r="C391" t="str">
            <v>Arraial do Cabo</v>
          </cell>
        </row>
        <row r="392">
          <cell r="C392" t="str">
            <v>Arraias</v>
          </cell>
        </row>
        <row r="393">
          <cell r="C393" t="str">
            <v>Arroio do Meio</v>
          </cell>
        </row>
        <row r="394">
          <cell r="C394" t="str">
            <v>Arroio do Padre</v>
          </cell>
        </row>
        <row r="395">
          <cell r="C395" t="str">
            <v>Arroio do Sal</v>
          </cell>
        </row>
        <row r="396">
          <cell r="C396" t="str">
            <v>Arroio do Tigre</v>
          </cell>
        </row>
        <row r="397">
          <cell r="C397" t="str">
            <v>Arroio dos Ratos</v>
          </cell>
        </row>
        <row r="398">
          <cell r="C398" t="str">
            <v>Arroio Grande</v>
          </cell>
        </row>
        <row r="399">
          <cell r="C399" t="str">
            <v>Arroio Trinta</v>
          </cell>
        </row>
        <row r="400">
          <cell r="C400" t="str">
            <v>Artur Nogueira</v>
          </cell>
        </row>
        <row r="401">
          <cell r="C401" t="str">
            <v>Aruana</v>
          </cell>
        </row>
        <row r="402">
          <cell r="C402" t="str">
            <v>Aruja</v>
          </cell>
        </row>
        <row r="403">
          <cell r="C403" t="str">
            <v>Arvoredo</v>
          </cell>
        </row>
        <row r="404">
          <cell r="C404" t="str">
            <v>Arvorezinha</v>
          </cell>
        </row>
        <row r="405">
          <cell r="C405" t="str">
            <v>Ascurra</v>
          </cell>
        </row>
        <row r="406">
          <cell r="C406" t="str">
            <v>Aspasia</v>
          </cell>
        </row>
        <row r="407">
          <cell r="C407" t="str">
            <v>Assai</v>
          </cell>
        </row>
        <row r="408">
          <cell r="C408" t="str">
            <v>Assare</v>
          </cell>
        </row>
        <row r="409">
          <cell r="C409" t="str">
            <v>Assis</v>
          </cell>
        </row>
        <row r="410">
          <cell r="C410" t="str">
            <v>Assis Brasil</v>
          </cell>
        </row>
        <row r="411">
          <cell r="C411" t="str">
            <v>Assis Chateaubriand</v>
          </cell>
        </row>
        <row r="412">
          <cell r="C412" t="str">
            <v>Assuncao</v>
          </cell>
        </row>
        <row r="413">
          <cell r="C413" t="str">
            <v>Assuncao do Piaui</v>
          </cell>
        </row>
        <row r="414">
          <cell r="C414" t="str">
            <v>Astolfo Dutra</v>
          </cell>
        </row>
        <row r="415">
          <cell r="C415" t="str">
            <v>Astorga</v>
          </cell>
        </row>
        <row r="416">
          <cell r="C416" t="str">
            <v>Atalaia</v>
          </cell>
        </row>
        <row r="417">
          <cell r="C417" t="str">
            <v>Atalaia</v>
          </cell>
        </row>
        <row r="418">
          <cell r="C418" t="str">
            <v>Atalaia do Norte</v>
          </cell>
        </row>
        <row r="419">
          <cell r="C419" t="str">
            <v>Atalanta</v>
          </cell>
        </row>
        <row r="420">
          <cell r="C420" t="str">
            <v>Ataleia</v>
          </cell>
        </row>
        <row r="421">
          <cell r="C421" t="str">
            <v>Atibaia</v>
          </cell>
        </row>
        <row r="422">
          <cell r="C422" t="str">
            <v>Atilio Vivacqua</v>
          </cell>
        </row>
        <row r="423">
          <cell r="C423" t="str">
            <v>Augustinopolis</v>
          </cell>
        </row>
        <row r="424">
          <cell r="C424" t="str">
            <v>Augusto Correa</v>
          </cell>
        </row>
        <row r="425">
          <cell r="C425" t="str">
            <v>Augusto de Lima</v>
          </cell>
        </row>
        <row r="426">
          <cell r="C426" t="str">
            <v>Augusto Pestana</v>
          </cell>
        </row>
        <row r="427">
          <cell r="C427" t="str">
            <v>Augusto Severo</v>
          </cell>
        </row>
        <row r="428">
          <cell r="C428" t="str">
            <v>aurea</v>
          </cell>
        </row>
        <row r="429">
          <cell r="C429" t="str">
            <v>Aurelino Leal</v>
          </cell>
        </row>
        <row r="430">
          <cell r="C430" t="str">
            <v>Auriflama</v>
          </cell>
        </row>
        <row r="431">
          <cell r="C431" t="str">
            <v>Aurilandia</v>
          </cell>
        </row>
        <row r="432">
          <cell r="C432" t="str">
            <v>Aurora</v>
          </cell>
        </row>
        <row r="433">
          <cell r="C433" t="str">
            <v>Aurora</v>
          </cell>
        </row>
        <row r="434">
          <cell r="C434" t="str">
            <v>Aurora do Para</v>
          </cell>
        </row>
        <row r="435">
          <cell r="C435" t="str">
            <v>Aurora do Tocantins</v>
          </cell>
        </row>
        <row r="436">
          <cell r="C436" t="str">
            <v>Autazes</v>
          </cell>
        </row>
        <row r="437">
          <cell r="C437" t="str">
            <v>Avai</v>
          </cell>
        </row>
        <row r="438">
          <cell r="C438" t="str">
            <v>Avanhandava</v>
          </cell>
        </row>
        <row r="439">
          <cell r="C439" t="str">
            <v>Avare</v>
          </cell>
        </row>
        <row r="440">
          <cell r="C440" t="str">
            <v>Aveiro</v>
          </cell>
        </row>
        <row r="441">
          <cell r="C441" t="str">
            <v>Avelino Lopes</v>
          </cell>
        </row>
        <row r="442">
          <cell r="C442" t="str">
            <v>Avelinopolis</v>
          </cell>
        </row>
        <row r="443">
          <cell r="C443" t="str">
            <v>Axixa</v>
          </cell>
        </row>
        <row r="444">
          <cell r="C444" t="str">
            <v>Axixa do Tocantins</v>
          </cell>
        </row>
        <row r="445">
          <cell r="C445" t="str">
            <v>Babaculandia</v>
          </cell>
        </row>
        <row r="446">
          <cell r="C446" t="str">
            <v>Bacabal</v>
          </cell>
        </row>
        <row r="447">
          <cell r="C447" t="str">
            <v>Bacabeira</v>
          </cell>
        </row>
        <row r="448">
          <cell r="C448" t="str">
            <v>Bacuri</v>
          </cell>
        </row>
        <row r="449">
          <cell r="C449" t="str">
            <v>Bacurituba</v>
          </cell>
        </row>
        <row r="450">
          <cell r="C450" t="str">
            <v>Bady Bassitt</v>
          </cell>
        </row>
        <row r="451">
          <cell r="C451" t="str">
            <v>Baependi</v>
          </cell>
        </row>
        <row r="452">
          <cell r="C452" t="str">
            <v>Bage</v>
          </cell>
        </row>
        <row r="453">
          <cell r="C453" t="str">
            <v>Bagre</v>
          </cell>
        </row>
        <row r="454">
          <cell r="C454" t="str">
            <v>Baia da Traicao</v>
          </cell>
        </row>
        <row r="455">
          <cell r="C455" t="str">
            <v>Baia Formosa</v>
          </cell>
        </row>
        <row r="456">
          <cell r="C456" t="str">
            <v>Baianopolis</v>
          </cell>
        </row>
        <row r="457">
          <cell r="C457" t="str">
            <v>Baiao</v>
          </cell>
        </row>
        <row r="458">
          <cell r="C458" t="str">
            <v>Baixa Grande</v>
          </cell>
        </row>
        <row r="459">
          <cell r="C459" t="str">
            <v>Baixa Grande do Ribeiro</v>
          </cell>
        </row>
        <row r="460">
          <cell r="C460" t="str">
            <v>Baixio</v>
          </cell>
        </row>
        <row r="461">
          <cell r="C461" t="str">
            <v>Baixo Guandu</v>
          </cell>
        </row>
        <row r="462">
          <cell r="C462" t="str">
            <v>Balbinos</v>
          </cell>
        </row>
        <row r="463">
          <cell r="C463" t="str">
            <v>Baldim</v>
          </cell>
        </row>
        <row r="464">
          <cell r="C464" t="str">
            <v>Baliza</v>
          </cell>
        </row>
        <row r="465">
          <cell r="C465" t="str">
            <v>Balneario Arroio do Silva</v>
          </cell>
        </row>
        <row r="466">
          <cell r="C466" t="str">
            <v>Balneario Barra do Sul</v>
          </cell>
        </row>
        <row r="467">
          <cell r="C467" t="str">
            <v>Balneario Camboriu</v>
          </cell>
        </row>
        <row r="468">
          <cell r="C468" t="str">
            <v>Balneario Gaivota</v>
          </cell>
        </row>
        <row r="469">
          <cell r="C469" t="str">
            <v>Balneario Pinhal</v>
          </cell>
        </row>
        <row r="470">
          <cell r="C470" t="str">
            <v>Balsa Nova</v>
          </cell>
        </row>
        <row r="471">
          <cell r="C471" t="str">
            <v>Balsamo</v>
          </cell>
        </row>
        <row r="472">
          <cell r="C472" t="str">
            <v>Balsas</v>
          </cell>
        </row>
        <row r="473">
          <cell r="C473" t="str">
            <v>Bambui</v>
          </cell>
        </row>
        <row r="474">
          <cell r="C474" t="str">
            <v>Banabuiu</v>
          </cell>
        </row>
        <row r="475">
          <cell r="C475" t="str">
            <v>Bananal</v>
          </cell>
        </row>
        <row r="476">
          <cell r="C476" t="str">
            <v>Bananeiras</v>
          </cell>
        </row>
        <row r="477">
          <cell r="C477" t="str">
            <v>Bandeira</v>
          </cell>
        </row>
        <row r="478">
          <cell r="C478" t="str">
            <v>Bandeira do Sul</v>
          </cell>
        </row>
        <row r="479">
          <cell r="C479" t="str">
            <v>Bandeirante</v>
          </cell>
        </row>
        <row r="480">
          <cell r="C480" t="str">
            <v>Bandeirantes</v>
          </cell>
        </row>
        <row r="481">
          <cell r="C481" t="str">
            <v>Bandeirantes</v>
          </cell>
        </row>
        <row r="482">
          <cell r="C482" t="str">
            <v>Bandeirantes do Tocantins</v>
          </cell>
        </row>
        <row r="483">
          <cell r="C483" t="str">
            <v>Bannach</v>
          </cell>
        </row>
        <row r="484">
          <cell r="C484" t="str">
            <v>Banzae</v>
          </cell>
        </row>
        <row r="485">
          <cell r="C485" t="str">
            <v>Barao</v>
          </cell>
        </row>
        <row r="486">
          <cell r="C486" t="str">
            <v>Barao de Antonina</v>
          </cell>
        </row>
        <row r="487">
          <cell r="C487" t="str">
            <v>Barao de Cocais</v>
          </cell>
        </row>
        <row r="488">
          <cell r="C488" t="str">
            <v>Barao de Cotegipe</v>
          </cell>
        </row>
        <row r="489">
          <cell r="C489" t="str">
            <v>Barao de Grajau</v>
          </cell>
        </row>
        <row r="490">
          <cell r="C490" t="str">
            <v>Barao de Juparana</v>
          </cell>
        </row>
        <row r="491">
          <cell r="C491" t="str">
            <v>Barao de Melgaco</v>
          </cell>
        </row>
        <row r="492">
          <cell r="C492" t="str">
            <v>Barao de Monte Alto</v>
          </cell>
        </row>
        <row r="493">
          <cell r="C493" t="str">
            <v>Barao do Triunfo</v>
          </cell>
        </row>
        <row r="494">
          <cell r="C494" t="str">
            <v>Barauna</v>
          </cell>
        </row>
        <row r="495">
          <cell r="C495" t="str">
            <v>Barauna</v>
          </cell>
        </row>
        <row r="496">
          <cell r="C496" t="str">
            <v>Barbacena</v>
          </cell>
        </row>
        <row r="497">
          <cell r="C497" t="str">
            <v>Barbalha</v>
          </cell>
        </row>
        <row r="498">
          <cell r="C498" t="str">
            <v>Barbosa</v>
          </cell>
        </row>
        <row r="499">
          <cell r="C499" t="str">
            <v>Barbosa Ferraz</v>
          </cell>
        </row>
        <row r="500">
          <cell r="C500" t="str">
            <v>Barcarena</v>
          </cell>
        </row>
        <row r="501">
          <cell r="C501" t="str">
            <v>Barcelona</v>
          </cell>
        </row>
        <row r="502">
          <cell r="C502" t="str">
            <v>Barcelos</v>
          </cell>
        </row>
        <row r="503">
          <cell r="C503" t="str">
            <v>Bariri</v>
          </cell>
        </row>
        <row r="504">
          <cell r="C504" t="str">
            <v>Barra</v>
          </cell>
        </row>
        <row r="505">
          <cell r="C505" t="str">
            <v>Barra Bonita</v>
          </cell>
        </row>
        <row r="506">
          <cell r="C506" t="str">
            <v>Barra Bonita</v>
          </cell>
        </row>
        <row r="507">
          <cell r="C507" t="str">
            <v>Barra da Estiva</v>
          </cell>
        </row>
        <row r="508">
          <cell r="C508" t="str">
            <v>Barra D'Alcantara</v>
          </cell>
        </row>
        <row r="509">
          <cell r="C509" t="str">
            <v>Barra de Guabiraba</v>
          </cell>
        </row>
        <row r="510">
          <cell r="C510" t="str">
            <v>Barra de Santa Rosa</v>
          </cell>
        </row>
        <row r="511">
          <cell r="C511" t="str">
            <v>Barra de Santana</v>
          </cell>
        </row>
        <row r="512">
          <cell r="C512" t="str">
            <v>Barra de Santo Antonio</v>
          </cell>
        </row>
        <row r="513">
          <cell r="C513" t="str">
            <v>Barra de Sao Francisco</v>
          </cell>
        </row>
        <row r="514">
          <cell r="C514" t="str">
            <v>Barra de Sao Miguel</v>
          </cell>
        </row>
        <row r="515">
          <cell r="C515" t="str">
            <v>Barra de Sao Miguel</v>
          </cell>
        </row>
        <row r="516">
          <cell r="C516" t="str">
            <v>Barra do Bugres</v>
          </cell>
        </row>
        <row r="517">
          <cell r="C517" t="str">
            <v>Barra do Chapeu</v>
          </cell>
        </row>
        <row r="518">
          <cell r="C518" t="str">
            <v>Barra do Choca</v>
          </cell>
        </row>
        <row r="519">
          <cell r="C519" t="str">
            <v>Barra do Corda</v>
          </cell>
        </row>
        <row r="520">
          <cell r="C520" t="str">
            <v>Barra do Garcas</v>
          </cell>
        </row>
        <row r="521">
          <cell r="C521" t="str">
            <v>Barra do Guarita</v>
          </cell>
        </row>
        <row r="522">
          <cell r="C522" t="str">
            <v>Barra do Jacare</v>
          </cell>
        </row>
        <row r="523">
          <cell r="C523" t="str">
            <v>Barra do Mendes</v>
          </cell>
        </row>
        <row r="524">
          <cell r="C524" t="str">
            <v>Barra do Ouro</v>
          </cell>
        </row>
        <row r="525">
          <cell r="C525" t="str">
            <v>Barra do Pirai</v>
          </cell>
        </row>
        <row r="526">
          <cell r="C526" t="str">
            <v>Barra do Quarai</v>
          </cell>
        </row>
        <row r="527">
          <cell r="C527" t="str">
            <v>Barra do Ribeiro</v>
          </cell>
        </row>
        <row r="528">
          <cell r="C528" t="str">
            <v>Barra do Rio Azul</v>
          </cell>
        </row>
        <row r="529">
          <cell r="C529" t="str">
            <v>Barra do Rocha</v>
          </cell>
        </row>
        <row r="530">
          <cell r="C530" t="str">
            <v>Barra do Turvo</v>
          </cell>
        </row>
        <row r="531">
          <cell r="C531" t="str">
            <v>Barra dos Coqueiros</v>
          </cell>
        </row>
        <row r="532">
          <cell r="C532" t="str">
            <v>Barra Funda</v>
          </cell>
        </row>
        <row r="533">
          <cell r="C533" t="str">
            <v>Barra Longa</v>
          </cell>
        </row>
        <row r="534">
          <cell r="C534" t="str">
            <v>Barra Mansa</v>
          </cell>
        </row>
        <row r="535">
          <cell r="C535" t="str">
            <v>Barra Velha</v>
          </cell>
        </row>
        <row r="536">
          <cell r="C536" t="str">
            <v>Barracao</v>
          </cell>
        </row>
        <row r="537">
          <cell r="C537" t="str">
            <v>Barracao</v>
          </cell>
        </row>
        <row r="538">
          <cell r="C538" t="str">
            <v>Barras</v>
          </cell>
        </row>
        <row r="539">
          <cell r="C539" t="str">
            <v>Barreira</v>
          </cell>
        </row>
        <row r="540">
          <cell r="C540" t="str">
            <v>Barreiras</v>
          </cell>
        </row>
        <row r="541">
          <cell r="C541" t="str">
            <v>Barreiras do Piaui</v>
          </cell>
        </row>
        <row r="542">
          <cell r="C542" t="str">
            <v>Barreirinha</v>
          </cell>
        </row>
        <row r="543">
          <cell r="C543" t="str">
            <v>Barreirinhas</v>
          </cell>
        </row>
        <row r="544">
          <cell r="C544" t="str">
            <v>Barreiros</v>
          </cell>
        </row>
        <row r="545">
          <cell r="C545" t="str">
            <v>Barretos</v>
          </cell>
        </row>
        <row r="546">
          <cell r="C546" t="str">
            <v>Barrinha</v>
          </cell>
        </row>
        <row r="547">
          <cell r="C547" t="str">
            <v>Barro</v>
          </cell>
        </row>
        <row r="548">
          <cell r="C548" t="str">
            <v>Barro Alto</v>
          </cell>
        </row>
        <row r="549">
          <cell r="C549" t="str">
            <v>Barro Alto</v>
          </cell>
        </row>
        <row r="550">
          <cell r="C550" t="str">
            <v>Barro Duro</v>
          </cell>
        </row>
        <row r="551">
          <cell r="C551" t="str">
            <v>Barrocas</v>
          </cell>
        </row>
        <row r="552">
          <cell r="C552" t="str">
            <v>Barrolandia</v>
          </cell>
        </row>
        <row r="553">
          <cell r="C553" t="str">
            <v>Barroquinha</v>
          </cell>
        </row>
        <row r="554">
          <cell r="C554" t="str">
            <v>Barros Cassal</v>
          </cell>
        </row>
        <row r="555">
          <cell r="C555" t="str">
            <v>Barroso</v>
          </cell>
        </row>
        <row r="556">
          <cell r="C556" t="str">
            <v>Barueri</v>
          </cell>
        </row>
        <row r="557">
          <cell r="C557" t="str">
            <v>Bastos</v>
          </cell>
        </row>
        <row r="558">
          <cell r="C558" t="str">
            <v>Bataguassu</v>
          </cell>
        </row>
        <row r="559">
          <cell r="C559" t="str">
            <v>Batalha</v>
          </cell>
        </row>
        <row r="560">
          <cell r="C560" t="str">
            <v>Batalha</v>
          </cell>
        </row>
        <row r="561">
          <cell r="C561" t="str">
            <v>Batatais</v>
          </cell>
        </row>
        <row r="562">
          <cell r="C562" t="str">
            <v>Bataypora</v>
          </cell>
        </row>
        <row r="563">
          <cell r="C563" t="str">
            <v>Baturite</v>
          </cell>
        </row>
        <row r="564">
          <cell r="C564" t="str">
            <v>Bauru</v>
          </cell>
        </row>
        <row r="565">
          <cell r="C565" t="str">
            <v>Bayeux</v>
          </cell>
        </row>
        <row r="566">
          <cell r="C566" t="str">
            <v>Bebedouro</v>
          </cell>
        </row>
        <row r="567">
          <cell r="C567" t="str">
            <v>Beberibe</v>
          </cell>
        </row>
        <row r="568">
          <cell r="C568" t="str">
            <v>Bela Cruz</v>
          </cell>
        </row>
        <row r="569">
          <cell r="C569" t="str">
            <v>Bela Vista</v>
          </cell>
        </row>
        <row r="570">
          <cell r="C570" t="str">
            <v>Bela Vista da Caroba</v>
          </cell>
        </row>
        <row r="571">
          <cell r="C571" t="str">
            <v>Bela Vista de Goias</v>
          </cell>
        </row>
        <row r="572">
          <cell r="C572" t="str">
            <v>Bela Vista de Minas</v>
          </cell>
        </row>
        <row r="573">
          <cell r="C573" t="str">
            <v>Bela Vista do Maranhao</v>
          </cell>
        </row>
        <row r="574">
          <cell r="C574" t="str">
            <v>Bela Vista do Paraiso</v>
          </cell>
        </row>
        <row r="575">
          <cell r="C575" t="str">
            <v>Bela Vista do Piaui</v>
          </cell>
        </row>
        <row r="576">
          <cell r="C576" t="str">
            <v>Bela Vista do Toldo</v>
          </cell>
        </row>
        <row r="577">
          <cell r="C577" t="str">
            <v>Belagua</v>
          </cell>
        </row>
        <row r="578">
          <cell r="C578" t="str">
            <v>Belem</v>
          </cell>
        </row>
        <row r="579">
          <cell r="C579" t="str">
            <v>Belem</v>
          </cell>
        </row>
        <row r="580">
          <cell r="C580" t="str">
            <v>Belem</v>
          </cell>
        </row>
        <row r="581">
          <cell r="C581" t="str">
            <v>Belem de Maria</v>
          </cell>
        </row>
        <row r="582">
          <cell r="C582" t="str">
            <v>Belem de Sao Francisco</v>
          </cell>
        </row>
        <row r="583">
          <cell r="C583" t="str">
            <v>Belem do Brejo do Cruz</v>
          </cell>
        </row>
        <row r="584">
          <cell r="C584" t="str">
            <v>Belem do Piaui</v>
          </cell>
        </row>
        <row r="585">
          <cell r="C585" t="str">
            <v>Belford Roxo</v>
          </cell>
        </row>
        <row r="586">
          <cell r="C586" t="str">
            <v>Belmiro Braga</v>
          </cell>
        </row>
        <row r="587">
          <cell r="C587" t="str">
            <v>Belmonte</v>
          </cell>
        </row>
        <row r="588">
          <cell r="C588" t="str">
            <v>Belmonte</v>
          </cell>
        </row>
        <row r="589">
          <cell r="C589" t="str">
            <v>Belo Campo</v>
          </cell>
        </row>
        <row r="590">
          <cell r="C590" t="str">
            <v>Belo Horizonte</v>
          </cell>
        </row>
        <row r="591">
          <cell r="C591" t="str">
            <v>Belo Jardim</v>
          </cell>
        </row>
        <row r="592">
          <cell r="C592" t="str">
            <v>Belo Monte</v>
          </cell>
        </row>
        <row r="593">
          <cell r="C593" t="str">
            <v>Belo Oriente</v>
          </cell>
        </row>
        <row r="594">
          <cell r="C594" t="str">
            <v>Belo Vale</v>
          </cell>
        </row>
        <row r="595">
          <cell r="C595" t="str">
            <v>Belterra</v>
          </cell>
        </row>
        <row r="596">
          <cell r="C596" t="str">
            <v>Beneditinos</v>
          </cell>
        </row>
        <row r="597">
          <cell r="C597" t="str">
            <v>Benedito Leite</v>
          </cell>
        </row>
        <row r="598">
          <cell r="C598" t="str">
            <v>Benedito Novo</v>
          </cell>
        </row>
        <row r="599">
          <cell r="C599" t="str">
            <v>Benevides</v>
          </cell>
        </row>
        <row r="600">
          <cell r="C600" t="str">
            <v>Benjamin Constant</v>
          </cell>
        </row>
        <row r="601">
          <cell r="C601" t="str">
            <v>Benjamin Constant do Sul</v>
          </cell>
        </row>
        <row r="602">
          <cell r="C602" t="str">
            <v>Bento de Abreu</v>
          </cell>
        </row>
        <row r="603">
          <cell r="C603" t="str">
            <v>Bento Fernandes</v>
          </cell>
        </row>
        <row r="604">
          <cell r="C604" t="str">
            <v>Bento Goncalves</v>
          </cell>
        </row>
        <row r="605">
          <cell r="C605" t="str">
            <v>Bequimao</v>
          </cell>
        </row>
        <row r="606">
          <cell r="C606" t="str">
            <v>Berilo</v>
          </cell>
        </row>
        <row r="607">
          <cell r="C607" t="str">
            <v>Berizal</v>
          </cell>
        </row>
        <row r="608">
          <cell r="C608" t="str">
            <v>Bernardino Batista</v>
          </cell>
        </row>
        <row r="609">
          <cell r="C609" t="str">
            <v>Bernardino de Campos</v>
          </cell>
        </row>
        <row r="610">
          <cell r="C610" t="str">
            <v>Bernardo do Mearim</v>
          </cell>
        </row>
        <row r="611">
          <cell r="C611" t="str">
            <v>Bernardo Sayao</v>
          </cell>
        </row>
        <row r="612">
          <cell r="C612" t="str">
            <v>Bertioga</v>
          </cell>
        </row>
        <row r="613">
          <cell r="C613" t="str">
            <v>Bertolinia</v>
          </cell>
        </row>
        <row r="614">
          <cell r="C614" t="str">
            <v>Bertopolis</v>
          </cell>
        </row>
        <row r="615">
          <cell r="C615" t="str">
            <v>Beruri</v>
          </cell>
        </row>
        <row r="616">
          <cell r="C616" t="str">
            <v>Betania</v>
          </cell>
        </row>
        <row r="617">
          <cell r="C617" t="str">
            <v>Betania do Piaui</v>
          </cell>
        </row>
        <row r="618">
          <cell r="C618" t="str">
            <v>Betim</v>
          </cell>
        </row>
        <row r="619">
          <cell r="C619" t="str">
            <v>Bezerros</v>
          </cell>
        </row>
        <row r="620">
          <cell r="C620" t="str">
            <v>Bias Fortes</v>
          </cell>
        </row>
        <row r="621">
          <cell r="C621" t="str">
            <v>Bicas</v>
          </cell>
        </row>
        <row r="622">
          <cell r="C622" t="str">
            <v>Biguacu</v>
          </cell>
        </row>
        <row r="623">
          <cell r="C623" t="str">
            <v>Bilac</v>
          </cell>
        </row>
        <row r="624">
          <cell r="C624" t="str">
            <v>Biquinhas</v>
          </cell>
        </row>
        <row r="625">
          <cell r="C625" t="str">
            <v>Birigui</v>
          </cell>
        </row>
        <row r="626">
          <cell r="C626" t="str">
            <v>Biritiba-Mirim</v>
          </cell>
        </row>
        <row r="627">
          <cell r="C627" t="str">
            <v>Biritinga</v>
          </cell>
        </row>
        <row r="628">
          <cell r="C628" t="str">
            <v>Bituruna</v>
          </cell>
        </row>
        <row r="629">
          <cell r="C629" t="str">
            <v>Blumenau</v>
          </cell>
        </row>
        <row r="630">
          <cell r="C630" t="str">
            <v>Boa Esperanca</v>
          </cell>
        </row>
        <row r="631">
          <cell r="C631" t="str">
            <v>Boa Esperanca</v>
          </cell>
        </row>
        <row r="632">
          <cell r="C632" t="str">
            <v>Boa Esperanca</v>
          </cell>
        </row>
        <row r="633">
          <cell r="C633" t="str">
            <v>Boa Esperanca do Iguacu</v>
          </cell>
        </row>
        <row r="634">
          <cell r="C634" t="str">
            <v>Boa Esperanca do Sul</v>
          </cell>
        </row>
        <row r="635">
          <cell r="C635" t="str">
            <v>Boa Hora</v>
          </cell>
        </row>
        <row r="636">
          <cell r="C636" t="str">
            <v>Boa Nova</v>
          </cell>
        </row>
        <row r="637">
          <cell r="C637" t="str">
            <v>Boa Ventura</v>
          </cell>
        </row>
        <row r="638">
          <cell r="C638" t="str">
            <v>Boa Ventura de Sao Roque</v>
          </cell>
        </row>
        <row r="639">
          <cell r="C639" t="str">
            <v>Boa Viagem</v>
          </cell>
        </row>
        <row r="640">
          <cell r="C640" t="str">
            <v>Boa Vista</v>
          </cell>
        </row>
        <row r="641">
          <cell r="C641" t="str">
            <v>Boa Vista</v>
          </cell>
        </row>
        <row r="642">
          <cell r="C642" t="str">
            <v>Boa Vista da Aparecida</v>
          </cell>
        </row>
        <row r="643">
          <cell r="C643" t="str">
            <v>Boa Vista das Missoes</v>
          </cell>
        </row>
        <row r="644">
          <cell r="C644" t="str">
            <v>Boa Vista do Burica</v>
          </cell>
        </row>
        <row r="645">
          <cell r="C645" t="str">
            <v>Boa Vista do Cadeado</v>
          </cell>
        </row>
        <row r="646">
          <cell r="C646" t="str">
            <v>Boa Vista do Gurupi</v>
          </cell>
        </row>
        <row r="647">
          <cell r="C647" t="str">
            <v>Boa Vista do Incra</v>
          </cell>
        </row>
        <row r="648">
          <cell r="C648" t="str">
            <v>Boa Vista do Ramos</v>
          </cell>
        </row>
        <row r="649">
          <cell r="C649" t="str">
            <v>Boa Vista do Sul</v>
          </cell>
        </row>
        <row r="650">
          <cell r="C650" t="str">
            <v>Boa Vista do Tupim</v>
          </cell>
        </row>
        <row r="651">
          <cell r="C651" t="str">
            <v>Boca da Mata</v>
          </cell>
        </row>
        <row r="652">
          <cell r="C652" t="str">
            <v>Boca do Acre</v>
          </cell>
        </row>
        <row r="653">
          <cell r="C653" t="str">
            <v>Bocaina</v>
          </cell>
        </row>
        <row r="654">
          <cell r="C654" t="str">
            <v>Bocaina</v>
          </cell>
        </row>
        <row r="655">
          <cell r="C655" t="str">
            <v>Bocaina de Minas</v>
          </cell>
        </row>
        <row r="656">
          <cell r="C656" t="str">
            <v>Bocaina do Sul</v>
          </cell>
        </row>
        <row r="657">
          <cell r="C657" t="str">
            <v>Bocaiuva</v>
          </cell>
        </row>
        <row r="658">
          <cell r="C658" t="str">
            <v>Bocaiuva do Sul</v>
          </cell>
        </row>
        <row r="659">
          <cell r="C659" t="str">
            <v>Bodo</v>
          </cell>
        </row>
        <row r="660">
          <cell r="C660" t="str">
            <v>Bodoco</v>
          </cell>
        </row>
        <row r="661">
          <cell r="C661" t="str">
            <v>Bodoquena</v>
          </cell>
        </row>
        <row r="662">
          <cell r="C662" t="str">
            <v>Bofete</v>
          </cell>
        </row>
        <row r="663">
          <cell r="C663" t="str">
            <v>Boituva</v>
          </cell>
        </row>
        <row r="664">
          <cell r="C664" t="str">
            <v>Bom Conselho</v>
          </cell>
        </row>
        <row r="665">
          <cell r="C665" t="str">
            <v>Bom Despacho</v>
          </cell>
        </row>
        <row r="666">
          <cell r="C666" t="str">
            <v>Bom Jardim</v>
          </cell>
        </row>
        <row r="667">
          <cell r="C667" t="str">
            <v>Bom Jardim</v>
          </cell>
        </row>
        <row r="668">
          <cell r="C668" t="str">
            <v>Bom Jardim</v>
          </cell>
        </row>
        <row r="669">
          <cell r="C669" t="str">
            <v>Bom Jardim da Serra</v>
          </cell>
        </row>
        <row r="670">
          <cell r="C670" t="str">
            <v>Bom Jardim de Goias</v>
          </cell>
        </row>
        <row r="671">
          <cell r="C671" t="str">
            <v>Bom Jardim de Minas</v>
          </cell>
        </row>
        <row r="672">
          <cell r="C672" t="str">
            <v>Bom Jesus</v>
          </cell>
        </row>
        <row r="673">
          <cell r="C673" t="str">
            <v>Bom Jesus</v>
          </cell>
        </row>
        <row r="674">
          <cell r="C674" t="str">
            <v>Bom Jesus</v>
          </cell>
        </row>
        <row r="675">
          <cell r="C675" t="str">
            <v>Bom Jesus</v>
          </cell>
        </row>
        <row r="676">
          <cell r="C676" t="str">
            <v>Bom Jesus</v>
          </cell>
        </row>
        <row r="677">
          <cell r="C677" t="str">
            <v>Bom Jesus da Lapa</v>
          </cell>
        </row>
        <row r="678">
          <cell r="C678" t="str">
            <v>Bom Jesus da Penha</v>
          </cell>
        </row>
        <row r="679">
          <cell r="C679" t="str">
            <v>Bom Jesus da Serra</v>
          </cell>
        </row>
        <row r="680">
          <cell r="C680" t="str">
            <v>Bom Jesus das Selvas</v>
          </cell>
        </row>
        <row r="681">
          <cell r="C681" t="str">
            <v>Bom Jesus de Goias</v>
          </cell>
        </row>
        <row r="682">
          <cell r="C682" t="str">
            <v>Bom Jesus do Amparo</v>
          </cell>
        </row>
        <row r="683">
          <cell r="C683" t="str">
            <v>Bom Jesus do Araguaia</v>
          </cell>
        </row>
        <row r="684">
          <cell r="C684" t="str">
            <v>Bom Jesus do Galho</v>
          </cell>
        </row>
        <row r="685">
          <cell r="C685" t="str">
            <v>Bom Jesus do Itabapoana</v>
          </cell>
        </row>
        <row r="686">
          <cell r="C686" t="str">
            <v>Bom Jesus do Norte</v>
          </cell>
        </row>
        <row r="687">
          <cell r="C687" t="str">
            <v>Bom Jesus do Oeste</v>
          </cell>
        </row>
        <row r="688">
          <cell r="C688" t="str">
            <v>Bom Jesus do Sul</v>
          </cell>
        </row>
        <row r="689">
          <cell r="C689" t="str">
            <v>Bom Jesus do Tocantins</v>
          </cell>
        </row>
        <row r="690">
          <cell r="C690" t="str">
            <v>Bom Jesus do Tocantins</v>
          </cell>
        </row>
        <row r="691">
          <cell r="C691" t="str">
            <v>Bom Jesus dos Perdoes</v>
          </cell>
        </row>
        <row r="692">
          <cell r="C692" t="str">
            <v>Bom Lugar</v>
          </cell>
        </row>
        <row r="693">
          <cell r="C693" t="str">
            <v>Bom Principio</v>
          </cell>
        </row>
        <row r="694">
          <cell r="C694" t="str">
            <v>Bom Principio do Piaui</v>
          </cell>
        </row>
        <row r="695">
          <cell r="C695" t="str">
            <v>Bom Progresso</v>
          </cell>
        </row>
        <row r="696">
          <cell r="C696" t="str">
            <v>Bom Repouso</v>
          </cell>
        </row>
        <row r="697">
          <cell r="C697" t="str">
            <v>Bom Retiro</v>
          </cell>
        </row>
        <row r="698">
          <cell r="C698" t="str">
            <v>Bom Retiro do Sul</v>
          </cell>
        </row>
        <row r="699">
          <cell r="C699" t="str">
            <v>Bom Sucesso</v>
          </cell>
        </row>
        <row r="700">
          <cell r="C700" t="str">
            <v>Bom Sucesso</v>
          </cell>
        </row>
        <row r="701">
          <cell r="C701" t="str">
            <v>Bom Sucesso</v>
          </cell>
        </row>
        <row r="702">
          <cell r="C702" t="str">
            <v>Bom Sucesso de Itarare</v>
          </cell>
        </row>
        <row r="703">
          <cell r="C703" t="str">
            <v>Bom Sucesso do Sul</v>
          </cell>
        </row>
        <row r="704">
          <cell r="C704" t="str">
            <v>Bombinhas</v>
          </cell>
        </row>
        <row r="705">
          <cell r="C705" t="str">
            <v>Bonfim</v>
          </cell>
        </row>
        <row r="706">
          <cell r="C706" t="str">
            <v>Bonfim</v>
          </cell>
        </row>
        <row r="707">
          <cell r="C707" t="str">
            <v>Bonfim do Piaui</v>
          </cell>
        </row>
        <row r="708">
          <cell r="C708" t="str">
            <v>Bonfinopolis</v>
          </cell>
        </row>
        <row r="709">
          <cell r="C709" t="str">
            <v>Bonfinopolis de Minas</v>
          </cell>
        </row>
        <row r="710">
          <cell r="C710" t="str">
            <v>Boninal</v>
          </cell>
        </row>
        <row r="711">
          <cell r="C711" t="str">
            <v>Bonito</v>
          </cell>
        </row>
        <row r="712">
          <cell r="C712" t="str">
            <v>Bonito</v>
          </cell>
        </row>
        <row r="713">
          <cell r="C713" t="str">
            <v>Bonito</v>
          </cell>
        </row>
        <row r="714">
          <cell r="C714" t="str">
            <v>Bonito</v>
          </cell>
        </row>
        <row r="715">
          <cell r="C715" t="str">
            <v>Bonito de Minas</v>
          </cell>
        </row>
        <row r="716">
          <cell r="C716" t="str">
            <v>Bonito de Santa Fe</v>
          </cell>
        </row>
        <row r="717">
          <cell r="C717" t="str">
            <v>Bonopolis</v>
          </cell>
        </row>
        <row r="718">
          <cell r="C718" t="str">
            <v>Boqueirao</v>
          </cell>
        </row>
        <row r="719">
          <cell r="C719" t="str">
            <v>Boqueirao do Leao</v>
          </cell>
        </row>
        <row r="720">
          <cell r="C720" t="str">
            <v>Boqueirao do Piaui</v>
          </cell>
        </row>
        <row r="721">
          <cell r="C721" t="str">
            <v>Boquim</v>
          </cell>
        </row>
        <row r="722">
          <cell r="C722" t="str">
            <v>Boquira</v>
          </cell>
        </row>
        <row r="723">
          <cell r="C723" t="str">
            <v>Bora</v>
          </cell>
        </row>
        <row r="724">
          <cell r="C724" t="str">
            <v>Boraceia</v>
          </cell>
        </row>
        <row r="725">
          <cell r="C725" t="str">
            <v>Borba</v>
          </cell>
        </row>
        <row r="726">
          <cell r="C726" t="str">
            <v>Borborema</v>
          </cell>
        </row>
        <row r="727">
          <cell r="C727" t="str">
            <v>Borborema</v>
          </cell>
        </row>
        <row r="728">
          <cell r="C728" t="str">
            <v>Borda da Mata</v>
          </cell>
        </row>
        <row r="729">
          <cell r="C729" t="str">
            <v>Borebi</v>
          </cell>
        </row>
        <row r="730">
          <cell r="C730" t="str">
            <v>Borrazopolis</v>
          </cell>
        </row>
        <row r="731">
          <cell r="C731" t="str">
            <v>Bossoroca</v>
          </cell>
        </row>
        <row r="732">
          <cell r="C732" t="str">
            <v>Botelhos</v>
          </cell>
        </row>
        <row r="733">
          <cell r="C733" t="str">
            <v>Botucatu</v>
          </cell>
        </row>
        <row r="734">
          <cell r="C734" t="str">
            <v>Botumirim</v>
          </cell>
        </row>
        <row r="735">
          <cell r="C735" t="str">
            <v>Botupora</v>
          </cell>
        </row>
        <row r="736">
          <cell r="C736" t="str">
            <v>Botuvera</v>
          </cell>
        </row>
        <row r="737">
          <cell r="C737" t="str">
            <v>Bozano</v>
          </cell>
        </row>
        <row r="738">
          <cell r="C738" t="str">
            <v>Braco do Norte</v>
          </cell>
        </row>
        <row r="739">
          <cell r="C739" t="str">
            <v>Braco do Trombudo</v>
          </cell>
        </row>
        <row r="740">
          <cell r="C740" t="str">
            <v>Braga</v>
          </cell>
        </row>
        <row r="741">
          <cell r="C741" t="str">
            <v>Braganca</v>
          </cell>
        </row>
        <row r="742">
          <cell r="C742" t="str">
            <v>Braganca Paulista</v>
          </cell>
        </row>
        <row r="743">
          <cell r="C743" t="str">
            <v>Braganey</v>
          </cell>
        </row>
        <row r="744">
          <cell r="C744" t="str">
            <v>Branquinha</v>
          </cell>
        </row>
        <row r="745">
          <cell r="C745" t="str">
            <v>Bras Pires</v>
          </cell>
        </row>
        <row r="746">
          <cell r="C746" t="str">
            <v>Brasil Novo</v>
          </cell>
        </row>
        <row r="747">
          <cell r="C747" t="str">
            <v>Brasilandia</v>
          </cell>
        </row>
        <row r="748">
          <cell r="C748" t="str">
            <v>Brasilandia de Minas</v>
          </cell>
        </row>
        <row r="749">
          <cell r="C749" t="str">
            <v>Brasilandia do Sul</v>
          </cell>
        </row>
        <row r="750">
          <cell r="C750" t="str">
            <v>Brasilandia do Tocantins</v>
          </cell>
        </row>
        <row r="751">
          <cell r="C751" t="str">
            <v>Brasileia</v>
          </cell>
        </row>
        <row r="752">
          <cell r="C752" t="str">
            <v>Brasileira</v>
          </cell>
        </row>
        <row r="753">
          <cell r="C753" t="str">
            <v>Brasilia</v>
          </cell>
        </row>
        <row r="754">
          <cell r="C754" t="str">
            <v>Brasilia de Minas</v>
          </cell>
        </row>
        <row r="755">
          <cell r="C755" t="str">
            <v>Brasnorte</v>
          </cell>
        </row>
        <row r="756">
          <cell r="C756" t="str">
            <v>Brasopolis</v>
          </cell>
        </row>
        <row r="757">
          <cell r="C757" t="str">
            <v>Brauna</v>
          </cell>
        </row>
        <row r="758">
          <cell r="C758" t="str">
            <v>Braunas</v>
          </cell>
        </row>
        <row r="759">
          <cell r="C759" t="str">
            <v>Brazabrantes</v>
          </cell>
        </row>
        <row r="760">
          <cell r="C760" t="str">
            <v>Brejao</v>
          </cell>
        </row>
        <row r="761">
          <cell r="C761" t="str">
            <v>Brejetuba</v>
          </cell>
        </row>
        <row r="762">
          <cell r="C762" t="str">
            <v>Brejinho</v>
          </cell>
        </row>
        <row r="763">
          <cell r="C763" t="str">
            <v>Brejinho</v>
          </cell>
        </row>
        <row r="764">
          <cell r="C764" t="str">
            <v>Brejinho de Nazare</v>
          </cell>
        </row>
        <row r="765">
          <cell r="C765" t="str">
            <v>Brejo</v>
          </cell>
        </row>
        <row r="766">
          <cell r="C766" t="str">
            <v>Brejo Alegre</v>
          </cell>
        </row>
        <row r="767">
          <cell r="C767" t="str">
            <v>Brejo da Madre de Deus</v>
          </cell>
        </row>
        <row r="768">
          <cell r="C768" t="str">
            <v>Brejo de Areia</v>
          </cell>
        </row>
        <row r="769">
          <cell r="C769" t="str">
            <v>Brejo do Cruz</v>
          </cell>
        </row>
        <row r="770">
          <cell r="C770" t="str">
            <v>Brejo do Piaui</v>
          </cell>
        </row>
        <row r="771">
          <cell r="C771" t="str">
            <v>Brejo dos Santos</v>
          </cell>
        </row>
        <row r="772">
          <cell r="C772" t="str">
            <v>Brejo Grande</v>
          </cell>
        </row>
        <row r="773">
          <cell r="C773" t="str">
            <v>Brejo Grande do Araguaia</v>
          </cell>
        </row>
        <row r="774">
          <cell r="C774" t="str">
            <v>Brejo Santo</v>
          </cell>
        </row>
        <row r="775">
          <cell r="C775" t="str">
            <v>Brejoes</v>
          </cell>
        </row>
        <row r="776">
          <cell r="C776" t="str">
            <v>Brejolandia</v>
          </cell>
        </row>
        <row r="777">
          <cell r="C777" t="str">
            <v>Breu Branco</v>
          </cell>
        </row>
        <row r="778">
          <cell r="C778" t="str">
            <v>Breves</v>
          </cell>
        </row>
        <row r="779">
          <cell r="C779" t="str">
            <v>Britania</v>
          </cell>
        </row>
        <row r="780">
          <cell r="C780" t="str">
            <v>Brochier</v>
          </cell>
        </row>
        <row r="781">
          <cell r="C781" t="str">
            <v>Brodowski</v>
          </cell>
        </row>
        <row r="782">
          <cell r="C782" t="str">
            <v>Brotas</v>
          </cell>
        </row>
        <row r="783">
          <cell r="C783" t="str">
            <v>Brotas de Macaubas</v>
          </cell>
        </row>
        <row r="784">
          <cell r="C784" t="str">
            <v>Brumadinho</v>
          </cell>
        </row>
        <row r="785">
          <cell r="C785" t="str">
            <v>Brumado</v>
          </cell>
        </row>
        <row r="786">
          <cell r="C786" t="str">
            <v>Brunopolis</v>
          </cell>
        </row>
        <row r="787">
          <cell r="C787" t="str">
            <v>Brusque</v>
          </cell>
        </row>
        <row r="788">
          <cell r="C788" t="str">
            <v>Bueno Brandao</v>
          </cell>
        </row>
        <row r="789">
          <cell r="C789" t="str">
            <v>Buenopolis</v>
          </cell>
        </row>
        <row r="790">
          <cell r="C790" t="str">
            <v>Buenos Aires</v>
          </cell>
        </row>
        <row r="791">
          <cell r="C791" t="str">
            <v>Buerarema</v>
          </cell>
        </row>
        <row r="792">
          <cell r="C792" t="str">
            <v>Bugre</v>
          </cell>
        </row>
        <row r="793">
          <cell r="C793" t="str">
            <v>Buique</v>
          </cell>
        </row>
        <row r="794">
          <cell r="C794" t="str">
            <v>Bujari</v>
          </cell>
        </row>
        <row r="795">
          <cell r="C795" t="str">
            <v>Bujaru</v>
          </cell>
        </row>
        <row r="796">
          <cell r="C796" t="str">
            <v>Buri</v>
          </cell>
        </row>
        <row r="797">
          <cell r="C797" t="str">
            <v>Buritama</v>
          </cell>
        </row>
        <row r="798">
          <cell r="C798" t="str">
            <v>Buriti</v>
          </cell>
        </row>
        <row r="799">
          <cell r="C799" t="str">
            <v>Buriti Alegre</v>
          </cell>
        </row>
        <row r="800">
          <cell r="C800" t="str">
            <v>Buriti Bravo</v>
          </cell>
        </row>
        <row r="801">
          <cell r="C801" t="str">
            <v>Buriti de Goias</v>
          </cell>
        </row>
        <row r="802">
          <cell r="C802" t="str">
            <v>Buriti do Tocantins</v>
          </cell>
        </row>
        <row r="803">
          <cell r="C803" t="str">
            <v>Buriti dos Lopes</v>
          </cell>
        </row>
        <row r="804">
          <cell r="C804" t="str">
            <v>Buriti dos Montes</v>
          </cell>
        </row>
        <row r="805">
          <cell r="C805" t="str">
            <v>Buriticupu</v>
          </cell>
        </row>
        <row r="806">
          <cell r="C806" t="str">
            <v>Buritinopolis</v>
          </cell>
        </row>
        <row r="807">
          <cell r="C807" t="str">
            <v>Buritirama</v>
          </cell>
        </row>
        <row r="808">
          <cell r="C808" t="str">
            <v>Buritirana</v>
          </cell>
        </row>
        <row r="809">
          <cell r="C809" t="str">
            <v>Buritis</v>
          </cell>
        </row>
        <row r="810">
          <cell r="C810" t="str">
            <v>Buritis</v>
          </cell>
        </row>
        <row r="811">
          <cell r="C811" t="str">
            <v>Buritizal</v>
          </cell>
        </row>
        <row r="812">
          <cell r="C812" t="str">
            <v>Buritizeiro</v>
          </cell>
        </row>
        <row r="813">
          <cell r="C813" t="str">
            <v>Butia</v>
          </cell>
        </row>
        <row r="814">
          <cell r="C814" t="str">
            <v>Caapiranga</v>
          </cell>
        </row>
        <row r="815">
          <cell r="C815" t="str">
            <v>Caapora</v>
          </cell>
        </row>
        <row r="816">
          <cell r="C816" t="str">
            <v>Caarapo</v>
          </cell>
        </row>
        <row r="817">
          <cell r="C817" t="str">
            <v>Caatiba</v>
          </cell>
        </row>
        <row r="818">
          <cell r="C818" t="str">
            <v>Cabaceiras</v>
          </cell>
        </row>
        <row r="819">
          <cell r="C819" t="str">
            <v>Cabaceiras do Paraguacu</v>
          </cell>
        </row>
        <row r="820">
          <cell r="C820" t="str">
            <v>Cabeceira Grande</v>
          </cell>
        </row>
        <row r="821">
          <cell r="C821" t="str">
            <v>Cabeceiras</v>
          </cell>
        </row>
        <row r="822">
          <cell r="C822" t="str">
            <v>Cabeceiras do Piaui</v>
          </cell>
        </row>
        <row r="823">
          <cell r="C823" t="str">
            <v>Cabedelo</v>
          </cell>
        </row>
        <row r="824">
          <cell r="C824" t="str">
            <v>Cabixi</v>
          </cell>
        </row>
        <row r="825">
          <cell r="C825" t="str">
            <v>Cabo de Santo Agostinho</v>
          </cell>
        </row>
        <row r="826">
          <cell r="C826" t="str">
            <v>Cabo Frio</v>
          </cell>
        </row>
        <row r="827">
          <cell r="C827" t="str">
            <v>Cabo Verde</v>
          </cell>
        </row>
        <row r="828">
          <cell r="C828" t="str">
            <v>Cabralia Paulista</v>
          </cell>
        </row>
        <row r="829">
          <cell r="C829" t="str">
            <v>Cabreuva</v>
          </cell>
        </row>
        <row r="830">
          <cell r="C830" t="str">
            <v>Cabrobo</v>
          </cell>
        </row>
        <row r="831">
          <cell r="C831" t="str">
            <v>Cacador</v>
          </cell>
        </row>
        <row r="832">
          <cell r="C832" t="str">
            <v>Cacapava</v>
          </cell>
        </row>
        <row r="833">
          <cell r="C833" t="str">
            <v>Cacapava do Sul</v>
          </cell>
        </row>
        <row r="834">
          <cell r="C834" t="str">
            <v>Cacaulandia</v>
          </cell>
        </row>
        <row r="835">
          <cell r="C835" t="str">
            <v>Cacequi</v>
          </cell>
        </row>
        <row r="836">
          <cell r="C836" t="str">
            <v>Caceres</v>
          </cell>
        </row>
        <row r="837">
          <cell r="C837" t="str">
            <v>Cachoeira</v>
          </cell>
        </row>
        <row r="838">
          <cell r="C838" t="str">
            <v>Cachoeira Alta</v>
          </cell>
        </row>
        <row r="839">
          <cell r="C839" t="str">
            <v>Cachoeira da Prata</v>
          </cell>
        </row>
        <row r="840">
          <cell r="C840" t="str">
            <v>Cachoeira de Goias</v>
          </cell>
        </row>
        <row r="841">
          <cell r="C841" t="str">
            <v>Cachoeira de Minas</v>
          </cell>
        </row>
        <row r="842">
          <cell r="C842" t="str">
            <v>Cachoeira de Pajeu</v>
          </cell>
        </row>
        <row r="843">
          <cell r="C843" t="str">
            <v>Cachoeira do Arari</v>
          </cell>
        </row>
        <row r="844">
          <cell r="C844" t="str">
            <v>Cachoeira do Piria</v>
          </cell>
        </row>
        <row r="845">
          <cell r="C845" t="str">
            <v>Cachoeira do Sul</v>
          </cell>
        </row>
        <row r="846">
          <cell r="C846" t="str">
            <v>Cachoeira dos indios</v>
          </cell>
        </row>
        <row r="847">
          <cell r="C847" t="str">
            <v>Cachoeira Dourada</v>
          </cell>
        </row>
        <row r="848">
          <cell r="C848" t="str">
            <v>Cachoeira Dourada</v>
          </cell>
        </row>
        <row r="849">
          <cell r="C849" t="str">
            <v>Cachoeira Grande</v>
          </cell>
        </row>
        <row r="850">
          <cell r="C850" t="str">
            <v>Cachoeira Paulista</v>
          </cell>
        </row>
        <row r="851">
          <cell r="C851" t="str">
            <v>Cachoeiras de Macacu</v>
          </cell>
        </row>
        <row r="852">
          <cell r="C852" t="str">
            <v>Cachoeirinha</v>
          </cell>
        </row>
        <row r="853">
          <cell r="C853" t="str">
            <v>Cachoeirinha</v>
          </cell>
        </row>
        <row r="854">
          <cell r="C854" t="str">
            <v>Cachoeirinha</v>
          </cell>
        </row>
        <row r="855">
          <cell r="C855" t="str">
            <v>Cachoeiro de Itapemirim</v>
          </cell>
        </row>
        <row r="856">
          <cell r="C856" t="str">
            <v>Cacimba de Areia</v>
          </cell>
        </row>
        <row r="857">
          <cell r="C857" t="str">
            <v>Cacimba de Dentro</v>
          </cell>
        </row>
        <row r="858">
          <cell r="C858" t="str">
            <v>Cacimbas</v>
          </cell>
        </row>
        <row r="859">
          <cell r="C859" t="str">
            <v>Cacimbinhas</v>
          </cell>
        </row>
        <row r="860">
          <cell r="C860" t="str">
            <v>Cacique Doble</v>
          </cell>
        </row>
        <row r="861">
          <cell r="C861" t="str">
            <v>Cacoal</v>
          </cell>
        </row>
        <row r="862">
          <cell r="C862" t="str">
            <v>Caconde</v>
          </cell>
        </row>
        <row r="863">
          <cell r="C863" t="str">
            <v>Cacu</v>
          </cell>
        </row>
        <row r="864">
          <cell r="C864" t="str">
            <v>Cacule</v>
          </cell>
        </row>
        <row r="865">
          <cell r="C865" t="str">
            <v>Caem</v>
          </cell>
        </row>
        <row r="866">
          <cell r="C866" t="str">
            <v>Caetanopolis</v>
          </cell>
        </row>
        <row r="867">
          <cell r="C867" t="str">
            <v>Caetanos</v>
          </cell>
        </row>
        <row r="868">
          <cell r="C868" t="str">
            <v>Caete</v>
          </cell>
        </row>
        <row r="869">
          <cell r="C869" t="str">
            <v>Caetes</v>
          </cell>
        </row>
        <row r="870">
          <cell r="C870" t="str">
            <v>Caetite</v>
          </cell>
        </row>
        <row r="871">
          <cell r="C871" t="str">
            <v>Cafarnaum</v>
          </cell>
        </row>
        <row r="872">
          <cell r="C872" t="str">
            <v>Cafeara</v>
          </cell>
        </row>
        <row r="873">
          <cell r="C873" t="str">
            <v>Cafelandia</v>
          </cell>
        </row>
        <row r="874">
          <cell r="C874" t="str">
            <v>Cafelandia</v>
          </cell>
        </row>
        <row r="875">
          <cell r="C875" t="str">
            <v>Cafezal do Sul</v>
          </cell>
        </row>
        <row r="876">
          <cell r="C876" t="str">
            <v>Caiabu</v>
          </cell>
        </row>
        <row r="877">
          <cell r="C877" t="str">
            <v>Caiana</v>
          </cell>
        </row>
        <row r="878">
          <cell r="C878" t="str">
            <v>Caiaponia</v>
          </cell>
        </row>
        <row r="879">
          <cell r="C879" t="str">
            <v>Caibate</v>
          </cell>
        </row>
        <row r="880">
          <cell r="C880" t="str">
            <v>Caibi</v>
          </cell>
        </row>
        <row r="881">
          <cell r="C881" t="str">
            <v>Caicara</v>
          </cell>
        </row>
        <row r="882">
          <cell r="C882" t="str">
            <v>Caicara</v>
          </cell>
        </row>
        <row r="883">
          <cell r="C883" t="str">
            <v>Caicara do Norte</v>
          </cell>
        </row>
        <row r="884">
          <cell r="C884" t="str">
            <v>Caicara do Rio do Vento</v>
          </cell>
        </row>
        <row r="885">
          <cell r="C885" t="str">
            <v>Caico</v>
          </cell>
        </row>
        <row r="886">
          <cell r="C886" t="str">
            <v>Caieiras</v>
          </cell>
        </row>
        <row r="887">
          <cell r="C887" t="str">
            <v>Cairu</v>
          </cell>
        </row>
        <row r="888">
          <cell r="C888" t="str">
            <v>Caiua</v>
          </cell>
        </row>
        <row r="889">
          <cell r="C889" t="str">
            <v>Cajamar</v>
          </cell>
        </row>
        <row r="890">
          <cell r="C890" t="str">
            <v>Cajapio</v>
          </cell>
        </row>
        <row r="891">
          <cell r="C891" t="str">
            <v>Cajari</v>
          </cell>
        </row>
        <row r="892">
          <cell r="C892" t="str">
            <v>Cajati</v>
          </cell>
        </row>
        <row r="893">
          <cell r="C893" t="str">
            <v>Cajazeiras</v>
          </cell>
        </row>
        <row r="894">
          <cell r="C894" t="str">
            <v>Cajazeiras do Piaui</v>
          </cell>
        </row>
        <row r="895">
          <cell r="C895" t="str">
            <v>Cajazeirinhas</v>
          </cell>
        </row>
        <row r="896">
          <cell r="C896" t="str">
            <v>Cajobi</v>
          </cell>
        </row>
        <row r="897">
          <cell r="C897" t="str">
            <v>Cajueiro</v>
          </cell>
        </row>
        <row r="898">
          <cell r="C898" t="str">
            <v>Cajueiro da Praia</v>
          </cell>
        </row>
        <row r="899">
          <cell r="C899" t="str">
            <v>Cajuri</v>
          </cell>
        </row>
        <row r="900">
          <cell r="C900" t="str">
            <v>Cajuru</v>
          </cell>
        </row>
        <row r="901">
          <cell r="C901" t="str">
            <v>Calcado</v>
          </cell>
        </row>
        <row r="902">
          <cell r="C902" t="str">
            <v>Calcoene</v>
          </cell>
        </row>
        <row r="903">
          <cell r="C903" t="str">
            <v>Caldas</v>
          </cell>
        </row>
        <row r="904">
          <cell r="C904" t="str">
            <v>Caldas Brandao</v>
          </cell>
        </row>
        <row r="905">
          <cell r="C905" t="str">
            <v>Caldas Novas</v>
          </cell>
        </row>
        <row r="906">
          <cell r="C906" t="str">
            <v>Caldazinha</v>
          </cell>
        </row>
        <row r="907">
          <cell r="C907" t="str">
            <v>Caldeirao Grande</v>
          </cell>
        </row>
        <row r="908">
          <cell r="C908" t="str">
            <v>Caldeirao Grande do Piaui</v>
          </cell>
        </row>
        <row r="909">
          <cell r="C909" t="str">
            <v>California</v>
          </cell>
        </row>
        <row r="910">
          <cell r="C910" t="str">
            <v>Calmon</v>
          </cell>
        </row>
        <row r="911">
          <cell r="C911" t="str">
            <v>Calumbi</v>
          </cell>
        </row>
        <row r="912">
          <cell r="C912" t="str">
            <v>Camacan</v>
          </cell>
        </row>
        <row r="913">
          <cell r="C913" t="str">
            <v>Camacari</v>
          </cell>
        </row>
        <row r="914">
          <cell r="C914" t="str">
            <v>Camacho</v>
          </cell>
        </row>
        <row r="915">
          <cell r="C915" t="str">
            <v>Camalau</v>
          </cell>
        </row>
        <row r="916">
          <cell r="C916" t="str">
            <v>Camamu</v>
          </cell>
        </row>
        <row r="917">
          <cell r="C917" t="str">
            <v>Camanducaia</v>
          </cell>
        </row>
        <row r="918">
          <cell r="C918" t="str">
            <v>Camapua</v>
          </cell>
        </row>
        <row r="919">
          <cell r="C919" t="str">
            <v>Camaqua</v>
          </cell>
        </row>
        <row r="920">
          <cell r="C920" t="str">
            <v>Camaragibe</v>
          </cell>
        </row>
        <row r="921">
          <cell r="C921" t="str">
            <v>Camargo</v>
          </cell>
        </row>
        <row r="922">
          <cell r="C922" t="str">
            <v>Cambara</v>
          </cell>
        </row>
        <row r="923">
          <cell r="C923" t="str">
            <v>Cambara do Sul</v>
          </cell>
        </row>
        <row r="924">
          <cell r="C924" t="str">
            <v>Cambe</v>
          </cell>
        </row>
        <row r="925">
          <cell r="C925" t="str">
            <v>Cambira</v>
          </cell>
        </row>
        <row r="926">
          <cell r="C926" t="str">
            <v>Camboriu</v>
          </cell>
        </row>
        <row r="927">
          <cell r="C927" t="str">
            <v>Cambuci</v>
          </cell>
        </row>
        <row r="928">
          <cell r="C928" t="str">
            <v>Cambui</v>
          </cell>
        </row>
        <row r="929">
          <cell r="C929" t="str">
            <v>Cambuquira</v>
          </cell>
        </row>
        <row r="930">
          <cell r="C930" t="str">
            <v>Cameta</v>
          </cell>
        </row>
        <row r="931">
          <cell r="C931" t="str">
            <v>Camocim</v>
          </cell>
        </row>
        <row r="932">
          <cell r="C932" t="str">
            <v>Camocim de Sao Felix</v>
          </cell>
        </row>
        <row r="933">
          <cell r="C933" t="str">
            <v>Campanario</v>
          </cell>
        </row>
        <row r="934">
          <cell r="C934" t="str">
            <v>Campanha</v>
          </cell>
        </row>
        <row r="935">
          <cell r="C935" t="str">
            <v>Campestre</v>
          </cell>
        </row>
        <row r="936">
          <cell r="C936" t="str">
            <v>Campestre</v>
          </cell>
        </row>
        <row r="937">
          <cell r="C937" t="str">
            <v>Campestre da Serra</v>
          </cell>
        </row>
        <row r="938">
          <cell r="C938" t="str">
            <v>Campestre de Goias</v>
          </cell>
        </row>
        <row r="939">
          <cell r="C939" t="str">
            <v>Campestre do Maranhao</v>
          </cell>
        </row>
        <row r="940">
          <cell r="C940" t="str">
            <v>Campina da Lagoa</v>
          </cell>
        </row>
        <row r="941">
          <cell r="C941" t="str">
            <v>Campina das Missoes</v>
          </cell>
        </row>
        <row r="942">
          <cell r="C942" t="str">
            <v>Campina do Monte Alegre</v>
          </cell>
        </row>
        <row r="943">
          <cell r="C943" t="str">
            <v>Campina do Simao</v>
          </cell>
        </row>
        <row r="944">
          <cell r="C944" t="str">
            <v>Campina Grande</v>
          </cell>
        </row>
        <row r="945">
          <cell r="C945" t="str">
            <v>Campina Grande do Sul</v>
          </cell>
        </row>
        <row r="946">
          <cell r="C946" t="str">
            <v>Campina Verde</v>
          </cell>
        </row>
        <row r="947">
          <cell r="C947" t="str">
            <v>Campinacu</v>
          </cell>
        </row>
        <row r="948">
          <cell r="C948" t="str">
            <v>Campinapolis</v>
          </cell>
        </row>
        <row r="949">
          <cell r="C949" t="str">
            <v>Campinas</v>
          </cell>
        </row>
        <row r="950">
          <cell r="C950" t="str">
            <v>Campinas do Piaui</v>
          </cell>
        </row>
        <row r="951">
          <cell r="C951" t="str">
            <v>Campinas do Sul</v>
          </cell>
        </row>
        <row r="952">
          <cell r="C952" t="str">
            <v>Campinorte</v>
          </cell>
        </row>
        <row r="953">
          <cell r="C953" t="str">
            <v>Campo Alegre</v>
          </cell>
        </row>
        <row r="954">
          <cell r="C954" t="str">
            <v>Campo Alegre</v>
          </cell>
        </row>
        <row r="955">
          <cell r="C955" t="str">
            <v>Campo Alegre de Goias</v>
          </cell>
        </row>
        <row r="956">
          <cell r="C956" t="str">
            <v>Campo Alegre de Lourdes</v>
          </cell>
        </row>
        <row r="957">
          <cell r="C957" t="str">
            <v>Campo Alegre do Fidalgo</v>
          </cell>
        </row>
        <row r="958">
          <cell r="C958" t="str">
            <v>Campo Azul</v>
          </cell>
        </row>
        <row r="959">
          <cell r="C959" t="str">
            <v>Campo Belo</v>
          </cell>
        </row>
        <row r="960">
          <cell r="C960" t="str">
            <v>Campo Belo do Sul</v>
          </cell>
        </row>
        <row r="961">
          <cell r="C961" t="str">
            <v>Campo Bom</v>
          </cell>
        </row>
        <row r="962">
          <cell r="C962" t="str">
            <v>Campo Bonito</v>
          </cell>
        </row>
        <row r="963">
          <cell r="C963" t="str">
            <v>Campo de Santana</v>
          </cell>
        </row>
        <row r="964">
          <cell r="C964" t="str">
            <v>Campo do Brito</v>
          </cell>
        </row>
        <row r="965">
          <cell r="C965" t="str">
            <v>Campo do Meio</v>
          </cell>
        </row>
        <row r="966">
          <cell r="C966" t="str">
            <v>Campo do Tenente</v>
          </cell>
        </row>
        <row r="967">
          <cell r="C967" t="str">
            <v>Campo Ere</v>
          </cell>
        </row>
        <row r="968">
          <cell r="C968" t="str">
            <v>Campo Florido</v>
          </cell>
        </row>
        <row r="969">
          <cell r="C969" t="str">
            <v>Campo Formoso</v>
          </cell>
        </row>
        <row r="970">
          <cell r="C970" t="str">
            <v>Campo Grande</v>
          </cell>
        </row>
        <row r="971">
          <cell r="C971" t="str">
            <v>Campo Grande</v>
          </cell>
        </row>
        <row r="972">
          <cell r="C972" t="str">
            <v>Campo Grande do Piaui</v>
          </cell>
        </row>
        <row r="973">
          <cell r="C973" t="str">
            <v>Campo Largo</v>
          </cell>
        </row>
        <row r="974">
          <cell r="C974" t="str">
            <v>Campo Largo do Piaui</v>
          </cell>
        </row>
        <row r="975">
          <cell r="C975" t="str">
            <v>Campo Limpo de Goias</v>
          </cell>
        </row>
        <row r="976">
          <cell r="C976" t="str">
            <v>Campo Limpo Paulista</v>
          </cell>
        </row>
        <row r="977">
          <cell r="C977" t="str">
            <v>Campo Magro</v>
          </cell>
        </row>
        <row r="978">
          <cell r="C978" t="str">
            <v>Campo Maior</v>
          </cell>
        </row>
        <row r="979">
          <cell r="C979" t="str">
            <v>Campo Mourao</v>
          </cell>
        </row>
        <row r="980">
          <cell r="C980" t="str">
            <v>Campo Novo</v>
          </cell>
        </row>
        <row r="981">
          <cell r="C981" t="str">
            <v>Campo Novo de Rondonia</v>
          </cell>
        </row>
        <row r="982">
          <cell r="C982" t="str">
            <v>Campo Novo do Parecis</v>
          </cell>
        </row>
        <row r="983">
          <cell r="C983" t="str">
            <v>Campo Redondo</v>
          </cell>
        </row>
        <row r="984">
          <cell r="C984" t="str">
            <v>Campo Verde</v>
          </cell>
        </row>
        <row r="985">
          <cell r="C985" t="str">
            <v>Campos Altos</v>
          </cell>
        </row>
        <row r="986">
          <cell r="C986" t="str">
            <v>Campos Belos</v>
          </cell>
        </row>
        <row r="987">
          <cell r="C987" t="str">
            <v>Campos Borges</v>
          </cell>
        </row>
        <row r="988">
          <cell r="C988" t="str">
            <v>Campos de Julio</v>
          </cell>
        </row>
        <row r="989">
          <cell r="C989" t="str">
            <v>Campos do Jordao</v>
          </cell>
        </row>
        <row r="990">
          <cell r="C990" t="str">
            <v>Campos dos Goytacazes</v>
          </cell>
        </row>
        <row r="991">
          <cell r="C991" t="str">
            <v>Campos Gerais</v>
          </cell>
        </row>
        <row r="992">
          <cell r="C992" t="str">
            <v>Campos Lindos</v>
          </cell>
        </row>
        <row r="993">
          <cell r="C993" t="str">
            <v>Campos Novos</v>
          </cell>
        </row>
        <row r="994">
          <cell r="C994" t="str">
            <v>Campos Novos Paulista</v>
          </cell>
        </row>
        <row r="995">
          <cell r="C995" t="str">
            <v>Campos Sales</v>
          </cell>
        </row>
        <row r="996">
          <cell r="C996" t="str">
            <v>Campos Verdes</v>
          </cell>
        </row>
        <row r="997">
          <cell r="C997" t="str">
            <v>Camutanga</v>
          </cell>
        </row>
        <row r="998">
          <cell r="C998" t="str">
            <v>Cana Verde</v>
          </cell>
        </row>
        <row r="999">
          <cell r="C999" t="str">
            <v>Canaa</v>
          </cell>
        </row>
        <row r="1000">
          <cell r="C1000" t="str">
            <v>Canaa dos Carajas</v>
          </cell>
        </row>
        <row r="1001">
          <cell r="C1001" t="str">
            <v>Canabrava do Norte</v>
          </cell>
        </row>
        <row r="1002">
          <cell r="C1002" t="str">
            <v>Cananeia</v>
          </cell>
        </row>
        <row r="1003">
          <cell r="C1003" t="str">
            <v>Canapi</v>
          </cell>
        </row>
        <row r="1004">
          <cell r="C1004" t="str">
            <v>Canapolis</v>
          </cell>
        </row>
        <row r="1005">
          <cell r="C1005" t="str">
            <v>Canapolis</v>
          </cell>
        </row>
        <row r="1006">
          <cell r="C1006" t="str">
            <v>Canarana</v>
          </cell>
        </row>
        <row r="1007">
          <cell r="C1007" t="str">
            <v>Canarana</v>
          </cell>
        </row>
        <row r="1008">
          <cell r="C1008" t="str">
            <v>Canas</v>
          </cell>
        </row>
        <row r="1009">
          <cell r="C1009" t="str">
            <v>Canavieira</v>
          </cell>
        </row>
        <row r="1010">
          <cell r="C1010" t="str">
            <v>Canavieiras</v>
          </cell>
        </row>
        <row r="1011">
          <cell r="C1011" t="str">
            <v>Candeal</v>
          </cell>
        </row>
        <row r="1012">
          <cell r="C1012" t="str">
            <v>Candeias</v>
          </cell>
        </row>
        <row r="1013">
          <cell r="C1013" t="str">
            <v>Candeias</v>
          </cell>
        </row>
        <row r="1014">
          <cell r="C1014" t="str">
            <v>Candeias do Jamari</v>
          </cell>
        </row>
        <row r="1015">
          <cell r="C1015" t="str">
            <v>Candelaria</v>
          </cell>
        </row>
        <row r="1016">
          <cell r="C1016" t="str">
            <v>Candiba</v>
          </cell>
        </row>
        <row r="1017">
          <cell r="C1017" t="str">
            <v>Candido de Abreu</v>
          </cell>
        </row>
        <row r="1018">
          <cell r="C1018" t="str">
            <v>Candido Godoi</v>
          </cell>
        </row>
        <row r="1019">
          <cell r="C1019" t="str">
            <v>Candido Mendes</v>
          </cell>
        </row>
        <row r="1020">
          <cell r="C1020" t="str">
            <v>Candido Mota</v>
          </cell>
        </row>
        <row r="1021">
          <cell r="C1021" t="str">
            <v>Candido Rodrigues</v>
          </cell>
        </row>
        <row r="1022">
          <cell r="C1022" t="str">
            <v>Candido Sales</v>
          </cell>
        </row>
        <row r="1023">
          <cell r="C1023" t="str">
            <v>Candiota</v>
          </cell>
        </row>
        <row r="1024">
          <cell r="C1024" t="str">
            <v>Candoi</v>
          </cell>
        </row>
        <row r="1025">
          <cell r="C1025" t="str">
            <v>Canela</v>
          </cell>
        </row>
        <row r="1026">
          <cell r="C1026" t="str">
            <v>Canelinha</v>
          </cell>
        </row>
        <row r="1027">
          <cell r="C1027" t="str">
            <v>Canguaretama</v>
          </cell>
        </row>
        <row r="1028">
          <cell r="C1028" t="str">
            <v>Cangucu</v>
          </cell>
        </row>
        <row r="1029">
          <cell r="C1029" t="str">
            <v>Canhoba</v>
          </cell>
        </row>
        <row r="1030">
          <cell r="C1030" t="str">
            <v>Canhotinho</v>
          </cell>
        </row>
        <row r="1031">
          <cell r="C1031" t="str">
            <v>Caninde</v>
          </cell>
        </row>
        <row r="1032">
          <cell r="C1032" t="str">
            <v>Caninde de Sao Francisco</v>
          </cell>
        </row>
        <row r="1033">
          <cell r="C1033" t="str">
            <v>Canitar</v>
          </cell>
        </row>
        <row r="1034">
          <cell r="C1034" t="str">
            <v>Canoas</v>
          </cell>
        </row>
        <row r="1035">
          <cell r="C1035" t="str">
            <v>Canoinhas</v>
          </cell>
        </row>
        <row r="1036">
          <cell r="C1036" t="str">
            <v>Cansancao</v>
          </cell>
        </row>
        <row r="1037">
          <cell r="C1037" t="str">
            <v>Canta</v>
          </cell>
        </row>
        <row r="1038">
          <cell r="C1038" t="str">
            <v>Cantagalo</v>
          </cell>
        </row>
        <row r="1039">
          <cell r="C1039" t="str">
            <v>Cantagalo</v>
          </cell>
        </row>
        <row r="1040">
          <cell r="C1040" t="str">
            <v>Cantagalo</v>
          </cell>
        </row>
        <row r="1041">
          <cell r="C1041" t="str">
            <v>Cantanhede</v>
          </cell>
        </row>
        <row r="1042">
          <cell r="C1042" t="str">
            <v>Canto do Buriti</v>
          </cell>
        </row>
        <row r="1043">
          <cell r="C1043" t="str">
            <v>Canudos</v>
          </cell>
        </row>
        <row r="1044">
          <cell r="C1044" t="str">
            <v>Canudos do Vale</v>
          </cell>
        </row>
        <row r="1045">
          <cell r="C1045" t="str">
            <v>Canutama</v>
          </cell>
        </row>
        <row r="1046">
          <cell r="C1046" t="str">
            <v>Capanema</v>
          </cell>
        </row>
        <row r="1047">
          <cell r="C1047" t="str">
            <v>Capanema</v>
          </cell>
        </row>
        <row r="1048">
          <cell r="C1048" t="str">
            <v>Capao Alto</v>
          </cell>
        </row>
        <row r="1049">
          <cell r="C1049" t="str">
            <v>Capao Bonito</v>
          </cell>
        </row>
        <row r="1050">
          <cell r="C1050" t="str">
            <v>Capao Bonito do Sul</v>
          </cell>
        </row>
        <row r="1051">
          <cell r="C1051" t="str">
            <v>Capao da Canoa</v>
          </cell>
        </row>
        <row r="1052">
          <cell r="C1052" t="str">
            <v>Capao do Cipo</v>
          </cell>
        </row>
        <row r="1053">
          <cell r="C1053" t="str">
            <v>Capao do Leao</v>
          </cell>
        </row>
        <row r="1054">
          <cell r="C1054" t="str">
            <v>Caparao</v>
          </cell>
        </row>
        <row r="1055">
          <cell r="C1055" t="str">
            <v>Capela</v>
          </cell>
        </row>
        <row r="1056">
          <cell r="C1056" t="str">
            <v>Capela</v>
          </cell>
        </row>
        <row r="1057">
          <cell r="C1057" t="str">
            <v>Capela de Santana</v>
          </cell>
        </row>
        <row r="1058">
          <cell r="C1058" t="str">
            <v>Capela do Alto</v>
          </cell>
        </row>
        <row r="1059">
          <cell r="C1059" t="str">
            <v>Capela do Alto Alegre</v>
          </cell>
        </row>
        <row r="1060">
          <cell r="C1060" t="str">
            <v>Capela Nova</v>
          </cell>
        </row>
        <row r="1061">
          <cell r="C1061" t="str">
            <v>Capelinha</v>
          </cell>
        </row>
        <row r="1062">
          <cell r="C1062" t="str">
            <v>Capetinga</v>
          </cell>
        </row>
        <row r="1063">
          <cell r="C1063" t="str">
            <v>Capim</v>
          </cell>
        </row>
        <row r="1064">
          <cell r="C1064" t="str">
            <v>Capim Branco</v>
          </cell>
        </row>
        <row r="1065">
          <cell r="C1065" t="str">
            <v>Capim Grosso</v>
          </cell>
        </row>
        <row r="1066">
          <cell r="C1066" t="str">
            <v>Capinopolis</v>
          </cell>
        </row>
        <row r="1067">
          <cell r="C1067" t="str">
            <v>Capinzal</v>
          </cell>
        </row>
        <row r="1068">
          <cell r="C1068" t="str">
            <v>Capinzal do Norte</v>
          </cell>
        </row>
        <row r="1069">
          <cell r="C1069" t="str">
            <v>Capistrano</v>
          </cell>
        </row>
        <row r="1070">
          <cell r="C1070" t="str">
            <v>Capitao</v>
          </cell>
        </row>
        <row r="1071">
          <cell r="C1071" t="str">
            <v>Capitao Andrade</v>
          </cell>
        </row>
        <row r="1072">
          <cell r="C1072" t="str">
            <v>Capitao de Campos</v>
          </cell>
        </row>
        <row r="1073">
          <cell r="C1073" t="str">
            <v>Capitao Eneas</v>
          </cell>
        </row>
        <row r="1074">
          <cell r="C1074" t="str">
            <v>Capitao Gervasio Oliveira</v>
          </cell>
        </row>
        <row r="1075">
          <cell r="C1075" t="str">
            <v>Capitao Leonidas Marques</v>
          </cell>
        </row>
        <row r="1076">
          <cell r="C1076" t="str">
            <v>Capitao Poco</v>
          </cell>
        </row>
        <row r="1077">
          <cell r="C1077" t="str">
            <v>Capitolio</v>
          </cell>
        </row>
        <row r="1078">
          <cell r="C1078" t="str">
            <v>Capivari</v>
          </cell>
        </row>
        <row r="1079">
          <cell r="C1079" t="str">
            <v>Capivari de Baixo</v>
          </cell>
        </row>
        <row r="1080">
          <cell r="C1080" t="str">
            <v>Capivari do Sul</v>
          </cell>
        </row>
        <row r="1081">
          <cell r="C1081" t="str">
            <v>Capixaba</v>
          </cell>
        </row>
        <row r="1082">
          <cell r="C1082" t="str">
            <v>Capoeiras</v>
          </cell>
        </row>
        <row r="1083">
          <cell r="C1083" t="str">
            <v>Caputira</v>
          </cell>
        </row>
        <row r="1084">
          <cell r="C1084" t="str">
            <v>Caraa</v>
          </cell>
        </row>
        <row r="1085">
          <cell r="C1085" t="str">
            <v>Caracarai</v>
          </cell>
        </row>
        <row r="1086">
          <cell r="C1086" t="str">
            <v>Caracol</v>
          </cell>
        </row>
        <row r="1087">
          <cell r="C1087" t="str">
            <v>Caracol</v>
          </cell>
        </row>
        <row r="1088">
          <cell r="C1088" t="str">
            <v>Caraguatatuba</v>
          </cell>
        </row>
        <row r="1089">
          <cell r="C1089" t="str">
            <v>Carai</v>
          </cell>
        </row>
        <row r="1090">
          <cell r="C1090" t="str">
            <v>Caraibas</v>
          </cell>
        </row>
        <row r="1091">
          <cell r="C1091" t="str">
            <v>Carambei</v>
          </cell>
        </row>
        <row r="1092">
          <cell r="C1092" t="str">
            <v>Caranaiba</v>
          </cell>
        </row>
        <row r="1093">
          <cell r="C1093" t="str">
            <v>Carandai</v>
          </cell>
        </row>
        <row r="1094">
          <cell r="C1094" t="str">
            <v>Carangola</v>
          </cell>
        </row>
        <row r="1095">
          <cell r="C1095" t="str">
            <v>Carapebus</v>
          </cell>
        </row>
        <row r="1096">
          <cell r="C1096" t="str">
            <v>Carapicuiba</v>
          </cell>
        </row>
        <row r="1097">
          <cell r="C1097" t="str">
            <v>Caratinga</v>
          </cell>
        </row>
        <row r="1098">
          <cell r="C1098" t="str">
            <v>Carauari</v>
          </cell>
        </row>
        <row r="1099">
          <cell r="C1099" t="str">
            <v>Caraubas</v>
          </cell>
        </row>
        <row r="1100">
          <cell r="C1100" t="str">
            <v>Caraubas</v>
          </cell>
        </row>
        <row r="1101">
          <cell r="C1101" t="str">
            <v>Caraubas do Piaui</v>
          </cell>
        </row>
        <row r="1102">
          <cell r="C1102" t="str">
            <v>Caravelas</v>
          </cell>
        </row>
        <row r="1103">
          <cell r="C1103" t="str">
            <v>Carazinho</v>
          </cell>
        </row>
        <row r="1104">
          <cell r="C1104" t="str">
            <v>Carbonita</v>
          </cell>
        </row>
        <row r="1105">
          <cell r="C1105" t="str">
            <v>Cardeal da Silva</v>
          </cell>
        </row>
        <row r="1106">
          <cell r="C1106" t="str">
            <v>Cardoso</v>
          </cell>
        </row>
        <row r="1107">
          <cell r="C1107" t="str">
            <v>Cardoso Moreira</v>
          </cell>
        </row>
        <row r="1108">
          <cell r="C1108" t="str">
            <v>Careacu</v>
          </cell>
        </row>
        <row r="1109">
          <cell r="C1109" t="str">
            <v>Careiro</v>
          </cell>
        </row>
        <row r="1110">
          <cell r="C1110" t="str">
            <v>Careiro da Varzea</v>
          </cell>
        </row>
        <row r="1111">
          <cell r="C1111" t="str">
            <v>Cariacica</v>
          </cell>
        </row>
        <row r="1112">
          <cell r="C1112" t="str">
            <v>Caridade</v>
          </cell>
        </row>
        <row r="1113">
          <cell r="C1113" t="str">
            <v>Caridade do Piaui</v>
          </cell>
        </row>
        <row r="1114">
          <cell r="C1114" t="str">
            <v>Carinhanha</v>
          </cell>
        </row>
        <row r="1115">
          <cell r="C1115" t="str">
            <v>Carira</v>
          </cell>
        </row>
        <row r="1116">
          <cell r="C1116" t="str">
            <v>Carire</v>
          </cell>
        </row>
        <row r="1117">
          <cell r="C1117" t="str">
            <v>Cariri do Tocantins</v>
          </cell>
        </row>
        <row r="1118">
          <cell r="C1118" t="str">
            <v>Caririacu</v>
          </cell>
        </row>
        <row r="1119">
          <cell r="C1119" t="str">
            <v>Carius</v>
          </cell>
        </row>
        <row r="1120">
          <cell r="C1120" t="str">
            <v>Carlinda</v>
          </cell>
        </row>
        <row r="1121">
          <cell r="C1121" t="str">
            <v>Carlopolis</v>
          </cell>
        </row>
        <row r="1122">
          <cell r="C1122" t="str">
            <v>Carlos Barbosa</v>
          </cell>
        </row>
        <row r="1123">
          <cell r="C1123" t="str">
            <v>Carlos Chagas</v>
          </cell>
        </row>
        <row r="1124">
          <cell r="C1124" t="str">
            <v>Carlos Gomes</v>
          </cell>
        </row>
        <row r="1125">
          <cell r="C1125" t="str">
            <v>Carmesia</v>
          </cell>
        </row>
        <row r="1126">
          <cell r="C1126" t="str">
            <v>Carmo</v>
          </cell>
        </row>
        <row r="1127">
          <cell r="C1127" t="str">
            <v>Carmo da Cachoeira</v>
          </cell>
        </row>
        <row r="1128">
          <cell r="C1128" t="str">
            <v>Carmo da Mata</v>
          </cell>
        </row>
        <row r="1129">
          <cell r="C1129" t="str">
            <v>Carmo de Minas</v>
          </cell>
        </row>
        <row r="1130">
          <cell r="C1130" t="str">
            <v>Carmo do Cajuru</v>
          </cell>
        </row>
        <row r="1131">
          <cell r="C1131" t="str">
            <v>Carmo do Paranaiba</v>
          </cell>
        </row>
        <row r="1132">
          <cell r="C1132" t="str">
            <v>Carmo do Rio Claro</v>
          </cell>
        </row>
        <row r="1133">
          <cell r="C1133" t="str">
            <v>Carmo do Rio Verde</v>
          </cell>
        </row>
        <row r="1134">
          <cell r="C1134" t="str">
            <v>Carmolandia</v>
          </cell>
        </row>
        <row r="1135">
          <cell r="C1135" t="str">
            <v>Carmopolis</v>
          </cell>
        </row>
        <row r="1136">
          <cell r="C1136" t="str">
            <v>Carmopolis de Minas</v>
          </cell>
        </row>
        <row r="1137">
          <cell r="C1137" t="str">
            <v>Carnaiba</v>
          </cell>
        </row>
        <row r="1138">
          <cell r="C1138" t="str">
            <v>Carnauba dos Dantas</v>
          </cell>
        </row>
        <row r="1139">
          <cell r="C1139" t="str">
            <v>Carnaubais</v>
          </cell>
        </row>
        <row r="1140">
          <cell r="C1140" t="str">
            <v>Carnaubal</v>
          </cell>
        </row>
        <row r="1141">
          <cell r="C1141" t="str">
            <v>Carnaubeira da Penha</v>
          </cell>
        </row>
        <row r="1142">
          <cell r="C1142" t="str">
            <v>Carneirinho</v>
          </cell>
        </row>
        <row r="1143">
          <cell r="C1143" t="str">
            <v>Carneiros</v>
          </cell>
        </row>
        <row r="1144">
          <cell r="C1144" t="str">
            <v>Caroebe</v>
          </cell>
        </row>
        <row r="1145">
          <cell r="C1145" t="str">
            <v>Carolina</v>
          </cell>
        </row>
        <row r="1146">
          <cell r="C1146" t="str">
            <v>Carpina</v>
          </cell>
        </row>
        <row r="1147">
          <cell r="C1147" t="str">
            <v>Carrancas</v>
          </cell>
        </row>
        <row r="1148">
          <cell r="C1148" t="str">
            <v>Carrapateira</v>
          </cell>
        </row>
        <row r="1149">
          <cell r="C1149" t="str">
            <v>Carrasco Bonito</v>
          </cell>
        </row>
        <row r="1150">
          <cell r="C1150" t="str">
            <v>Caruaru</v>
          </cell>
        </row>
        <row r="1151">
          <cell r="C1151" t="str">
            <v>Carutapera</v>
          </cell>
        </row>
        <row r="1152">
          <cell r="C1152" t="str">
            <v>Carvalhopolis</v>
          </cell>
        </row>
        <row r="1153">
          <cell r="C1153" t="str">
            <v>Carvalhos</v>
          </cell>
        </row>
        <row r="1154">
          <cell r="C1154" t="str">
            <v>Casa Branca</v>
          </cell>
        </row>
        <row r="1155">
          <cell r="C1155" t="str">
            <v>Casa Grande</v>
          </cell>
        </row>
        <row r="1156">
          <cell r="C1156" t="str">
            <v>Casa Nova</v>
          </cell>
        </row>
        <row r="1157">
          <cell r="C1157" t="str">
            <v>Casca</v>
          </cell>
        </row>
        <row r="1158">
          <cell r="C1158" t="str">
            <v>Cascalho Rico</v>
          </cell>
        </row>
        <row r="1159">
          <cell r="C1159" t="str">
            <v>Cascavel</v>
          </cell>
        </row>
        <row r="1160">
          <cell r="C1160" t="str">
            <v>Cascavel</v>
          </cell>
        </row>
        <row r="1161">
          <cell r="C1161" t="str">
            <v>Caseara</v>
          </cell>
        </row>
        <row r="1162">
          <cell r="C1162" t="str">
            <v>Caseiros</v>
          </cell>
        </row>
        <row r="1163">
          <cell r="C1163" t="str">
            <v>Casimiro de Abreu</v>
          </cell>
        </row>
        <row r="1164">
          <cell r="C1164" t="str">
            <v>Casinhas</v>
          </cell>
        </row>
        <row r="1165">
          <cell r="C1165" t="str">
            <v>Casserengue</v>
          </cell>
        </row>
        <row r="1166">
          <cell r="C1166" t="str">
            <v>Cassia</v>
          </cell>
        </row>
        <row r="1167">
          <cell r="C1167" t="str">
            <v>Cassia dos Coqueiros</v>
          </cell>
        </row>
        <row r="1168">
          <cell r="C1168" t="str">
            <v>Cassilandia</v>
          </cell>
        </row>
        <row r="1169">
          <cell r="C1169" t="str">
            <v>Castanhal</v>
          </cell>
        </row>
        <row r="1170">
          <cell r="C1170" t="str">
            <v>Castanheira</v>
          </cell>
        </row>
        <row r="1171">
          <cell r="C1171" t="str">
            <v>Castanheiras</v>
          </cell>
        </row>
        <row r="1172">
          <cell r="C1172" t="str">
            <v>Castelandia</v>
          </cell>
        </row>
        <row r="1173">
          <cell r="C1173" t="str">
            <v>Castelo</v>
          </cell>
        </row>
        <row r="1174">
          <cell r="C1174" t="str">
            <v>Castelo do Piaui</v>
          </cell>
        </row>
        <row r="1175">
          <cell r="C1175" t="str">
            <v>Castilho</v>
          </cell>
        </row>
        <row r="1176">
          <cell r="C1176" t="str">
            <v>Castro</v>
          </cell>
        </row>
        <row r="1177">
          <cell r="C1177" t="str">
            <v>Castro Alves</v>
          </cell>
        </row>
        <row r="1178">
          <cell r="C1178" t="str">
            <v>Cataguases</v>
          </cell>
        </row>
        <row r="1179">
          <cell r="C1179" t="str">
            <v>Catalao</v>
          </cell>
        </row>
        <row r="1180">
          <cell r="C1180" t="str">
            <v>Catanduva</v>
          </cell>
        </row>
        <row r="1181">
          <cell r="C1181" t="str">
            <v>Catanduvas</v>
          </cell>
        </row>
        <row r="1182">
          <cell r="C1182" t="str">
            <v>Catanduvas</v>
          </cell>
        </row>
        <row r="1183">
          <cell r="C1183" t="str">
            <v>Catarina</v>
          </cell>
        </row>
        <row r="1184">
          <cell r="C1184" t="str">
            <v>Catas Altas</v>
          </cell>
        </row>
        <row r="1185">
          <cell r="C1185" t="str">
            <v>Catas Altas da Noruega</v>
          </cell>
        </row>
        <row r="1186">
          <cell r="C1186" t="str">
            <v>Catende</v>
          </cell>
        </row>
        <row r="1187">
          <cell r="C1187" t="str">
            <v>Catigua</v>
          </cell>
        </row>
        <row r="1188">
          <cell r="C1188" t="str">
            <v>Catingueira</v>
          </cell>
        </row>
        <row r="1189">
          <cell r="C1189" t="str">
            <v>Catolandia</v>
          </cell>
        </row>
        <row r="1190">
          <cell r="C1190" t="str">
            <v>Catole do Rocha</v>
          </cell>
        </row>
        <row r="1191">
          <cell r="C1191" t="str">
            <v>Catu</v>
          </cell>
        </row>
        <row r="1192">
          <cell r="C1192" t="str">
            <v>Catuipe</v>
          </cell>
        </row>
        <row r="1193">
          <cell r="C1193" t="str">
            <v>Catuji</v>
          </cell>
        </row>
        <row r="1194">
          <cell r="C1194" t="str">
            <v>Catunda</v>
          </cell>
        </row>
        <row r="1195">
          <cell r="C1195" t="str">
            <v>Caturai</v>
          </cell>
        </row>
        <row r="1196">
          <cell r="C1196" t="str">
            <v>Caturama</v>
          </cell>
        </row>
        <row r="1197">
          <cell r="C1197" t="str">
            <v>Caturite</v>
          </cell>
        </row>
        <row r="1198">
          <cell r="C1198" t="str">
            <v>Catuti</v>
          </cell>
        </row>
        <row r="1199">
          <cell r="C1199" t="str">
            <v>Caucaia</v>
          </cell>
        </row>
        <row r="1200">
          <cell r="C1200" t="str">
            <v>Cavalcante</v>
          </cell>
        </row>
        <row r="1201">
          <cell r="C1201" t="str">
            <v>Caxambu</v>
          </cell>
        </row>
        <row r="1202">
          <cell r="C1202" t="str">
            <v>Caxambu do Sul</v>
          </cell>
        </row>
        <row r="1203">
          <cell r="C1203" t="str">
            <v>Caxias</v>
          </cell>
        </row>
        <row r="1204">
          <cell r="C1204" t="str">
            <v>Caxias do Sul</v>
          </cell>
        </row>
        <row r="1205">
          <cell r="C1205" t="str">
            <v>Caxingo</v>
          </cell>
        </row>
        <row r="1206">
          <cell r="C1206" t="str">
            <v>Ceara-Mirim</v>
          </cell>
        </row>
        <row r="1207">
          <cell r="C1207" t="str">
            <v>Cedral</v>
          </cell>
        </row>
        <row r="1208">
          <cell r="C1208" t="str">
            <v>Cedral</v>
          </cell>
        </row>
        <row r="1209">
          <cell r="C1209" t="str">
            <v>Cedro</v>
          </cell>
        </row>
        <row r="1210">
          <cell r="C1210" t="str">
            <v>Cedro</v>
          </cell>
        </row>
        <row r="1211">
          <cell r="C1211" t="str">
            <v>Cedro de Sao Joao</v>
          </cell>
        </row>
        <row r="1212">
          <cell r="C1212" t="str">
            <v>Cedro do Abaete</v>
          </cell>
        </row>
        <row r="1213">
          <cell r="C1213" t="str">
            <v>Celso Ramos</v>
          </cell>
        </row>
        <row r="1214">
          <cell r="C1214" t="str">
            <v>Centenario</v>
          </cell>
        </row>
        <row r="1215">
          <cell r="C1215" t="str">
            <v>Centenario</v>
          </cell>
        </row>
        <row r="1216">
          <cell r="C1216" t="str">
            <v>Centenario do Sul</v>
          </cell>
        </row>
        <row r="1217">
          <cell r="C1217" t="str">
            <v>Central</v>
          </cell>
        </row>
        <row r="1218">
          <cell r="C1218" t="str">
            <v>Central de Minas</v>
          </cell>
        </row>
        <row r="1219">
          <cell r="C1219" t="str">
            <v>Central do Maranhao</v>
          </cell>
        </row>
        <row r="1220">
          <cell r="C1220" t="str">
            <v>Centralina</v>
          </cell>
        </row>
        <row r="1221">
          <cell r="C1221" t="str">
            <v>Centro do Guilherme</v>
          </cell>
        </row>
        <row r="1222">
          <cell r="C1222" t="str">
            <v>Centro Novo do Maranhao</v>
          </cell>
        </row>
        <row r="1223">
          <cell r="C1223" t="str">
            <v>Cerejeiras</v>
          </cell>
        </row>
        <row r="1224">
          <cell r="C1224" t="str">
            <v>Ceres</v>
          </cell>
        </row>
        <row r="1225">
          <cell r="C1225" t="str">
            <v>Cerqueira Cesar</v>
          </cell>
        </row>
        <row r="1226">
          <cell r="C1226" t="str">
            <v>Cerquilho</v>
          </cell>
        </row>
        <row r="1227">
          <cell r="C1227" t="str">
            <v>Cerrito</v>
          </cell>
        </row>
        <row r="1228">
          <cell r="C1228" t="str">
            <v>Cerro Azul</v>
          </cell>
        </row>
        <row r="1229">
          <cell r="C1229" t="str">
            <v>Cerro Branco</v>
          </cell>
        </row>
        <row r="1230">
          <cell r="C1230" t="str">
            <v>Cerro Cora</v>
          </cell>
        </row>
        <row r="1231">
          <cell r="C1231" t="str">
            <v>Cerro Grande</v>
          </cell>
        </row>
        <row r="1232">
          <cell r="C1232" t="str">
            <v>Cerro Grande do Sul</v>
          </cell>
        </row>
        <row r="1233">
          <cell r="C1233" t="str">
            <v>Cerro Largo</v>
          </cell>
        </row>
        <row r="1234">
          <cell r="C1234" t="str">
            <v>Cerro Negro</v>
          </cell>
        </row>
        <row r="1235">
          <cell r="C1235" t="str">
            <v>Cesario Lange</v>
          </cell>
        </row>
        <row r="1236">
          <cell r="C1236" t="str">
            <v>Ceu Azul</v>
          </cell>
        </row>
        <row r="1237">
          <cell r="C1237" t="str">
            <v>Cezarina</v>
          </cell>
        </row>
        <row r="1238">
          <cell r="C1238" t="str">
            <v>Cha de Alegria</v>
          </cell>
        </row>
        <row r="1239">
          <cell r="C1239" t="str">
            <v>Cha Grande</v>
          </cell>
        </row>
        <row r="1240">
          <cell r="C1240" t="str">
            <v>Cha Preta</v>
          </cell>
        </row>
        <row r="1241">
          <cell r="C1241" t="str">
            <v>Chacara</v>
          </cell>
        </row>
        <row r="1242">
          <cell r="C1242" t="str">
            <v>Chale</v>
          </cell>
        </row>
        <row r="1243">
          <cell r="C1243" t="str">
            <v>Chapada</v>
          </cell>
        </row>
        <row r="1244">
          <cell r="C1244" t="str">
            <v>Chapada da Natividade</v>
          </cell>
        </row>
        <row r="1245">
          <cell r="C1245" t="str">
            <v>Chapada de Areia</v>
          </cell>
        </row>
        <row r="1246">
          <cell r="C1246" t="str">
            <v>Chapada do Norte</v>
          </cell>
        </row>
        <row r="1247">
          <cell r="C1247" t="str">
            <v>Chapada dos Guimaraes</v>
          </cell>
        </row>
        <row r="1248">
          <cell r="C1248" t="str">
            <v>Chapada Gaucha</v>
          </cell>
        </row>
        <row r="1249">
          <cell r="C1249" t="str">
            <v>Chapadao do Ceu</v>
          </cell>
        </row>
        <row r="1250">
          <cell r="C1250" t="str">
            <v>Chapadao do Lageado</v>
          </cell>
        </row>
        <row r="1251">
          <cell r="C1251" t="str">
            <v>Chapadao do Sul</v>
          </cell>
        </row>
        <row r="1252">
          <cell r="C1252" t="str">
            <v>Chapadinha</v>
          </cell>
        </row>
        <row r="1253">
          <cell r="C1253" t="str">
            <v>Chapeco</v>
          </cell>
        </row>
        <row r="1254">
          <cell r="C1254" t="str">
            <v>Charqueada</v>
          </cell>
        </row>
        <row r="1255">
          <cell r="C1255" t="str">
            <v>Charqueadas</v>
          </cell>
        </row>
        <row r="1256">
          <cell r="C1256" t="str">
            <v>Charrua</v>
          </cell>
        </row>
        <row r="1257">
          <cell r="C1257" t="str">
            <v>Chaval</v>
          </cell>
        </row>
        <row r="1258">
          <cell r="C1258" t="str">
            <v>Chavantes</v>
          </cell>
        </row>
        <row r="1259">
          <cell r="C1259" t="str">
            <v>Chaves</v>
          </cell>
        </row>
        <row r="1260">
          <cell r="C1260" t="str">
            <v>Chiador</v>
          </cell>
        </row>
        <row r="1261">
          <cell r="C1261" t="str">
            <v>Chiapetta</v>
          </cell>
        </row>
        <row r="1262">
          <cell r="C1262" t="str">
            <v>Chopinzinho</v>
          </cell>
        </row>
        <row r="1263">
          <cell r="C1263" t="str">
            <v>Choro</v>
          </cell>
        </row>
        <row r="1264">
          <cell r="C1264" t="str">
            <v>Chorozinho</v>
          </cell>
        </row>
        <row r="1265">
          <cell r="C1265" t="str">
            <v>Chorrocho</v>
          </cell>
        </row>
        <row r="1266">
          <cell r="C1266" t="str">
            <v>Chui</v>
          </cell>
        </row>
        <row r="1267">
          <cell r="C1267" t="str">
            <v>Chupinguaia</v>
          </cell>
        </row>
        <row r="1268">
          <cell r="C1268" t="str">
            <v>Chuvisca</v>
          </cell>
        </row>
        <row r="1269">
          <cell r="C1269" t="str">
            <v>Cianorte</v>
          </cell>
        </row>
        <row r="1270">
          <cell r="C1270" t="str">
            <v>Cicero Dantas</v>
          </cell>
        </row>
        <row r="1271">
          <cell r="C1271" t="str">
            <v>Cidade Gaucha</v>
          </cell>
        </row>
        <row r="1272">
          <cell r="C1272" t="str">
            <v>Cidade Ocidental</v>
          </cell>
        </row>
        <row r="1273">
          <cell r="C1273" t="str">
            <v>Cidelandia</v>
          </cell>
        </row>
        <row r="1274">
          <cell r="C1274" t="str">
            <v>Cidreira</v>
          </cell>
        </row>
        <row r="1275">
          <cell r="C1275" t="str">
            <v>Cipo</v>
          </cell>
        </row>
        <row r="1276">
          <cell r="C1276" t="str">
            <v>Cipotanea</v>
          </cell>
        </row>
        <row r="1277">
          <cell r="C1277" t="str">
            <v>Ciriaco</v>
          </cell>
        </row>
        <row r="1278">
          <cell r="C1278" t="str">
            <v>Claraval</v>
          </cell>
        </row>
        <row r="1279">
          <cell r="C1279" t="str">
            <v>Claro dos Pocoes</v>
          </cell>
        </row>
        <row r="1280">
          <cell r="C1280" t="str">
            <v>Claudia</v>
          </cell>
        </row>
        <row r="1281">
          <cell r="C1281" t="str">
            <v>Claudio</v>
          </cell>
        </row>
        <row r="1282">
          <cell r="C1282" t="str">
            <v>Clementina</v>
          </cell>
        </row>
        <row r="1283">
          <cell r="C1283" t="str">
            <v>Clevelandia</v>
          </cell>
        </row>
        <row r="1284">
          <cell r="C1284" t="str">
            <v>Coaraci</v>
          </cell>
        </row>
        <row r="1285">
          <cell r="C1285" t="str">
            <v>Coari</v>
          </cell>
        </row>
        <row r="1286">
          <cell r="C1286" t="str">
            <v>Cocal</v>
          </cell>
        </row>
        <row r="1287">
          <cell r="C1287" t="str">
            <v>Cocal de Telha</v>
          </cell>
        </row>
        <row r="1288">
          <cell r="C1288" t="str">
            <v>Cocal do Sul</v>
          </cell>
        </row>
        <row r="1289">
          <cell r="C1289" t="str">
            <v>Cocal dos Alves</v>
          </cell>
        </row>
        <row r="1290">
          <cell r="C1290" t="str">
            <v>Cocalinho</v>
          </cell>
        </row>
        <row r="1291">
          <cell r="C1291" t="str">
            <v>Cocalzinho de Goias</v>
          </cell>
        </row>
        <row r="1292">
          <cell r="C1292" t="str">
            <v>Cocos</v>
          </cell>
        </row>
        <row r="1293">
          <cell r="C1293" t="str">
            <v>Codajas</v>
          </cell>
        </row>
        <row r="1294">
          <cell r="C1294" t="str">
            <v>Codo</v>
          </cell>
        </row>
        <row r="1295">
          <cell r="C1295" t="str">
            <v>Coelho Neto</v>
          </cell>
        </row>
        <row r="1296">
          <cell r="C1296" t="str">
            <v>Coimbra</v>
          </cell>
        </row>
        <row r="1297">
          <cell r="C1297" t="str">
            <v>Coite do Noia</v>
          </cell>
        </row>
        <row r="1298">
          <cell r="C1298" t="str">
            <v>Coivaras</v>
          </cell>
        </row>
        <row r="1299">
          <cell r="C1299" t="str">
            <v>Colares</v>
          </cell>
        </row>
        <row r="1300">
          <cell r="C1300" t="str">
            <v>Colatina</v>
          </cell>
        </row>
        <row r="1301">
          <cell r="C1301" t="str">
            <v>Colider</v>
          </cell>
        </row>
        <row r="1302">
          <cell r="C1302" t="str">
            <v>Colina</v>
          </cell>
        </row>
        <row r="1303">
          <cell r="C1303" t="str">
            <v>Colinas</v>
          </cell>
        </row>
        <row r="1304">
          <cell r="C1304" t="str">
            <v>Colinas</v>
          </cell>
        </row>
        <row r="1305">
          <cell r="C1305" t="str">
            <v>Colinas do Sul</v>
          </cell>
        </row>
        <row r="1306">
          <cell r="C1306" t="str">
            <v>Colinas do Tocantins</v>
          </cell>
        </row>
        <row r="1307">
          <cell r="C1307" t="str">
            <v>Colmeia</v>
          </cell>
        </row>
        <row r="1308">
          <cell r="C1308" t="str">
            <v>Colniza</v>
          </cell>
        </row>
        <row r="1309">
          <cell r="C1309" t="str">
            <v>Colombia</v>
          </cell>
        </row>
        <row r="1310">
          <cell r="C1310" t="str">
            <v>Colombo</v>
          </cell>
        </row>
        <row r="1311">
          <cell r="C1311" t="str">
            <v>Colonia do Gurgueia</v>
          </cell>
        </row>
        <row r="1312">
          <cell r="C1312" t="str">
            <v>Colonia do Piaui</v>
          </cell>
        </row>
        <row r="1313">
          <cell r="C1313" t="str">
            <v>Colonia Leopoldina</v>
          </cell>
        </row>
        <row r="1314">
          <cell r="C1314" t="str">
            <v>Colorado</v>
          </cell>
        </row>
        <row r="1315">
          <cell r="C1315" t="str">
            <v>Colorado</v>
          </cell>
        </row>
        <row r="1316">
          <cell r="C1316" t="str">
            <v>Colorado do Oeste</v>
          </cell>
        </row>
        <row r="1317">
          <cell r="C1317" t="str">
            <v>Coluna</v>
          </cell>
        </row>
        <row r="1318">
          <cell r="C1318" t="str">
            <v>Combinado</v>
          </cell>
        </row>
        <row r="1319">
          <cell r="C1319" t="str">
            <v>Comendador Gomes</v>
          </cell>
        </row>
        <row r="1320">
          <cell r="C1320" t="str">
            <v>Comendador Levy Gasparian</v>
          </cell>
        </row>
        <row r="1321">
          <cell r="C1321" t="str">
            <v>Comercinho</v>
          </cell>
        </row>
        <row r="1322">
          <cell r="C1322" t="str">
            <v>Comodoro</v>
          </cell>
        </row>
        <row r="1323">
          <cell r="C1323" t="str">
            <v>Conceicao</v>
          </cell>
        </row>
        <row r="1324">
          <cell r="C1324" t="str">
            <v>Conceicao da Aparecida</v>
          </cell>
        </row>
        <row r="1325">
          <cell r="C1325" t="str">
            <v>Conceicao da Barra</v>
          </cell>
        </row>
        <row r="1326">
          <cell r="C1326" t="str">
            <v>Conceicao da Barra de Minas</v>
          </cell>
        </row>
        <row r="1327">
          <cell r="C1327" t="str">
            <v>Conceicao da Feira</v>
          </cell>
        </row>
        <row r="1328">
          <cell r="C1328" t="str">
            <v>Conceicao das Alagoas</v>
          </cell>
        </row>
        <row r="1329">
          <cell r="C1329" t="str">
            <v>Conceicao das Pedras</v>
          </cell>
        </row>
        <row r="1330">
          <cell r="C1330" t="str">
            <v>Conceicao de Ipanema</v>
          </cell>
        </row>
        <row r="1331">
          <cell r="C1331" t="str">
            <v>Conceicao de Macabu</v>
          </cell>
        </row>
        <row r="1332">
          <cell r="C1332" t="str">
            <v>Conceicao do Almeida</v>
          </cell>
        </row>
        <row r="1333">
          <cell r="C1333" t="str">
            <v>Conceicao do Araguaia</v>
          </cell>
        </row>
        <row r="1334">
          <cell r="C1334" t="str">
            <v>Conceicao do Caninde</v>
          </cell>
        </row>
        <row r="1335">
          <cell r="C1335" t="str">
            <v>Conceicao do Castelo</v>
          </cell>
        </row>
        <row r="1336">
          <cell r="C1336" t="str">
            <v>Conceicao do Coite</v>
          </cell>
        </row>
        <row r="1337">
          <cell r="C1337" t="str">
            <v>Conceicao do Jacuipe</v>
          </cell>
        </row>
        <row r="1338">
          <cell r="C1338" t="str">
            <v>Conceicao do Lago-Acu</v>
          </cell>
        </row>
        <row r="1339">
          <cell r="C1339" t="str">
            <v>Conceicao do Mato Dentro</v>
          </cell>
        </row>
        <row r="1340">
          <cell r="C1340" t="str">
            <v>Conceicao do Para</v>
          </cell>
        </row>
        <row r="1341">
          <cell r="C1341" t="str">
            <v>Conceicao do Rio Verde</v>
          </cell>
        </row>
        <row r="1342">
          <cell r="C1342" t="str">
            <v>Conceicao do Tocantins</v>
          </cell>
        </row>
        <row r="1343">
          <cell r="C1343" t="str">
            <v>Conceicao dos Ouros</v>
          </cell>
        </row>
        <row r="1344">
          <cell r="C1344" t="str">
            <v>Conchal</v>
          </cell>
        </row>
        <row r="1345">
          <cell r="C1345" t="str">
            <v>Conchas</v>
          </cell>
        </row>
        <row r="1346">
          <cell r="C1346" t="str">
            <v>Concordia</v>
          </cell>
        </row>
        <row r="1347">
          <cell r="C1347" t="str">
            <v>Concordia do Para</v>
          </cell>
        </row>
        <row r="1348">
          <cell r="C1348" t="str">
            <v>Condado</v>
          </cell>
        </row>
        <row r="1349">
          <cell r="C1349" t="str">
            <v>Condado</v>
          </cell>
        </row>
        <row r="1350">
          <cell r="C1350" t="str">
            <v>Conde</v>
          </cell>
        </row>
        <row r="1351">
          <cell r="C1351" t="str">
            <v>Conde</v>
          </cell>
        </row>
        <row r="1352">
          <cell r="C1352" t="str">
            <v>Condeuba</v>
          </cell>
        </row>
        <row r="1353">
          <cell r="C1353" t="str">
            <v>Condor</v>
          </cell>
        </row>
        <row r="1354">
          <cell r="C1354" t="str">
            <v>Conego Marinho</v>
          </cell>
        </row>
        <row r="1355">
          <cell r="C1355" t="str">
            <v>Confins</v>
          </cell>
        </row>
        <row r="1356">
          <cell r="C1356" t="str">
            <v>Confresa</v>
          </cell>
        </row>
        <row r="1357">
          <cell r="C1357" t="str">
            <v>Congo</v>
          </cell>
        </row>
        <row r="1358">
          <cell r="C1358" t="str">
            <v>Congonhal</v>
          </cell>
        </row>
        <row r="1359">
          <cell r="C1359" t="str">
            <v>Congonhas</v>
          </cell>
        </row>
        <row r="1360">
          <cell r="C1360" t="str">
            <v>Congonhas do Norte</v>
          </cell>
        </row>
        <row r="1361">
          <cell r="C1361" t="str">
            <v>Congonhinhas</v>
          </cell>
        </row>
        <row r="1362">
          <cell r="C1362" t="str">
            <v>Conquista</v>
          </cell>
        </row>
        <row r="1363">
          <cell r="C1363" t="str">
            <v>Conquista D'Oeste</v>
          </cell>
        </row>
        <row r="1364">
          <cell r="C1364" t="str">
            <v>Conselheiro Lafaiete</v>
          </cell>
        </row>
        <row r="1365">
          <cell r="C1365" t="str">
            <v>Conselheiro Mairinck</v>
          </cell>
        </row>
        <row r="1366">
          <cell r="C1366" t="str">
            <v>Conselheiro Pena</v>
          </cell>
        </row>
        <row r="1367">
          <cell r="C1367" t="str">
            <v>Consolacao</v>
          </cell>
        </row>
        <row r="1368">
          <cell r="C1368" t="str">
            <v>Constantina</v>
          </cell>
        </row>
        <row r="1369">
          <cell r="C1369" t="str">
            <v>Contagem</v>
          </cell>
        </row>
        <row r="1370">
          <cell r="C1370" t="str">
            <v>Contenda</v>
          </cell>
        </row>
        <row r="1371">
          <cell r="C1371" t="str">
            <v>Contendas do Sincora</v>
          </cell>
        </row>
        <row r="1372">
          <cell r="C1372" t="str">
            <v>Coqueiral</v>
          </cell>
        </row>
        <row r="1373">
          <cell r="C1373" t="str">
            <v>Coqueiro Baixo</v>
          </cell>
        </row>
        <row r="1374">
          <cell r="C1374" t="str">
            <v>Coqueiro Seco</v>
          </cell>
        </row>
        <row r="1375">
          <cell r="C1375" t="str">
            <v>Coqueiros do Sul</v>
          </cell>
        </row>
        <row r="1376">
          <cell r="C1376" t="str">
            <v>Coracao de Jesus</v>
          </cell>
        </row>
        <row r="1377">
          <cell r="C1377" t="str">
            <v>Coracao de Maria</v>
          </cell>
        </row>
        <row r="1378">
          <cell r="C1378" t="str">
            <v>Corbelia</v>
          </cell>
        </row>
        <row r="1379">
          <cell r="C1379" t="str">
            <v>Cordeiro</v>
          </cell>
        </row>
        <row r="1380">
          <cell r="C1380" t="str">
            <v>Cordeiropolis</v>
          </cell>
        </row>
        <row r="1381">
          <cell r="C1381" t="str">
            <v>Cordeiros</v>
          </cell>
        </row>
        <row r="1382">
          <cell r="C1382" t="str">
            <v>Cordilheira Alta</v>
          </cell>
        </row>
        <row r="1383">
          <cell r="C1383" t="str">
            <v>Cordisburgo</v>
          </cell>
        </row>
        <row r="1384">
          <cell r="C1384" t="str">
            <v>Cordislandia</v>
          </cell>
        </row>
        <row r="1385">
          <cell r="C1385" t="str">
            <v>Coreau</v>
          </cell>
        </row>
        <row r="1386">
          <cell r="C1386" t="str">
            <v>Coremas</v>
          </cell>
        </row>
        <row r="1387">
          <cell r="C1387" t="str">
            <v>Corguinho</v>
          </cell>
        </row>
        <row r="1388">
          <cell r="C1388" t="str">
            <v>Coribe</v>
          </cell>
        </row>
        <row r="1389">
          <cell r="C1389" t="str">
            <v>Corinto</v>
          </cell>
        </row>
        <row r="1390">
          <cell r="C1390" t="str">
            <v>Cornelio Procopio</v>
          </cell>
        </row>
        <row r="1391">
          <cell r="C1391" t="str">
            <v>Coroaci</v>
          </cell>
        </row>
        <row r="1392">
          <cell r="C1392" t="str">
            <v>Coroados</v>
          </cell>
        </row>
        <row r="1393">
          <cell r="C1393" t="str">
            <v>Coroata</v>
          </cell>
        </row>
        <row r="1394">
          <cell r="C1394" t="str">
            <v>Coromandel</v>
          </cell>
        </row>
        <row r="1395">
          <cell r="C1395" t="str">
            <v>Coronel Barros</v>
          </cell>
        </row>
        <row r="1396">
          <cell r="C1396" t="str">
            <v>Coronel Bicaco</v>
          </cell>
        </row>
        <row r="1397">
          <cell r="C1397" t="str">
            <v>Coronel Domingos Soares</v>
          </cell>
        </row>
        <row r="1398">
          <cell r="C1398" t="str">
            <v>Coronel Ezequiel</v>
          </cell>
        </row>
        <row r="1399">
          <cell r="C1399" t="str">
            <v>Coronel Fabriciano</v>
          </cell>
        </row>
        <row r="1400">
          <cell r="C1400" t="str">
            <v>Coronel Freitas</v>
          </cell>
        </row>
        <row r="1401">
          <cell r="C1401" t="str">
            <v>Coronel Joao Pessoa</v>
          </cell>
        </row>
        <row r="1402">
          <cell r="C1402" t="str">
            <v>Coronel Joao Sa</v>
          </cell>
        </row>
        <row r="1403">
          <cell r="C1403" t="str">
            <v>Coronel Jose Dias</v>
          </cell>
        </row>
        <row r="1404">
          <cell r="C1404" t="str">
            <v>Coronel Macedo</v>
          </cell>
        </row>
        <row r="1405">
          <cell r="C1405" t="str">
            <v>Coronel Martins</v>
          </cell>
        </row>
        <row r="1406">
          <cell r="C1406" t="str">
            <v>Coronel Murta</v>
          </cell>
        </row>
        <row r="1407">
          <cell r="C1407" t="str">
            <v>Coronel Pacheco</v>
          </cell>
        </row>
        <row r="1408">
          <cell r="C1408" t="str">
            <v>Coronel Pilar</v>
          </cell>
        </row>
        <row r="1409">
          <cell r="C1409" t="str">
            <v>Coronel Sapucaia</v>
          </cell>
        </row>
        <row r="1410">
          <cell r="C1410" t="str">
            <v>Coronel Vivida</v>
          </cell>
        </row>
        <row r="1411">
          <cell r="C1411" t="str">
            <v>Coronel Xavier Chaves</v>
          </cell>
        </row>
        <row r="1412">
          <cell r="C1412" t="str">
            <v>Corrego Danta</v>
          </cell>
        </row>
        <row r="1413">
          <cell r="C1413" t="str">
            <v>Corrego do Bom Jesus</v>
          </cell>
        </row>
        <row r="1414">
          <cell r="C1414" t="str">
            <v>Corrego do Ouro</v>
          </cell>
        </row>
        <row r="1415">
          <cell r="C1415" t="str">
            <v>Corrego Fundo</v>
          </cell>
        </row>
        <row r="1416">
          <cell r="C1416" t="str">
            <v>Corrego Novo</v>
          </cell>
        </row>
        <row r="1417">
          <cell r="C1417" t="str">
            <v>Correia Pinto</v>
          </cell>
        </row>
        <row r="1418">
          <cell r="C1418" t="str">
            <v>Corrente</v>
          </cell>
        </row>
        <row r="1419">
          <cell r="C1419" t="str">
            <v>Correntes</v>
          </cell>
        </row>
        <row r="1420">
          <cell r="C1420" t="str">
            <v>Correntina</v>
          </cell>
        </row>
        <row r="1421">
          <cell r="C1421" t="str">
            <v>Cortes</v>
          </cell>
        </row>
        <row r="1422">
          <cell r="C1422" t="str">
            <v>Corumba</v>
          </cell>
        </row>
        <row r="1423">
          <cell r="C1423" t="str">
            <v>Corumba de Goias</v>
          </cell>
        </row>
        <row r="1424">
          <cell r="C1424" t="str">
            <v>Corumbaiba</v>
          </cell>
        </row>
        <row r="1425">
          <cell r="C1425" t="str">
            <v>Corumbatai</v>
          </cell>
        </row>
        <row r="1426">
          <cell r="C1426" t="str">
            <v>Corumbatai do Sul</v>
          </cell>
        </row>
        <row r="1427">
          <cell r="C1427" t="str">
            <v>Corumbiara</v>
          </cell>
        </row>
        <row r="1428">
          <cell r="C1428" t="str">
            <v>Corupa</v>
          </cell>
        </row>
        <row r="1429">
          <cell r="C1429" t="str">
            <v>Coruripe</v>
          </cell>
        </row>
        <row r="1430">
          <cell r="C1430" t="str">
            <v>Cosmopolis</v>
          </cell>
        </row>
        <row r="1431">
          <cell r="C1431" t="str">
            <v>Cosmorama</v>
          </cell>
        </row>
        <row r="1432">
          <cell r="C1432" t="str">
            <v>Costa Marques</v>
          </cell>
        </row>
        <row r="1433">
          <cell r="C1433" t="str">
            <v>Costa Rica</v>
          </cell>
        </row>
        <row r="1434">
          <cell r="C1434" t="str">
            <v>Cotegipe</v>
          </cell>
        </row>
        <row r="1435">
          <cell r="C1435" t="str">
            <v>Cotia</v>
          </cell>
        </row>
        <row r="1436">
          <cell r="C1436" t="str">
            <v>Cotipora</v>
          </cell>
        </row>
        <row r="1437">
          <cell r="C1437" t="str">
            <v>Cotriguacu</v>
          </cell>
        </row>
        <row r="1438">
          <cell r="C1438" t="str">
            <v>Couto de Magalhaes</v>
          </cell>
        </row>
        <row r="1439">
          <cell r="C1439" t="str">
            <v>Couto de Magalhaes de Minas</v>
          </cell>
        </row>
        <row r="1440">
          <cell r="C1440" t="str">
            <v>Coxilha</v>
          </cell>
        </row>
        <row r="1441">
          <cell r="C1441" t="str">
            <v>Coxim</v>
          </cell>
        </row>
        <row r="1442">
          <cell r="C1442" t="str">
            <v>Coxixola</v>
          </cell>
        </row>
        <row r="1443">
          <cell r="C1443" t="str">
            <v>Craibas</v>
          </cell>
        </row>
        <row r="1444">
          <cell r="C1444" t="str">
            <v>Crateus</v>
          </cell>
        </row>
        <row r="1445">
          <cell r="C1445" t="str">
            <v>Crato</v>
          </cell>
        </row>
        <row r="1446">
          <cell r="C1446" t="str">
            <v>Cravinhos</v>
          </cell>
        </row>
        <row r="1447">
          <cell r="C1447" t="str">
            <v>Cravolandia</v>
          </cell>
        </row>
        <row r="1448">
          <cell r="C1448" t="str">
            <v>Criciuma</v>
          </cell>
        </row>
        <row r="1449">
          <cell r="C1449" t="str">
            <v>Crisolita</v>
          </cell>
        </row>
        <row r="1450">
          <cell r="C1450" t="str">
            <v>Crisopolis</v>
          </cell>
        </row>
        <row r="1451">
          <cell r="C1451" t="str">
            <v>Crissiumal</v>
          </cell>
        </row>
        <row r="1452">
          <cell r="C1452" t="str">
            <v>Cristais</v>
          </cell>
        </row>
        <row r="1453">
          <cell r="C1453" t="str">
            <v>Cristais Paulista</v>
          </cell>
        </row>
        <row r="1454">
          <cell r="C1454" t="str">
            <v>Cristal</v>
          </cell>
        </row>
        <row r="1455">
          <cell r="C1455" t="str">
            <v>Cristal do Sul</v>
          </cell>
        </row>
        <row r="1456">
          <cell r="C1456" t="str">
            <v>Cristalandia</v>
          </cell>
        </row>
        <row r="1457">
          <cell r="C1457" t="str">
            <v>Cristalandia do Piaui</v>
          </cell>
        </row>
        <row r="1458">
          <cell r="C1458" t="str">
            <v>Cristalia</v>
          </cell>
        </row>
        <row r="1459">
          <cell r="C1459" t="str">
            <v>Cristalina</v>
          </cell>
        </row>
        <row r="1460">
          <cell r="C1460" t="str">
            <v>Cristiano Otoni</v>
          </cell>
        </row>
        <row r="1461">
          <cell r="C1461" t="str">
            <v>Cristianopolis</v>
          </cell>
        </row>
        <row r="1462">
          <cell r="C1462" t="str">
            <v>Cristina</v>
          </cell>
        </row>
        <row r="1463">
          <cell r="C1463" t="str">
            <v>Cristinapolis</v>
          </cell>
        </row>
        <row r="1464">
          <cell r="C1464" t="str">
            <v>Cristino Castro</v>
          </cell>
        </row>
        <row r="1465">
          <cell r="C1465" t="str">
            <v>Cristopolis</v>
          </cell>
        </row>
        <row r="1466">
          <cell r="C1466" t="str">
            <v>Crixas</v>
          </cell>
        </row>
        <row r="1467">
          <cell r="C1467" t="str">
            <v>Crixas do Tocantins</v>
          </cell>
        </row>
        <row r="1468">
          <cell r="C1468" t="str">
            <v>Croata</v>
          </cell>
        </row>
        <row r="1469">
          <cell r="C1469" t="str">
            <v>Crominia</v>
          </cell>
        </row>
        <row r="1470">
          <cell r="C1470" t="str">
            <v>Crucilandia</v>
          </cell>
        </row>
        <row r="1471">
          <cell r="C1471" t="str">
            <v>Cruz</v>
          </cell>
        </row>
        <row r="1472">
          <cell r="C1472" t="str">
            <v>Cruz Alta</v>
          </cell>
        </row>
        <row r="1473">
          <cell r="C1473" t="str">
            <v>Cruz das Almas</v>
          </cell>
        </row>
        <row r="1474">
          <cell r="C1474" t="str">
            <v>Cruz do Espirito Santo</v>
          </cell>
        </row>
        <row r="1475">
          <cell r="C1475" t="str">
            <v>Cruz Machado</v>
          </cell>
        </row>
        <row r="1476">
          <cell r="C1476" t="str">
            <v>Cruzalia</v>
          </cell>
        </row>
        <row r="1477">
          <cell r="C1477" t="str">
            <v>Cruzaltense</v>
          </cell>
        </row>
        <row r="1478">
          <cell r="C1478" t="str">
            <v>Cruzeiro</v>
          </cell>
        </row>
        <row r="1479">
          <cell r="C1479" t="str">
            <v>Cruzeiro da Fortaleza</v>
          </cell>
        </row>
        <row r="1480">
          <cell r="C1480" t="str">
            <v>Cruzeiro do Iguacu</v>
          </cell>
        </row>
        <row r="1481">
          <cell r="C1481" t="str">
            <v>Cruzeiro do Oeste</v>
          </cell>
        </row>
        <row r="1482">
          <cell r="C1482" t="str">
            <v>Cruzeiro do Sul</v>
          </cell>
        </row>
        <row r="1483">
          <cell r="C1483" t="str">
            <v>Cruzeiro do Sul</v>
          </cell>
        </row>
        <row r="1484">
          <cell r="C1484" t="str">
            <v>Cruzeiro do Sul</v>
          </cell>
        </row>
        <row r="1485">
          <cell r="C1485" t="str">
            <v>Cruzeta</v>
          </cell>
        </row>
        <row r="1486">
          <cell r="C1486" t="str">
            <v>Cruzilia</v>
          </cell>
        </row>
        <row r="1487">
          <cell r="C1487" t="str">
            <v>Cruzmaltina</v>
          </cell>
        </row>
        <row r="1488">
          <cell r="C1488" t="str">
            <v>Cubatao</v>
          </cell>
        </row>
        <row r="1489">
          <cell r="C1489" t="str">
            <v>Cubati</v>
          </cell>
        </row>
        <row r="1490">
          <cell r="C1490" t="str">
            <v>Cuiaba</v>
          </cell>
        </row>
        <row r="1491">
          <cell r="C1491" t="str">
            <v>Cuite</v>
          </cell>
        </row>
        <row r="1492">
          <cell r="C1492" t="str">
            <v>Cuite de Mamanguape</v>
          </cell>
        </row>
        <row r="1493">
          <cell r="C1493" t="str">
            <v>Cuitegi</v>
          </cell>
        </row>
        <row r="1494">
          <cell r="C1494" t="str">
            <v>Cujubim</v>
          </cell>
        </row>
        <row r="1495">
          <cell r="C1495" t="str">
            <v>Cumari</v>
          </cell>
        </row>
        <row r="1496">
          <cell r="C1496" t="str">
            <v>Cumaru</v>
          </cell>
        </row>
        <row r="1497">
          <cell r="C1497" t="str">
            <v>Cumaru do Norte</v>
          </cell>
        </row>
        <row r="1498">
          <cell r="C1498" t="str">
            <v>Cumbe</v>
          </cell>
        </row>
        <row r="1499">
          <cell r="C1499" t="str">
            <v>Cunha</v>
          </cell>
        </row>
        <row r="1500">
          <cell r="C1500" t="str">
            <v>Cunha Pora</v>
          </cell>
        </row>
        <row r="1501">
          <cell r="C1501" t="str">
            <v>Cunhatai</v>
          </cell>
        </row>
        <row r="1502">
          <cell r="C1502" t="str">
            <v>Cuparaque</v>
          </cell>
        </row>
        <row r="1503">
          <cell r="C1503" t="str">
            <v>Cupira</v>
          </cell>
        </row>
        <row r="1504">
          <cell r="C1504" t="str">
            <v>Curaca</v>
          </cell>
        </row>
        <row r="1505">
          <cell r="C1505" t="str">
            <v>Curimata</v>
          </cell>
        </row>
        <row r="1506">
          <cell r="C1506" t="str">
            <v>Curionopolis</v>
          </cell>
        </row>
        <row r="1507">
          <cell r="C1507" t="str">
            <v>Curitiba</v>
          </cell>
        </row>
        <row r="1508">
          <cell r="C1508" t="str">
            <v>Curitibanos</v>
          </cell>
        </row>
        <row r="1509">
          <cell r="C1509" t="str">
            <v>Curiuva</v>
          </cell>
        </row>
        <row r="1510">
          <cell r="C1510" t="str">
            <v>Currais</v>
          </cell>
        </row>
        <row r="1511">
          <cell r="C1511" t="str">
            <v>Currais Novos</v>
          </cell>
        </row>
        <row r="1512">
          <cell r="C1512" t="str">
            <v>Curral de Cima</v>
          </cell>
        </row>
        <row r="1513">
          <cell r="C1513" t="str">
            <v>Curral de Dentro</v>
          </cell>
        </row>
        <row r="1514">
          <cell r="C1514" t="str">
            <v>Curral Novo do Piaui</v>
          </cell>
        </row>
        <row r="1515">
          <cell r="C1515" t="str">
            <v>Curral Velho</v>
          </cell>
        </row>
        <row r="1516">
          <cell r="C1516" t="str">
            <v>Curralinho</v>
          </cell>
        </row>
        <row r="1517">
          <cell r="C1517" t="str">
            <v>Curralinhos</v>
          </cell>
        </row>
        <row r="1518">
          <cell r="C1518" t="str">
            <v>Curua</v>
          </cell>
        </row>
        <row r="1519">
          <cell r="C1519" t="str">
            <v>Curuca</v>
          </cell>
        </row>
        <row r="1520">
          <cell r="C1520" t="str">
            <v>Cururupu</v>
          </cell>
        </row>
        <row r="1521">
          <cell r="C1521" t="str">
            <v>Curvelandia</v>
          </cell>
        </row>
        <row r="1522">
          <cell r="C1522" t="str">
            <v>Curvelo</v>
          </cell>
        </row>
        <row r="1523">
          <cell r="C1523" t="str">
            <v>Custodia</v>
          </cell>
        </row>
        <row r="1524">
          <cell r="C1524" t="str">
            <v>Cutias</v>
          </cell>
        </row>
        <row r="1525">
          <cell r="C1525" t="str">
            <v>Damianopolis</v>
          </cell>
        </row>
        <row r="1526">
          <cell r="C1526" t="str">
            <v>Damiao</v>
          </cell>
        </row>
        <row r="1527">
          <cell r="C1527" t="str">
            <v>Damolandia</v>
          </cell>
        </row>
        <row r="1528">
          <cell r="C1528" t="str">
            <v>Darcinopolis</v>
          </cell>
        </row>
        <row r="1529">
          <cell r="C1529" t="str">
            <v>Dario Meira</v>
          </cell>
        </row>
        <row r="1530">
          <cell r="C1530" t="str">
            <v>Datas</v>
          </cell>
        </row>
        <row r="1531">
          <cell r="C1531" t="str">
            <v>David Canabarro</v>
          </cell>
        </row>
        <row r="1532">
          <cell r="C1532" t="str">
            <v>Davinopolis</v>
          </cell>
        </row>
        <row r="1533">
          <cell r="C1533" t="str">
            <v>Davinopolis</v>
          </cell>
        </row>
        <row r="1534">
          <cell r="C1534" t="str">
            <v>Delfim Moreira</v>
          </cell>
        </row>
        <row r="1535">
          <cell r="C1535" t="str">
            <v>Delfinopolis</v>
          </cell>
        </row>
        <row r="1536">
          <cell r="C1536" t="str">
            <v>Delmiro Gouveia</v>
          </cell>
        </row>
        <row r="1537">
          <cell r="C1537" t="str">
            <v>Delta</v>
          </cell>
        </row>
        <row r="1538">
          <cell r="C1538" t="str">
            <v>Demerval Lobao</v>
          </cell>
        </row>
        <row r="1539">
          <cell r="C1539" t="str">
            <v>Denise</v>
          </cell>
        </row>
        <row r="1540">
          <cell r="C1540" t="str">
            <v>Deodapolis</v>
          </cell>
        </row>
        <row r="1541">
          <cell r="C1541" t="str">
            <v>Deputado Irapuan Pinheiro</v>
          </cell>
        </row>
        <row r="1542">
          <cell r="C1542" t="str">
            <v>Derrubadas</v>
          </cell>
        </row>
        <row r="1543">
          <cell r="C1543" t="str">
            <v>Descalvado</v>
          </cell>
        </row>
        <row r="1544">
          <cell r="C1544" t="str">
            <v>Descanso</v>
          </cell>
        </row>
        <row r="1545">
          <cell r="C1545" t="str">
            <v>Descoberto</v>
          </cell>
        </row>
        <row r="1546">
          <cell r="C1546" t="str">
            <v>Desterro</v>
          </cell>
        </row>
        <row r="1547">
          <cell r="C1547" t="str">
            <v>Desterro de Entre Rios</v>
          </cell>
        </row>
        <row r="1548">
          <cell r="C1548" t="str">
            <v>Desterro do Melo</v>
          </cell>
        </row>
        <row r="1549">
          <cell r="C1549" t="str">
            <v>Dezesseis de Novembro</v>
          </cell>
        </row>
        <row r="1550">
          <cell r="C1550" t="str">
            <v>Diadema</v>
          </cell>
        </row>
        <row r="1551">
          <cell r="C1551" t="str">
            <v>Diamante</v>
          </cell>
        </row>
        <row r="1552">
          <cell r="C1552" t="str">
            <v>Diamante do Norte</v>
          </cell>
        </row>
        <row r="1553">
          <cell r="C1553" t="str">
            <v>Diamante do Sul</v>
          </cell>
        </row>
        <row r="1554">
          <cell r="C1554" t="str">
            <v>Diamante D'Oeste</v>
          </cell>
        </row>
        <row r="1555">
          <cell r="C1555" t="str">
            <v>Diamantina</v>
          </cell>
        </row>
        <row r="1556">
          <cell r="C1556" t="str">
            <v>Diamantino</v>
          </cell>
        </row>
        <row r="1557">
          <cell r="C1557" t="str">
            <v>Dianopolis</v>
          </cell>
        </row>
        <row r="1558">
          <cell r="C1558" t="str">
            <v>Dias d'avila</v>
          </cell>
        </row>
        <row r="1559">
          <cell r="C1559" t="str">
            <v>Dilermando de Aguiar</v>
          </cell>
        </row>
        <row r="1560">
          <cell r="C1560" t="str">
            <v>Diogo de Vasconcelos</v>
          </cell>
        </row>
        <row r="1561">
          <cell r="C1561" t="str">
            <v>Dionisio</v>
          </cell>
        </row>
        <row r="1562">
          <cell r="C1562" t="str">
            <v>Dionisio Cerqueira</v>
          </cell>
        </row>
        <row r="1563">
          <cell r="C1563" t="str">
            <v>Diorama</v>
          </cell>
        </row>
        <row r="1564">
          <cell r="C1564" t="str">
            <v>Dirce Reis</v>
          </cell>
        </row>
        <row r="1565">
          <cell r="C1565" t="str">
            <v>Dirceu Arcoverde</v>
          </cell>
        </row>
        <row r="1566">
          <cell r="C1566" t="str">
            <v>Divina Pastora</v>
          </cell>
        </row>
        <row r="1567">
          <cell r="C1567" t="str">
            <v>Divinesia</v>
          </cell>
        </row>
        <row r="1568">
          <cell r="C1568" t="str">
            <v>Divino</v>
          </cell>
        </row>
        <row r="1569">
          <cell r="C1569" t="str">
            <v>Divino das Laranjeiras</v>
          </cell>
        </row>
        <row r="1570">
          <cell r="C1570" t="str">
            <v>Divino de Sao Lourenco</v>
          </cell>
        </row>
        <row r="1571">
          <cell r="C1571" t="str">
            <v>Divinolandia</v>
          </cell>
        </row>
        <row r="1572">
          <cell r="C1572" t="str">
            <v>Divinolandia de Minas</v>
          </cell>
        </row>
        <row r="1573">
          <cell r="C1573" t="str">
            <v>Divinopolis</v>
          </cell>
        </row>
        <row r="1574">
          <cell r="C1574" t="str">
            <v>Divinopolis de Goias</v>
          </cell>
        </row>
        <row r="1575">
          <cell r="C1575" t="str">
            <v>Divinopolis do Tocantins</v>
          </cell>
        </row>
        <row r="1576">
          <cell r="C1576" t="str">
            <v>Divisa Alegre</v>
          </cell>
        </row>
        <row r="1577">
          <cell r="C1577" t="str">
            <v>Divisa Nova</v>
          </cell>
        </row>
        <row r="1578">
          <cell r="C1578" t="str">
            <v>Divisopolis</v>
          </cell>
        </row>
        <row r="1579">
          <cell r="C1579" t="str">
            <v>Dobrada</v>
          </cell>
        </row>
        <row r="1580">
          <cell r="C1580" t="str">
            <v>Dois Corregos</v>
          </cell>
        </row>
        <row r="1581">
          <cell r="C1581" t="str">
            <v>Dois Irmaos</v>
          </cell>
        </row>
        <row r="1582">
          <cell r="C1582" t="str">
            <v>Dois Irmaos das Missoes</v>
          </cell>
        </row>
        <row r="1583">
          <cell r="C1583" t="str">
            <v>Dois Irmaos do Buriti</v>
          </cell>
        </row>
        <row r="1584">
          <cell r="C1584" t="str">
            <v>Dois Irmaos do Tocantins</v>
          </cell>
        </row>
        <row r="1585">
          <cell r="C1585" t="str">
            <v>Dois Lajeados</v>
          </cell>
        </row>
        <row r="1586">
          <cell r="C1586" t="str">
            <v>Dois Riachos</v>
          </cell>
        </row>
        <row r="1587">
          <cell r="C1587" t="str">
            <v>Dois Vizinhos</v>
          </cell>
        </row>
        <row r="1588">
          <cell r="C1588" t="str">
            <v>Dolcinopolis</v>
          </cell>
        </row>
        <row r="1589">
          <cell r="C1589" t="str">
            <v>Dom Aquino</v>
          </cell>
        </row>
        <row r="1590">
          <cell r="C1590" t="str">
            <v>Dom Basilio</v>
          </cell>
        </row>
        <row r="1591">
          <cell r="C1591" t="str">
            <v>Dom Bosco</v>
          </cell>
        </row>
        <row r="1592">
          <cell r="C1592" t="str">
            <v>Dom Cavati</v>
          </cell>
        </row>
        <row r="1593">
          <cell r="C1593" t="str">
            <v>Dom Eliseu</v>
          </cell>
        </row>
        <row r="1594">
          <cell r="C1594" t="str">
            <v>Dom Expedito Lopes</v>
          </cell>
        </row>
        <row r="1595">
          <cell r="C1595" t="str">
            <v>Dom Feliciano</v>
          </cell>
        </row>
        <row r="1596">
          <cell r="C1596" t="str">
            <v>Dom Inocencio</v>
          </cell>
        </row>
        <row r="1597">
          <cell r="C1597" t="str">
            <v>Dom Joaquim</v>
          </cell>
        </row>
        <row r="1598">
          <cell r="C1598" t="str">
            <v>Dom Macedo Costa</v>
          </cell>
        </row>
        <row r="1599">
          <cell r="C1599" t="str">
            <v>Dom Pedrito</v>
          </cell>
        </row>
        <row r="1600">
          <cell r="C1600" t="str">
            <v>Dom Pedro</v>
          </cell>
        </row>
        <row r="1601">
          <cell r="C1601" t="str">
            <v>Dom Pedro de Alcantara</v>
          </cell>
        </row>
        <row r="1602">
          <cell r="C1602" t="str">
            <v>Dom Silverio</v>
          </cell>
        </row>
        <row r="1603">
          <cell r="C1603" t="str">
            <v>Dom Vicoso</v>
          </cell>
        </row>
        <row r="1604">
          <cell r="C1604" t="str">
            <v>Domingos Martins</v>
          </cell>
        </row>
        <row r="1605">
          <cell r="C1605" t="str">
            <v>Domingos Mourao</v>
          </cell>
        </row>
        <row r="1606">
          <cell r="C1606" t="str">
            <v>Dona Emma</v>
          </cell>
        </row>
        <row r="1607">
          <cell r="C1607" t="str">
            <v>Dona Eusebia</v>
          </cell>
        </row>
        <row r="1608">
          <cell r="C1608" t="str">
            <v>Dona Francisca</v>
          </cell>
        </row>
        <row r="1609">
          <cell r="C1609" t="str">
            <v>Dona Ines</v>
          </cell>
        </row>
        <row r="1610">
          <cell r="C1610" t="str">
            <v>Dores de Campos</v>
          </cell>
        </row>
        <row r="1611">
          <cell r="C1611" t="str">
            <v>Dores de Guanhaes</v>
          </cell>
        </row>
        <row r="1612">
          <cell r="C1612" t="str">
            <v>Dores do Indaia</v>
          </cell>
        </row>
        <row r="1613">
          <cell r="C1613" t="str">
            <v>Dores do Rio Preto</v>
          </cell>
        </row>
        <row r="1614">
          <cell r="C1614" t="str">
            <v>Dores do Turvo</v>
          </cell>
        </row>
        <row r="1615">
          <cell r="C1615" t="str">
            <v>Doresopolis</v>
          </cell>
        </row>
        <row r="1616">
          <cell r="C1616" t="str">
            <v>Dormentes</v>
          </cell>
        </row>
        <row r="1617">
          <cell r="C1617" t="str">
            <v>Douradina</v>
          </cell>
        </row>
        <row r="1618">
          <cell r="C1618" t="str">
            <v>Douradina</v>
          </cell>
        </row>
        <row r="1619">
          <cell r="C1619" t="str">
            <v>Dourado</v>
          </cell>
        </row>
        <row r="1620">
          <cell r="C1620" t="str">
            <v>Douradoquara</v>
          </cell>
        </row>
        <row r="1621">
          <cell r="C1621" t="str">
            <v>Dourados</v>
          </cell>
        </row>
        <row r="1622">
          <cell r="C1622" t="str">
            <v>Doutor Camargo</v>
          </cell>
        </row>
        <row r="1623">
          <cell r="C1623" t="str">
            <v>Doutor Mauricio Cardoso</v>
          </cell>
        </row>
        <row r="1624">
          <cell r="C1624" t="str">
            <v>Doutor Pedrinho</v>
          </cell>
        </row>
        <row r="1625">
          <cell r="C1625" t="str">
            <v>Doutor Ricardo</v>
          </cell>
        </row>
        <row r="1626">
          <cell r="C1626" t="str">
            <v>Doutor Severiano</v>
          </cell>
        </row>
        <row r="1627">
          <cell r="C1627" t="str">
            <v>Doutor Ulysses</v>
          </cell>
        </row>
        <row r="1628">
          <cell r="C1628" t="str">
            <v>Doverlandia</v>
          </cell>
        </row>
        <row r="1629">
          <cell r="C1629" t="str">
            <v>Dracena</v>
          </cell>
        </row>
        <row r="1630">
          <cell r="C1630" t="str">
            <v>Duartina</v>
          </cell>
        </row>
        <row r="1631">
          <cell r="C1631" t="str">
            <v>Duas Barras</v>
          </cell>
        </row>
        <row r="1632">
          <cell r="C1632" t="str">
            <v>Duas Estradas</v>
          </cell>
        </row>
        <row r="1633">
          <cell r="C1633" t="str">
            <v>Duere</v>
          </cell>
        </row>
        <row r="1634">
          <cell r="C1634" t="str">
            <v>Dumont</v>
          </cell>
        </row>
        <row r="1635">
          <cell r="C1635" t="str">
            <v>Duque Bacelar</v>
          </cell>
        </row>
        <row r="1636">
          <cell r="C1636" t="str">
            <v>Duque de Caxias</v>
          </cell>
        </row>
        <row r="1637">
          <cell r="C1637" t="str">
            <v>Durande</v>
          </cell>
        </row>
        <row r="1638">
          <cell r="C1638" t="str">
            <v>Echapora</v>
          </cell>
        </row>
        <row r="1639">
          <cell r="C1639" t="str">
            <v>Ecoporanga</v>
          </cell>
        </row>
        <row r="1640">
          <cell r="C1640" t="str">
            <v>Edealina</v>
          </cell>
        </row>
        <row r="1641">
          <cell r="C1641" t="str">
            <v>Edeia</v>
          </cell>
        </row>
        <row r="1642">
          <cell r="C1642" t="str">
            <v>Eirunepe</v>
          </cell>
        </row>
        <row r="1643">
          <cell r="C1643" t="str">
            <v>Eldorado</v>
          </cell>
        </row>
        <row r="1644">
          <cell r="C1644" t="str">
            <v>Eldorado</v>
          </cell>
        </row>
        <row r="1645">
          <cell r="C1645" t="str">
            <v>Eldorado do Sul</v>
          </cell>
        </row>
        <row r="1646">
          <cell r="C1646" t="str">
            <v>Eldorado dos Carajas</v>
          </cell>
        </row>
        <row r="1647">
          <cell r="C1647" t="str">
            <v>Elesbao Veloso</v>
          </cell>
        </row>
        <row r="1648">
          <cell r="C1648" t="str">
            <v>Elias Fausto</v>
          </cell>
        </row>
        <row r="1649">
          <cell r="C1649" t="str">
            <v>Eliseu Martins</v>
          </cell>
        </row>
        <row r="1650">
          <cell r="C1650" t="str">
            <v>Elisiario</v>
          </cell>
        </row>
        <row r="1651">
          <cell r="C1651" t="str">
            <v>Elisio Medrado</v>
          </cell>
        </row>
        <row r="1652">
          <cell r="C1652" t="str">
            <v>Eloi Mendes</v>
          </cell>
        </row>
        <row r="1653">
          <cell r="C1653" t="str">
            <v>Emas</v>
          </cell>
        </row>
        <row r="1654">
          <cell r="C1654" t="str">
            <v>Embauba</v>
          </cell>
        </row>
        <row r="1655">
          <cell r="C1655" t="str">
            <v>Embu</v>
          </cell>
        </row>
        <row r="1656">
          <cell r="C1656" t="str">
            <v>Embu-Guacu</v>
          </cell>
        </row>
        <row r="1657">
          <cell r="C1657" t="str">
            <v>Emilianopolis</v>
          </cell>
        </row>
        <row r="1658">
          <cell r="C1658" t="str">
            <v>Encantado</v>
          </cell>
        </row>
        <row r="1659">
          <cell r="C1659" t="str">
            <v>Encanto</v>
          </cell>
        </row>
        <row r="1660">
          <cell r="C1660" t="str">
            <v>Encruzilhada</v>
          </cell>
        </row>
        <row r="1661">
          <cell r="C1661" t="str">
            <v>Encruzilhada do Sul</v>
          </cell>
        </row>
        <row r="1662">
          <cell r="C1662" t="str">
            <v>Eneas Marques</v>
          </cell>
        </row>
        <row r="1663">
          <cell r="C1663" t="str">
            <v>Engenheiro Beltrao</v>
          </cell>
        </row>
        <row r="1664">
          <cell r="C1664" t="str">
            <v>Engenheiro Caldas</v>
          </cell>
        </row>
        <row r="1665">
          <cell r="C1665" t="str">
            <v>Engenheiro Coelho</v>
          </cell>
        </row>
        <row r="1666">
          <cell r="C1666" t="str">
            <v>Engenheiro Navarro</v>
          </cell>
        </row>
        <row r="1667">
          <cell r="C1667" t="str">
            <v>Engenheiro Paulo de Frontin</v>
          </cell>
        </row>
        <row r="1668">
          <cell r="C1668" t="str">
            <v>Engenho Velho</v>
          </cell>
        </row>
        <row r="1669">
          <cell r="C1669" t="str">
            <v>Entre Folhas</v>
          </cell>
        </row>
        <row r="1670">
          <cell r="C1670" t="str">
            <v>Entre Rios</v>
          </cell>
        </row>
        <row r="1671">
          <cell r="C1671" t="str">
            <v>Entre Rios</v>
          </cell>
        </row>
        <row r="1672">
          <cell r="C1672" t="str">
            <v>Entre Rios de Minas</v>
          </cell>
        </row>
        <row r="1673">
          <cell r="C1673" t="str">
            <v>Entre Rios do Oeste</v>
          </cell>
        </row>
        <row r="1674">
          <cell r="C1674" t="str">
            <v>Entre Rios do Sul</v>
          </cell>
        </row>
        <row r="1675">
          <cell r="C1675" t="str">
            <v>Entre-Ijuis</v>
          </cell>
        </row>
        <row r="1676">
          <cell r="C1676" t="str">
            <v>Envira</v>
          </cell>
        </row>
        <row r="1677">
          <cell r="C1677" t="str">
            <v>Epitaciolandia</v>
          </cell>
        </row>
        <row r="1678">
          <cell r="C1678" t="str">
            <v>Equador</v>
          </cell>
        </row>
        <row r="1679">
          <cell r="C1679" t="str">
            <v>Erebango</v>
          </cell>
        </row>
        <row r="1680">
          <cell r="C1680" t="str">
            <v>Erechim</v>
          </cell>
        </row>
        <row r="1681">
          <cell r="C1681" t="str">
            <v>Erere</v>
          </cell>
        </row>
        <row r="1682">
          <cell r="C1682" t="str">
            <v>erico Cardoso</v>
          </cell>
        </row>
        <row r="1683">
          <cell r="C1683" t="str">
            <v>Ermo</v>
          </cell>
        </row>
        <row r="1684">
          <cell r="C1684" t="str">
            <v>Ernestina</v>
          </cell>
        </row>
        <row r="1685">
          <cell r="C1685" t="str">
            <v>Erval Grande</v>
          </cell>
        </row>
        <row r="1686">
          <cell r="C1686" t="str">
            <v>Erval Seco</v>
          </cell>
        </row>
        <row r="1687">
          <cell r="C1687" t="str">
            <v>Erval Velho</v>
          </cell>
        </row>
        <row r="1688">
          <cell r="C1688" t="str">
            <v>Ervalia</v>
          </cell>
        </row>
        <row r="1689">
          <cell r="C1689" t="str">
            <v>Escada</v>
          </cell>
        </row>
        <row r="1690">
          <cell r="C1690" t="str">
            <v>Esmeralda</v>
          </cell>
        </row>
        <row r="1691">
          <cell r="C1691" t="str">
            <v>Esmeraldas</v>
          </cell>
        </row>
        <row r="1692">
          <cell r="C1692" t="str">
            <v>Espera Feliz</v>
          </cell>
        </row>
        <row r="1693">
          <cell r="C1693" t="str">
            <v>Esperanca</v>
          </cell>
        </row>
        <row r="1694">
          <cell r="C1694" t="str">
            <v>Esperanca do Sul</v>
          </cell>
        </row>
        <row r="1695">
          <cell r="C1695" t="str">
            <v>Esperanca Nova</v>
          </cell>
        </row>
        <row r="1696">
          <cell r="C1696" t="str">
            <v>Esperantina</v>
          </cell>
        </row>
        <row r="1697">
          <cell r="C1697" t="str">
            <v>Esperantina</v>
          </cell>
        </row>
        <row r="1698">
          <cell r="C1698" t="str">
            <v>Esperantinopolis</v>
          </cell>
        </row>
        <row r="1699">
          <cell r="C1699" t="str">
            <v>Espigao Alto do Iguacu</v>
          </cell>
        </row>
        <row r="1700">
          <cell r="C1700" t="str">
            <v>Espigao D'Oeste</v>
          </cell>
        </row>
        <row r="1701">
          <cell r="C1701" t="str">
            <v>Espinosa</v>
          </cell>
        </row>
        <row r="1702">
          <cell r="C1702" t="str">
            <v>Espirito Santo</v>
          </cell>
        </row>
        <row r="1703">
          <cell r="C1703" t="str">
            <v>Espirito Santo do Dourado</v>
          </cell>
        </row>
        <row r="1704">
          <cell r="C1704" t="str">
            <v>Espirito Santo do Pinhal</v>
          </cell>
        </row>
        <row r="1705">
          <cell r="C1705" t="str">
            <v>Espirito Santo do Turvo</v>
          </cell>
        </row>
        <row r="1706">
          <cell r="C1706" t="str">
            <v>Esplanada</v>
          </cell>
        </row>
        <row r="1707">
          <cell r="C1707" t="str">
            <v>Espumoso</v>
          </cell>
        </row>
        <row r="1708">
          <cell r="C1708" t="str">
            <v>Estacao</v>
          </cell>
        </row>
        <row r="1709">
          <cell r="C1709" t="str">
            <v>Estancia</v>
          </cell>
        </row>
        <row r="1710">
          <cell r="C1710" t="str">
            <v>Estancia Velha</v>
          </cell>
        </row>
        <row r="1711">
          <cell r="C1711" t="str">
            <v>Esteio</v>
          </cell>
        </row>
        <row r="1712">
          <cell r="C1712" t="str">
            <v>Estiva</v>
          </cell>
        </row>
        <row r="1713">
          <cell r="C1713" t="str">
            <v>Estiva Gerbi</v>
          </cell>
        </row>
        <row r="1714">
          <cell r="C1714" t="str">
            <v>Estreito</v>
          </cell>
        </row>
        <row r="1715">
          <cell r="C1715" t="str">
            <v>Estrela</v>
          </cell>
        </row>
        <row r="1716">
          <cell r="C1716" t="str">
            <v>Estrela Dalva</v>
          </cell>
        </row>
        <row r="1717">
          <cell r="C1717" t="str">
            <v>Estrela de Alagoas</v>
          </cell>
        </row>
        <row r="1718">
          <cell r="C1718" t="str">
            <v>Estrela do Indaia</v>
          </cell>
        </row>
        <row r="1719">
          <cell r="C1719" t="str">
            <v>Estrela do Norte</v>
          </cell>
        </row>
        <row r="1720">
          <cell r="C1720" t="str">
            <v>Estrela do Norte</v>
          </cell>
        </row>
        <row r="1721">
          <cell r="C1721" t="str">
            <v>Estrela do Sul</v>
          </cell>
        </row>
        <row r="1722">
          <cell r="C1722" t="str">
            <v>Estrela d'Oeste</v>
          </cell>
        </row>
        <row r="1723">
          <cell r="C1723" t="str">
            <v>Estrela Velha</v>
          </cell>
        </row>
        <row r="1724">
          <cell r="C1724" t="str">
            <v>Euclides da Cunha</v>
          </cell>
        </row>
        <row r="1725">
          <cell r="C1725" t="str">
            <v>Euclides da Cunha Paulista</v>
          </cell>
        </row>
        <row r="1726">
          <cell r="C1726" t="str">
            <v>Eugenio de Castro</v>
          </cell>
        </row>
        <row r="1727">
          <cell r="C1727" t="str">
            <v>Eugenopolis</v>
          </cell>
        </row>
        <row r="1728">
          <cell r="C1728" t="str">
            <v>Eunapolis</v>
          </cell>
        </row>
        <row r="1729">
          <cell r="C1729" t="str">
            <v>Eusebio</v>
          </cell>
        </row>
        <row r="1730">
          <cell r="C1730" t="str">
            <v>Ewbank da Camara</v>
          </cell>
        </row>
        <row r="1731">
          <cell r="C1731" t="str">
            <v>Extrema</v>
          </cell>
        </row>
        <row r="1732">
          <cell r="C1732" t="str">
            <v>Extremoz</v>
          </cell>
        </row>
        <row r="1733">
          <cell r="C1733" t="str">
            <v>Exu</v>
          </cell>
        </row>
        <row r="1734">
          <cell r="C1734" t="str">
            <v>Fagundes</v>
          </cell>
        </row>
        <row r="1735">
          <cell r="C1735" t="str">
            <v>Fagundes Varela</v>
          </cell>
        </row>
        <row r="1736">
          <cell r="C1736" t="str">
            <v>Faina</v>
          </cell>
        </row>
        <row r="1737">
          <cell r="C1737" t="str">
            <v>Fama</v>
          </cell>
        </row>
        <row r="1738">
          <cell r="C1738" t="str">
            <v>Faria Lemos</v>
          </cell>
        </row>
        <row r="1739">
          <cell r="C1739" t="str">
            <v>Farias Brito</v>
          </cell>
        </row>
        <row r="1740">
          <cell r="C1740" t="str">
            <v>Faro</v>
          </cell>
        </row>
        <row r="1741">
          <cell r="C1741" t="str">
            <v>Farol</v>
          </cell>
        </row>
        <row r="1742">
          <cell r="C1742" t="str">
            <v>Farroupilha</v>
          </cell>
        </row>
        <row r="1743">
          <cell r="C1743" t="str">
            <v>Fartura</v>
          </cell>
        </row>
        <row r="1744">
          <cell r="C1744" t="str">
            <v>Fartura do Piaui</v>
          </cell>
        </row>
        <row r="1745">
          <cell r="C1745" t="str">
            <v>Fatima</v>
          </cell>
        </row>
        <row r="1746">
          <cell r="C1746" t="str">
            <v>Fatima</v>
          </cell>
        </row>
        <row r="1747">
          <cell r="C1747" t="str">
            <v>Fatima do Sul</v>
          </cell>
        </row>
        <row r="1748">
          <cell r="C1748" t="str">
            <v>Faxinal</v>
          </cell>
        </row>
        <row r="1749">
          <cell r="C1749" t="str">
            <v>Faxinal do Soturno</v>
          </cell>
        </row>
        <row r="1750">
          <cell r="C1750" t="str">
            <v>Faxinal dos Guedes</v>
          </cell>
        </row>
        <row r="1751">
          <cell r="C1751" t="str">
            <v>Faxinalzinho</v>
          </cell>
        </row>
        <row r="1752">
          <cell r="C1752" t="str">
            <v>Fazenda Nova</v>
          </cell>
        </row>
        <row r="1753">
          <cell r="C1753" t="str">
            <v>Fazenda Rio Grande</v>
          </cell>
        </row>
        <row r="1754">
          <cell r="C1754" t="str">
            <v>Fazenda Vilanova</v>
          </cell>
        </row>
        <row r="1755">
          <cell r="C1755" t="str">
            <v>Feijo</v>
          </cell>
        </row>
        <row r="1756">
          <cell r="C1756" t="str">
            <v>Feira da Mata</v>
          </cell>
        </row>
        <row r="1757">
          <cell r="C1757" t="str">
            <v>Feira de Santana</v>
          </cell>
        </row>
        <row r="1758">
          <cell r="C1758" t="str">
            <v>Feira Grande</v>
          </cell>
        </row>
        <row r="1759">
          <cell r="C1759" t="str">
            <v>Feira Nova</v>
          </cell>
        </row>
        <row r="1760">
          <cell r="C1760" t="str">
            <v>Feira Nova</v>
          </cell>
        </row>
        <row r="1761">
          <cell r="C1761" t="str">
            <v>Feira Nova do Maranhao</v>
          </cell>
        </row>
        <row r="1762">
          <cell r="C1762" t="str">
            <v>Felicio dos Santos</v>
          </cell>
        </row>
        <row r="1763">
          <cell r="C1763" t="str">
            <v>Felipe Guerra</v>
          </cell>
        </row>
        <row r="1764">
          <cell r="C1764" t="str">
            <v>Felisburgo</v>
          </cell>
        </row>
        <row r="1765">
          <cell r="C1765" t="str">
            <v>Felixlandia</v>
          </cell>
        </row>
        <row r="1766">
          <cell r="C1766" t="str">
            <v>Feliz</v>
          </cell>
        </row>
        <row r="1767">
          <cell r="C1767" t="str">
            <v>Feliz Deserto</v>
          </cell>
        </row>
        <row r="1768">
          <cell r="C1768" t="str">
            <v>Feliz Natal</v>
          </cell>
        </row>
        <row r="1769">
          <cell r="C1769" t="str">
            <v>Fenix</v>
          </cell>
        </row>
        <row r="1770">
          <cell r="C1770" t="str">
            <v>Fernandes Pinheiro</v>
          </cell>
        </row>
        <row r="1771">
          <cell r="C1771" t="str">
            <v>Fernandes Tourinho</v>
          </cell>
        </row>
        <row r="1772">
          <cell r="C1772" t="str">
            <v>Fernando de Noronha</v>
          </cell>
        </row>
        <row r="1773">
          <cell r="C1773" t="str">
            <v>Fernando Falcao</v>
          </cell>
        </row>
        <row r="1774">
          <cell r="C1774" t="str">
            <v>Fernando Pedroza</v>
          </cell>
        </row>
        <row r="1775">
          <cell r="C1775" t="str">
            <v>Fernando Prestes</v>
          </cell>
        </row>
        <row r="1776">
          <cell r="C1776" t="str">
            <v>Fernandopolis</v>
          </cell>
        </row>
        <row r="1777">
          <cell r="C1777" t="str">
            <v>Fernao</v>
          </cell>
        </row>
        <row r="1778">
          <cell r="C1778" t="str">
            <v>Ferraz de Vasconcelos</v>
          </cell>
        </row>
        <row r="1779">
          <cell r="C1779" t="str">
            <v>Ferreira Gomes</v>
          </cell>
        </row>
        <row r="1780">
          <cell r="C1780" t="str">
            <v>Ferreiros</v>
          </cell>
        </row>
        <row r="1781">
          <cell r="C1781" t="str">
            <v>Ferros</v>
          </cell>
        </row>
        <row r="1782">
          <cell r="C1782" t="str">
            <v>Fervedouro</v>
          </cell>
        </row>
        <row r="1783">
          <cell r="C1783" t="str">
            <v>Figueira</v>
          </cell>
        </row>
        <row r="1784">
          <cell r="C1784" t="str">
            <v>Figueiropolis</v>
          </cell>
        </row>
        <row r="1785">
          <cell r="C1785" t="str">
            <v>Figueiropolis D'Oeste</v>
          </cell>
        </row>
        <row r="1786">
          <cell r="C1786" t="str">
            <v>Filadelfia</v>
          </cell>
        </row>
        <row r="1787">
          <cell r="C1787" t="str">
            <v>Filadelfia</v>
          </cell>
        </row>
        <row r="1788">
          <cell r="C1788" t="str">
            <v>Firmino Alves</v>
          </cell>
        </row>
        <row r="1789">
          <cell r="C1789" t="str">
            <v>Firminopolis</v>
          </cell>
        </row>
        <row r="1790">
          <cell r="C1790" t="str">
            <v>Flexeiras</v>
          </cell>
        </row>
        <row r="1791">
          <cell r="C1791" t="str">
            <v>Flor da Serra do Sul</v>
          </cell>
        </row>
        <row r="1792">
          <cell r="C1792" t="str">
            <v>Flor do Sertao</v>
          </cell>
        </row>
        <row r="1793">
          <cell r="C1793" t="str">
            <v>Flora Rica</v>
          </cell>
        </row>
        <row r="1794">
          <cell r="C1794" t="str">
            <v>Florai</v>
          </cell>
        </row>
        <row r="1795">
          <cell r="C1795" t="str">
            <v>Florania</v>
          </cell>
        </row>
        <row r="1796">
          <cell r="C1796" t="str">
            <v>Floreal</v>
          </cell>
        </row>
        <row r="1797">
          <cell r="C1797" t="str">
            <v>Flores</v>
          </cell>
        </row>
        <row r="1798">
          <cell r="C1798" t="str">
            <v>Flores da Cunha</v>
          </cell>
        </row>
        <row r="1799">
          <cell r="C1799" t="str">
            <v>Flores de Goias</v>
          </cell>
        </row>
        <row r="1800">
          <cell r="C1800" t="str">
            <v>Flores do Piaui</v>
          </cell>
        </row>
        <row r="1801">
          <cell r="C1801" t="str">
            <v>Floresta</v>
          </cell>
        </row>
        <row r="1802">
          <cell r="C1802" t="str">
            <v>Floresta</v>
          </cell>
        </row>
        <row r="1803">
          <cell r="C1803" t="str">
            <v>Floresta Azul</v>
          </cell>
        </row>
        <row r="1804">
          <cell r="C1804" t="str">
            <v>Floresta do Araguaia</v>
          </cell>
        </row>
        <row r="1805">
          <cell r="C1805" t="str">
            <v>Floresta do Piaui</v>
          </cell>
        </row>
        <row r="1806">
          <cell r="C1806" t="str">
            <v>Florestal</v>
          </cell>
        </row>
        <row r="1807">
          <cell r="C1807" t="str">
            <v>Florestopolis</v>
          </cell>
        </row>
        <row r="1808">
          <cell r="C1808" t="str">
            <v>Floriano</v>
          </cell>
        </row>
        <row r="1809">
          <cell r="C1809" t="str">
            <v>Floriano Peixoto</v>
          </cell>
        </row>
        <row r="1810">
          <cell r="C1810" t="str">
            <v>Florianopolis</v>
          </cell>
        </row>
        <row r="1811">
          <cell r="C1811" t="str">
            <v>Florida</v>
          </cell>
        </row>
        <row r="1812">
          <cell r="C1812" t="str">
            <v>Florida Paulista</v>
          </cell>
        </row>
        <row r="1813">
          <cell r="C1813" t="str">
            <v>Florinia</v>
          </cell>
        </row>
        <row r="1814">
          <cell r="C1814" t="str">
            <v>Fonte Boa</v>
          </cell>
        </row>
        <row r="1815">
          <cell r="C1815" t="str">
            <v>Fontoura Xavier</v>
          </cell>
        </row>
        <row r="1816">
          <cell r="C1816" t="str">
            <v>Formiga</v>
          </cell>
        </row>
        <row r="1817">
          <cell r="C1817" t="str">
            <v>Formigueiro</v>
          </cell>
        </row>
        <row r="1818">
          <cell r="C1818" t="str">
            <v>Formosa</v>
          </cell>
        </row>
        <row r="1819">
          <cell r="C1819" t="str">
            <v>Formosa da Serra Negra</v>
          </cell>
        </row>
        <row r="1820">
          <cell r="C1820" t="str">
            <v>Formosa do Oeste</v>
          </cell>
        </row>
        <row r="1821">
          <cell r="C1821" t="str">
            <v>Formosa do Rio Preto</v>
          </cell>
        </row>
        <row r="1822">
          <cell r="C1822" t="str">
            <v>Formosa do Sul</v>
          </cell>
        </row>
        <row r="1823">
          <cell r="C1823" t="str">
            <v>Formoso</v>
          </cell>
        </row>
        <row r="1824">
          <cell r="C1824" t="str">
            <v>Formoso</v>
          </cell>
        </row>
        <row r="1825">
          <cell r="C1825" t="str">
            <v>Formoso do Araguaia</v>
          </cell>
        </row>
        <row r="1826">
          <cell r="C1826" t="str">
            <v>Forquetinha</v>
          </cell>
        </row>
        <row r="1827">
          <cell r="C1827" t="str">
            <v>Forquilha</v>
          </cell>
        </row>
        <row r="1828">
          <cell r="C1828" t="str">
            <v>Forquilhinha</v>
          </cell>
        </row>
        <row r="1829">
          <cell r="C1829" t="str">
            <v>Fortaleza</v>
          </cell>
        </row>
        <row r="1830">
          <cell r="C1830" t="str">
            <v>Fortaleza de Minas</v>
          </cell>
        </row>
        <row r="1831">
          <cell r="C1831" t="str">
            <v>Fortaleza do Tabocao</v>
          </cell>
        </row>
        <row r="1832">
          <cell r="C1832" t="str">
            <v>Fortaleza dos Nogueiras</v>
          </cell>
        </row>
        <row r="1833">
          <cell r="C1833" t="str">
            <v>Fortaleza dos Valos</v>
          </cell>
        </row>
        <row r="1834">
          <cell r="C1834" t="str">
            <v>Fortim</v>
          </cell>
        </row>
        <row r="1835">
          <cell r="C1835" t="str">
            <v>Fortuna</v>
          </cell>
        </row>
        <row r="1836">
          <cell r="C1836" t="str">
            <v>Fortuna de Minas</v>
          </cell>
        </row>
        <row r="1837">
          <cell r="C1837" t="str">
            <v>Foz do Iguacu</v>
          </cell>
        </row>
        <row r="1838">
          <cell r="C1838" t="str">
            <v>Foz do Jordao</v>
          </cell>
        </row>
        <row r="1839">
          <cell r="C1839" t="str">
            <v>Fraiburgo</v>
          </cell>
        </row>
        <row r="1840">
          <cell r="C1840" t="str">
            <v>Franca</v>
          </cell>
        </row>
        <row r="1841">
          <cell r="C1841" t="str">
            <v>Francinopolis</v>
          </cell>
        </row>
        <row r="1842">
          <cell r="C1842" t="str">
            <v>Francisco Alves</v>
          </cell>
        </row>
        <row r="1843">
          <cell r="C1843" t="str">
            <v>Francisco Ayres</v>
          </cell>
        </row>
        <row r="1844">
          <cell r="C1844" t="str">
            <v>Francisco Badaro</v>
          </cell>
        </row>
        <row r="1845">
          <cell r="C1845" t="str">
            <v>Francisco Beltrao</v>
          </cell>
        </row>
        <row r="1846">
          <cell r="C1846" t="str">
            <v>Francisco Dantas</v>
          </cell>
        </row>
        <row r="1847">
          <cell r="C1847" t="str">
            <v>Francisco Dumont</v>
          </cell>
        </row>
        <row r="1848">
          <cell r="C1848" t="str">
            <v>Francisco Macedo</v>
          </cell>
        </row>
        <row r="1849">
          <cell r="C1849" t="str">
            <v>Francisco Morato</v>
          </cell>
        </row>
        <row r="1850">
          <cell r="C1850" t="str">
            <v>Francisco Sa</v>
          </cell>
        </row>
        <row r="1851">
          <cell r="C1851" t="str">
            <v>Francisco Santos</v>
          </cell>
        </row>
        <row r="1852">
          <cell r="C1852" t="str">
            <v>Franciscopolis</v>
          </cell>
        </row>
        <row r="1853">
          <cell r="C1853" t="str">
            <v>Franco da Rocha</v>
          </cell>
        </row>
        <row r="1854">
          <cell r="C1854" t="str">
            <v>Frecheirinha</v>
          </cell>
        </row>
        <row r="1855">
          <cell r="C1855" t="str">
            <v>Frederico Westphalen</v>
          </cell>
        </row>
        <row r="1856">
          <cell r="C1856" t="str">
            <v>Frei Gaspar</v>
          </cell>
        </row>
        <row r="1857">
          <cell r="C1857" t="str">
            <v>Frei Inocencio</v>
          </cell>
        </row>
        <row r="1858">
          <cell r="C1858" t="str">
            <v>Frei Lagonegro</v>
          </cell>
        </row>
        <row r="1859">
          <cell r="C1859" t="str">
            <v>Frei Martinho</v>
          </cell>
        </row>
        <row r="1860">
          <cell r="C1860" t="str">
            <v>Frei Miguelinho</v>
          </cell>
        </row>
        <row r="1861">
          <cell r="C1861" t="str">
            <v>Frei Paulo</v>
          </cell>
        </row>
        <row r="1862">
          <cell r="C1862" t="str">
            <v>Frei Rogerio</v>
          </cell>
        </row>
        <row r="1863">
          <cell r="C1863" t="str">
            <v>Fronteira</v>
          </cell>
        </row>
        <row r="1864">
          <cell r="C1864" t="str">
            <v>Fronteira dos Vales</v>
          </cell>
        </row>
        <row r="1865">
          <cell r="C1865" t="str">
            <v>Fronteiras</v>
          </cell>
        </row>
        <row r="1866">
          <cell r="C1866" t="str">
            <v>Fruta de Leite</v>
          </cell>
        </row>
        <row r="1867">
          <cell r="C1867" t="str">
            <v>Frutal</v>
          </cell>
        </row>
        <row r="1868">
          <cell r="C1868" t="str">
            <v>Frutuoso Gomes</v>
          </cell>
        </row>
        <row r="1869">
          <cell r="C1869" t="str">
            <v>Fundao</v>
          </cell>
        </row>
        <row r="1870">
          <cell r="C1870" t="str">
            <v>Funilandia</v>
          </cell>
        </row>
        <row r="1871">
          <cell r="C1871" t="str">
            <v>Gabriel Monteiro</v>
          </cell>
        </row>
        <row r="1872">
          <cell r="C1872" t="str">
            <v>Gado Bravo</v>
          </cell>
        </row>
        <row r="1873">
          <cell r="C1873" t="str">
            <v>Galia</v>
          </cell>
        </row>
        <row r="1874">
          <cell r="C1874" t="str">
            <v>Galileia</v>
          </cell>
        </row>
        <row r="1875">
          <cell r="C1875" t="str">
            <v>Galinhos</v>
          </cell>
        </row>
        <row r="1876">
          <cell r="C1876" t="str">
            <v>Galvao</v>
          </cell>
        </row>
        <row r="1877">
          <cell r="C1877" t="str">
            <v>Gameleira</v>
          </cell>
        </row>
        <row r="1878">
          <cell r="C1878" t="str">
            <v>Gameleira de Goias</v>
          </cell>
        </row>
        <row r="1879">
          <cell r="C1879" t="str">
            <v>Gameleiras</v>
          </cell>
        </row>
        <row r="1880">
          <cell r="C1880" t="str">
            <v>Gandu</v>
          </cell>
        </row>
        <row r="1881">
          <cell r="C1881" t="str">
            <v>Garanhuns</v>
          </cell>
        </row>
        <row r="1882">
          <cell r="C1882" t="str">
            <v>Gararu</v>
          </cell>
        </row>
        <row r="1883">
          <cell r="C1883" t="str">
            <v>Garca</v>
          </cell>
        </row>
        <row r="1884">
          <cell r="C1884" t="str">
            <v>Garibaldi</v>
          </cell>
        </row>
        <row r="1885">
          <cell r="C1885" t="str">
            <v>Garopaba</v>
          </cell>
        </row>
        <row r="1886">
          <cell r="C1886" t="str">
            <v>Garrafao do Norte</v>
          </cell>
        </row>
        <row r="1887">
          <cell r="C1887" t="str">
            <v>Garruchos</v>
          </cell>
        </row>
        <row r="1888">
          <cell r="C1888" t="str">
            <v>Garuva</v>
          </cell>
        </row>
        <row r="1889">
          <cell r="C1889" t="str">
            <v>Gaspar</v>
          </cell>
        </row>
        <row r="1890">
          <cell r="C1890" t="str">
            <v>Gastao Vidigal</v>
          </cell>
        </row>
        <row r="1891">
          <cell r="C1891" t="str">
            <v>Gaucha do Norte</v>
          </cell>
        </row>
        <row r="1892">
          <cell r="C1892" t="str">
            <v>Gaurama</v>
          </cell>
        </row>
        <row r="1893">
          <cell r="C1893" t="str">
            <v>Gaviao</v>
          </cell>
        </row>
        <row r="1894">
          <cell r="C1894" t="str">
            <v>Gaviao Peixoto</v>
          </cell>
        </row>
        <row r="1895">
          <cell r="C1895" t="str">
            <v>Geminiano</v>
          </cell>
        </row>
        <row r="1896">
          <cell r="C1896" t="str">
            <v>General Camara</v>
          </cell>
        </row>
        <row r="1897">
          <cell r="C1897" t="str">
            <v>General Carneiro</v>
          </cell>
        </row>
        <row r="1898">
          <cell r="C1898" t="str">
            <v>General Carneiro</v>
          </cell>
        </row>
        <row r="1899">
          <cell r="C1899" t="str">
            <v>General Maynard</v>
          </cell>
        </row>
        <row r="1900">
          <cell r="C1900" t="str">
            <v>General Salgado</v>
          </cell>
        </row>
        <row r="1901">
          <cell r="C1901" t="str">
            <v>General Sampaio</v>
          </cell>
        </row>
        <row r="1902">
          <cell r="C1902" t="str">
            <v>Gentil</v>
          </cell>
        </row>
        <row r="1903">
          <cell r="C1903" t="str">
            <v>Gentio do Ouro</v>
          </cell>
        </row>
        <row r="1904">
          <cell r="C1904" t="str">
            <v>Getulina</v>
          </cell>
        </row>
        <row r="1905">
          <cell r="C1905" t="str">
            <v>Getulio Vargas</v>
          </cell>
        </row>
        <row r="1906">
          <cell r="C1906" t="str">
            <v>Gilbues</v>
          </cell>
        </row>
        <row r="1907">
          <cell r="C1907" t="str">
            <v>Girau do Ponciano</v>
          </cell>
        </row>
        <row r="1908">
          <cell r="C1908" t="str">
            <v>Girua</v>
          </cell>
        </row>
        <row r="1909">
          <cell r="C1909" t="str">
            <v>Glaucilandia</v>
          </cell>
        </row>
        <row r="1910">
          <cell r="C1910" t="str">
            <v>Glicerio</v>
          </cell>
        </row>
        <row r="1911">
          <cell r="C1911" t="str">
            <v>Gloria</v>
          </cell>
        </row>
        <row r="1912">
          <cell r="C1912" t="str">
            <v>Gloria de Dourados</v>
          </cell>
        </row>
        <row r="1913">
          <cell r="C1913" t="str">
            <v>Gloria do Goita</v>
          </cell>
        </row>
        <row r="1914">
          <cell r="C1914" t="str">
            <v>Gloria D'Oeste</v>
          </cell>
        </row>
        <row r="1915">
          <cell r="C1915" t="str">
            <v>Glorinha</v>
          </cell>
        </row>
        <row r="1916">
          <cell r="C1916" t="str">
            <v>Godofredo Viana</v>
          </cell>
        </row>
        <row r="1917">
          <cell r="C1917" t="str">
            <v>Godoy Moreira</v>
          </cell>
        </row>
        <row r="1918">
          <cell r="C1918" t="str">
            <v>Goiabeira</v>
          </cell>
        </row>
        <row r="1919">
          <cell r="C1919" t="str">
            <v>Goiana</v>
          </cell>
        </row>
        <row r="1920">
          <cell r="C1920" t="str">
            <v>Goiana</v>
          </cell>
        </row>
        <row r="1921">
          <cell r="C1921" t="str">
            <v>Goianapolis</v>
          </cell>
        </row>
        <row r="1922">
          <cell r="C1922" t="str">
            <v>Goiandira</v>
          </cell>
        </row>
        <row r="1923">
          <cell r="C1923" t="str">
            <v>Goianesia</v>
          </cell>
        </row>
        <row r="1924">
          <cell r="C1924" t="str">
            <v>Goianesia do Para</v>
          </cell>
        </row>
        <row r="1925">
          <cell r="C1925" t="str">
            <v>Goiania</v>
          </cell>
        </row>
        <row r="1926">
          <cell r="C1926" t="str">
            <v>Goianinha</v>
          </cell>
        </row>
        <row r="1927">
          <cell r="C1927" t="str">
            <v>Goianira</v>
          </cell>
        </row>
        <row r="1928">
          <cell r="C1928" t="str">
            <v>Goianorte</v>
          </cell>
        </row>
        <row r="1929">
          <cell r="C1929" t="str">
            <v>Goias</v>
          </cell>
        </row>
        <row r="1930">
          <cell r="C1930" t="str">
            <v>Goiatins</v>
          </cell>
        </row>
        <row r="1931">
          <cell r="C1931" t="str">
            <v>Goiatuba</v>
          </cell>
        </row>
        <row r="1932">
          <cell r="C1932" t="str">
            <v>Goioere</v>
          </cell>
        </row>
        <row r="1933">
          <cell r="C1933" t="str">
            <v>Goioxim</v>
          </cell>
        </row>
        <row r="1934">
          <cell r="C1934" t="str">
            <v>Goncalves</v>
          </cell>
        </row>
        <row r="1935">
          <cell r="C1935" t="str">
            <v>Goncalves Dias</v>
          </cell>
        </row>
        <row r="1936">
          <cell r="C1936" t="str">
            <v>Gongogi</v>
          </cell>
        </row>
        <row r="1937">
          <cell r="C1937" t="str">
            <v>Gonzaga</v>
          </cell>
        </row>
        <row r="1938">
          <cell r="C1938" t="str">
            <v>Gouveia</v>
          </cell>
        </row>
        <row r="1939">
          <cell r="C1939" t="str">
            <v>Gouvelandia</v>
          </cell>
        </row>
        <row r="1940">
          <cell r="C1940" t="str">
            <v>Governador Archer</v>
          </cell>
        </row>
        <row r="1941">
          <cell r="C1941" t="str">
            <v>Governador Celso Ramos</v>
          </cell>
        </row>
        <row r="1942">
          <cell r="C1942" t="str">
            <v>Governador Dix-Sept Rosado</v>
          </cell>
        </row>
        <row r="1943">
          <cell r="C1943" t="str">
            <v>Governador Edison Lobao</v>
          </cell>
        </row>
        <row r="1944">
          <cell r="C1944" t="str">
            <v>Governador Eugenio Barros</v>
          </cell>
        </row>
        <row r="1945">
          <cell r="C1945" t="str">
            <v>Governador Jorge Teixeira</v>
          </cell>
        </row>
        <row r="1946">
          <cell r="C1946" t="str">
            <v>Governador Lindenberg</v>
          </cell>
        </row>
        <row r="1947">
          <cell r="C1947" t="str">
            <v>Governador Lomanto Junior</v>
          </cell>
        </row>
        <row r="1948">
          <cell r="C1948" t="str">
            <v>Governador Luiz Rocha</v>
          </cell>
        </row>
        <row r="1949">
          <cell r="C1949" t="str">
            <v>Governador Mangabeira</v>
          </cell>
        </row>
        <row r="1950">
          <cell r="C1950" t="str">
            <v>Governador Newton Bello</v>
          </cell>
        </row>
        <row r="1951">
          <cell r="C1951" t="str">
            <v>Governador Nunes Freire</v>
          </cell>
        </row>
        <row r="1952">
          <cell r="C1952" t="str">
            <v>Governador Valadares</v>
          </cell>
        </row>
        <row r="1953">
          <cell r="C1953" t="str">
            <v>Graca</v>
          </cell>
        </row>
        <row r="1954">
          <cell r="C1954" t="str">
            <v>Graca Aranha</v>
          </cell>
        </row>
        <row r="1955">
          <cell r="C1955" t="str">
            <v>Gracho Cardoso</v>
          </cell>
        </row>
        <row r="1956">
          <cell r="C1956" t="str">
            <v>Grajau</v>
          </cell>
        </row>
        <row r="1957">
          <cell r="C1957" t="str">
            <v>Gramado</v>
          </cell>
        </row>
        <row r="1958">
          <cell r="C1958" t="str">
            <v>Gramado dos Loureiros</v>
          </cell>
        </row>
        <row r="1959">
          <cell r="C1959" t="str">
            <v>Gramado Xavier</v>
          </cell>
        </row>
        <row r="1960">
          <cell r="C1960" t="str">
            <v>Grandes Rios</v>
          </cell>
        </row>
        <row r="1961">
          <cell r="C1961" t="str">
            <v>Granito</v>
          </cell>
        </row>
        <row r="1962">
          <cell r="C1962" t="str">
            <v>Granja</v>
          </cell>
        </row>
        <row r="1963">
          <cell r="C1963" t="str">
            <v>Granjeiro</v>
          </cell>
        </row>
        <row r="1964">
          <cell r="C1964" t="str">
            <v>Grao Mogol</v>
          </cell>
        </row>
        <row r="1965">
          <cell r="C1965" t="str">
            <v>Grao Para</v>
          </cell>
        </row>
        <row r="1966">
          <cell r="C1966" t="str">
            <v>Gravata</v>
          </cell>
        </row>
        <row r="1967">
          <cell r="C1967" t="str">
            <v>Gravatai</v>
          </cell>
        </row>
        <row r="1968">
          <cell r="C1968" t="str">
            <v>Gravatal</v>
          </cell>
        </row>
        <row r="1969">
          <cell r="C1969" t="str">
            <v>Groairas</v>
          </cell>
        </row>
        <row r="1970">
          <cell r="C1970" t="str">
            <v>Grossos</v>
          </cell>
        </row>
        <row r="1971">
          <cell r="C1971" t="str">
            <v>Grupiara</v>
          </cell>
        </row>
        <row r="1972">
          <cell r="C1972" t="str">
            <v>Guabiju</v>
          </cell>
        </row>
        <row r="1973">
          <cell r="C1973" t="str">
            <v>Guabiruba</v>
          </cell>
        </row>
        <row r="1974">
          <cell r="C1974" t="str">
            <v>Guacui</v>
          </cell>
        </row>
        <row r="1975">
          <cell r="C1975" t="str">
            <v>Guadalupe</v>
          </cell>
        </row>
        <row r="1976">
          <cell r="C1976" t="str">
            <v>Guaiba</v>
          </cell>
        </row>
        <row r="1977">
          <cell r="C1977" t="str">
            <v>Guaicara</v>
          </cell>
        </row>
        <row r="1978">
          <cell r="C1978" t="str">
            <v>Guaimbe</v>
          </cell>
        </row>
        <row r="1979">
          <cell r="C1979" t="str">
            <v>Guaira</v>
          </cell>
        </row>
        <row r="1980">
          <cell r="C1980" t="str">
            <v>Guaira</v>
          </cell>
        </row>
        <row r="1981">
          <cell r="C1981" t="str">
            <v>Guairaca</v>
          </cell>
        </row>
        <row r="1982">
          <cell r="C1982" t="str">
            <v>Guaiuba</v>
          </cell>
        </row>
        <row r="1983">
          <cell r="C1983" t="str">
            <v>Guajara</v>
          </cell>
        </row>
        <row r="1984">
          <cell r="C1984" t="str">
            <v>Guajara-Mirim</v>
          </cell>
        </row>
        <row r="1985">
          <cell r="C1985" t="str">
            <v>Guajeru</v>
          </cell>
        </row>
        <row r="1986">
          <cell r="C1986" t="str">
            <v>Guamare</v>
          </cell>
        </row>
        <row r="1987">
          <cell r="C1987" t="str">
            <v>Guamiranga</v>
          </cell>
        </row>
        <row r="1988">
          <cell r="C1988" t="str">
            <v>Guanambi</v>
          </cell>
        </row>
        <row r="1989">
          <cell r="C1989" t="str">
            <v>Guanhaes</v>
          </cell>
        </row>
        <row r="1990">
          <cell r="C1990" t="str">
            <v>Guape</v>
          </cell>
        </row>
        <row r="1991">
          <cell r="C1991" t="str">
            <v>Guapiacu</v>
          </cell>
        </row>
        <row r="1992">
          <cell r="C1992" t="str">
            <v>Guapiara</v>
          </cell>
        </row>
        <row r="1993">
          <cell r="C1993" t="str">
            <v>Guapimirim</v>
          </cell>
        </row>
        <row r="1994">
          <cell r="C1994" t="str">
            <v>Guapirama</v>
          </cell>
        </row>
        <row r="1995">
          <cell r="C1995" t="str">
            <v>Guapo</v>
          </cell>
        </row>
        <row r="1996">
          <cell r="C1996" t="str">
            <v>Guapore</v>
          </cell>
        </row>
        <row r="1997">
          <cell r="C1997" t="str">
            <v>Guaporema</v>
          </cell>
        </row>
        <row r="1998">
          <cell r="C1998" t="str">
            <v>Guara</v>
          </cell>
        </row>
        <row r="1999">
          <cell r="C1999" t="str">
            <v>Guarabira</v>
          </cell>
        </row>
        <row r="2000">
          <cell r="C2000" t="str">
            <v>Guaracai</v>
          </cell>
        </row>
        <row r="2001">
          <cell r="C2001" t="str">
            <v>Guaraci</v>
          </cell>
        </row>
        <row r="2002">
          <cell r="C2002" t="str">
            <v>Guaraci</v>
          </cell>
        </row>
        <row r="2003">
          <cell r="C2003" t="str">
            <v>Guaraciaba</v>
          </cell>
        </row>
        <row r="2004">
          <cell r="C2004" t="str">
            <v>Guaraciaba</v>
          </cell>
        </row>
        <row r="2005">
          <cell r="C2005" t="str">
            <v>Guaraciaba do Norte</v>
          </cell>
        </row>
        <row r="2006">
          <cell r="C2006" t="str">
            <v>Guaraciama</v>
          </cell>
        </row>
        <row r="2007">
          <cell r="C2007" t="str">
            <v>Guarai</v>
          </cell>
        </row>
        <row r="2008">
          <cell r="C2008" t="str">
            <v>Guaraita</v>
          </cell>
        </row>
        <row r="2009">
          <cell r="C2009" t="str">
            <v>Guaramiranga</v>
          </cell>
        </row>
        <row r="2010">
          <cell r="C2010" t="str">
            <v>Guaramirim</v>
          </cell>
        </row>
        <row r="2011">
          <cell r="C2011" t="str">
            <v>Guaranesia</v>
          </cell>
        </row>
        <row r="2012">
          <cell r="C2012" t="str">
            <v>Guarani</v>
          </cell>
        </row>
        <row r="2013">
          <cell r="C2013" t="str">
            <v>Guarani das Missoes</v>
          </cell>
        </row>
        <row r="2014">
          <cell r="C2014" t="str">
            <v>Guarani de Goias</v>
          </cell>
        </row>
        <row r="2015">
          <cell r="C2015" t="str">
            <v>Guarani d'Oeste</v>
          </cell>
        </row>
        <row r="2016">
          <cell r="C2016" t="str">
            <v>Guaraniacu</v>
          </cell>
        </row>
        <row r="2017">
          <cell r="C2017" t="str">
            <v>Guaranta</v>
          </cell>
        </row>
        <row r="2018">
          <cell r="C2018" t="str">
            <v>Guaranta do Norte</v>
          </cell>
        </row>
        <row r="2019">
          <cell r="C2019" t="str">
            <v>Guarapari</v>
          </cell>
        </row>
        <row r="2020">
          <cell r="C2020" t="str">
            <v>Guarapuava</v>
          </cell>
        </row>
        <row r="2021">
          <cell r="C2021" t="str">
            <v>Guaraquecaba</v>
          </cell>
        </row>
        <row r="2022">
          <cell r="C2022" t="str">
            <v>Guarara</v>
          </cell>
        </row>
        <row r="2023">
          <cell r="C2023" t="str">
            <v>Guararapes</v>
          </cell>
        </row>
        <row r="2024">
          <cell r="C2024" t="str">
            <v>Guararema</v>
          </cell>
        </row>
        <row r="2025">
          <cell r="C2025" t="str">
            <v>Guaratinga</v>
          </cell>
        </row>
        <row r="2026">
          <cell r="C2026" t="str">
            <v>Guaratingueta</v>
          </cell>
        </row>
        <row r="2027">
          <cell r="C2027" t="str">
            <v>Guaratuba</v>
          </cell>
        </row>
        <row r="2028">
          <cell r="C2028" t="str">
            <v>Guarda-Mor</v>
          </cell>
        </row>
        <row r="2029">
          <cell r="C2029" t="str">
            <v>Guarei</v>
          </cell>
        </row>
        <row r="2030">
          <cell r="C2030" t="str">
            <v>Guariba</v>
          </cell>
        </row>
        <row r="2031">
          <cell r="C2031" t="str">
            <v>Guaribas</v>
          </cell>
        </row>
        <row r="2032">
          <cell r="C2032" t="str">
            <v>Guarinos</v>
          </cell>
        </row>
        <row r="2033">
          <cell r="C2033" t="str">
            <v>Guaruja</v>
          </cell>
        </row>
        <row r="2034">
          <cell r="C2034" t="str">
            <v>Guaruja do Sul</v>
          </cell>
        </row>
        <row r="2035">
          <cell r="C2035" t="str">
            <v>Guarulhos</v>
          </cell>
        </row>
        <row r="2036">
          <cell r="C2036" t="str">
            <v>Guatambu</v>
          </cell>
        </row>
        <row r="2037">
          <cell r="C2037" t="str">
            <v>Guatapara</v>
          </cell>
        </row>
        <row r="2038">
          <cell r="C2038" t="str">
            <v>Guaxupe</v>
          </cell>
        </row>
        <row r="2039">
          <cell r="C2039" t="str">
            <v>Guia Lopes da Laguna</v>
          </cell>
        </row>
        <row r="2040">
          <cell r="C2040" t="str">
            <v>Guidoval</v>
          </cell>
        </row>
        <row r="2041">
          <cell r="C2041" t="str">
            <v>Guimaraes</v>
          </cell>
        </row>
        <row r="2042">
          <cell r="C2042" t="str">
            <v>Guimarania</v>
          </cell>
        </row>
        <row r="2043">
          <cell r="C2043" t="str">
            <v>Guiratinga</v>
          </cell>
        </row>
        <row r="2044">
          <cell r="C2044" t="str">
            <v>Guiricema</v>
          </cell>
        </row>
        <row r="2045">
          <cell r="C2045" t="str">
            <v>Gurinhata</v>
          </cell>
        </row>
        <row r="2046">
          <cell r="C2046" t="str">
            <v>Gurinhem</v>
          </cell>
        </row>
        <row r="2047">
          <cell r="C2047" t="str">
            <v>Gurjao</v>
          </cell>
        </row>
        <row r="2048">
          <cell r="C2048" t="str">
            <v>Gurupa</v>
          </cell>
        </row>
        <row r="2049">
          <cell r="C2049" t="str">
            <v>Gurupi</v>
          </cell>
        </row>
        <row r="2050">
          <cell r="C2050" t="str">
            <v>Guzolandia</v>
          </cell>
        </row>
        <row r="2051">
          <cell r="C2051" t="str">
            <v>Harmonia</v>
          </cell>
        </row>
        <row r="2052">
          <cell r="C2052" t="str">
            <v>Heitorai</v>
          </cell>
        </row>
        <row r="2053">
          <cell r="C2053" t="str">
            <v>Heliodora</v>
          </cell>
        </row>
        <row r="2054">
          <cell r="C2054" t="str">
            <v>Heliopolis</v>
          </cell>
        </row>
        <row r="2055">
          <cell r="C2055" t="str">
            <v>Herculandia</v>
          </cell>
        </row>
        <row r="2056">
          <cell r="C2056" t="str">
            <v>Herval</v>
          </cell>
        </row>
        <row r="2057">
          <cell r="C2057" t="str">
            <v>Herval d'Oeste</v>
          </cell>
        </row>
        <row r="2058">
          <cell r="C2058" t="str">
            <v>Herveiras</v>
          </cell>
        </row>
        <row r="2059">
          <cell r="C2059" t="str">
            <v>Hidrolandia</v>
          </cell>
        </row>
        <row r="2060">
          <cell r="C2060" t="str">
            <v>Hidrolandia</v>
          </cell>
        </row>
        <row r="2061">
          <cell r="C2061" t="str">
            <v>Hidrolina</v>
          </cell>
        </row>
        <row r="2062">
          <cell r="C2062" t="str">
            <v>Holambra</v>
          </cell>
        </row>
        <row r="2063">
          <cell r="C2063" t="str">
            <v>Honorio Serpa</v>
          </cell>
        </row>
        <row r="2064">
          <cell r="C2064" t="str">
            <v>Horizonte</v>
          </cell>
        </row>
        <row r="2065">
          <cell r="C2065" t="str">
            <v>Horizontina</v>
          </cell>
        </row>
        <row r="2066">
          <cell r="C2066" t="str">
            <v>Hortolandia</v>
          </cell>
        </row>
        <row r="2067">
          <cell r="C2067" t="str">
            <v>Hugo Napoleao</v>
          </cell>
        </row>
        <row r="2068">
          <cell r="C2068" t="str">
            <v>Hulha Negra</v>
          </cell>
        </row>
        <row r="2069">
          <cell r="C2069" t="str">
            <v>Humaita</v>
          </cell>
        </row>
        <row r="2070">
          <cell r="C2070" t="str">
            <v>Humaita</v>
          </cell>
        </row>
        <row r="2071">
          <cell r="C2071" t="str">
            <v>Humberto de Campos</v>
          </cell>
        </row>
        <row r="2072">
          <cell r="C2072" t="str">
            <v>Iacanga</v>
          </cell>
        </row>
        <row r="2073">
          <cell r="C2073" t="str">
            <v>Iaciara</v>
          </cell>
        </row>
        <row r="2074">
          <cell r="C2074" t="str">
            <v>Iacri</v>
          </cell>
        </row>
        <row r="2075">
          <cell r="C2075" t="str">
            <v>Iacu</v>
          </cell>
        </row>
        <row r="2076">
          <cell r="C2076" t="str">
            <v>Iapu</v>
          </cell>
        </row>
        <row r="2077">
          <cell r="C2077" t="str">
            <v>Iaras</v>
          </cell>
        </row>
        <row r="2078">
          <cell r="C2078" t="str">
            <v>Iati</v>
          </cell>
        </row>
        <row r="2079">
          <cell r="C2079" t="str">
            <v>Ibaiti</v>
          </cell>
        </row>
        <row r="2080">
          <cell r="C2080" t="str">
            <v>Ibarama</v>
          </cell>
        </row>
        <row r="2081">
          <cell r="C2081" t="str">
            <v>Ibaretama</v>
          </cell>
        </row>
        <row r="2082">
          <cell r="C2082" t="str">
            <v>Ibate</v>
          </cell>
        </row>
        <row r="2083">
          <cell r="C2083" t="str">
            <v>Ibateguara</v>
          </cell>
        </row>
        <row r="2084">
          <cell r="C2084" t="str">
            <v>Ibatiba</v>
          </cell>
        </row>
        <row r="2085">
          <cell r="C2085" t="str">
            <v>Ibema</v>
          </cell>
        </row>
        <row r="2086">
          <cell r="C2086" t="str">
            <v>Ibertioga</v>
          </cell>
        </row>
        <row r="2087">
          <cell r="C2087" t="str">
            <v>Ibia</v>
          </cell>
        </row>
        <row r="2088">
          <cell r="C2088" t="str">
            <v>Ibiaca</v>
          </cell>
        </row>
        <row r="2089">
          <cell r="C2089" t="str">
            <v>Ibiai</v>
          </cell>
        </row>
        <row r="2090">
          <cell r="C2090" t="str">
            <v>Ibiam</v>
          </cell>
        </row>
        <row r="2091">
          <cell r="C2091" t="str">
            <v>Ibiapina</v>
          </cell>
        </row>
        <row r="2092">
          <cell r="C2092" t="str">
            <v>Ibiara</v>
          </cell>
        </row>
        <row r="2093">
          <cell r="C2093" t="str">
            <v>Ibiassuce</v>
          </cell>
        </row>
        <row r="2094">
          <cell r="C2094" t="str">
            <v>Ibicarai</v>
          </cell>
        </row>
        <row r="2095">
          <cell r="C2095" t="str">
            <v>Ibicare</v>
          </cell>
        </row>
        <row r="2096">
          <cell r="C2096" t="str">
            <v>Ibicoara</v>
          </cell>
        </row>
        <row r="2097">
          <cell r="C2097" t="str">
            <v>Ibicui</v>
          </cell>
        </row>
        <row r="2098">
          <cell r="C2098" t="str">
            <v>Ibicuitinga</v>
          </cell>
        </row>
        <row r="2099">
          <cell r="C2099" t="str">
            <v>Ibimirim</v>
          </cell>
        </row>
        <row r="2100">
          <cell r="C2100" t="str">
            <v>Ibipeba</v>
          </cell>
        </row>
        <row r="2101">
          <cell r="C2101" t="str">
            <v>Ibipitanga</v>
          </cell>
        </row>
        <row r="2102">
          <cell r="C2102" t="str">
            <v>Ibipora</v>
          </cell>
        </row>
        <row r="2103">
          <cell r="C2103" t="str">
            <v>Ibiquera</v>
          </cell>
        </row>
        <row r="2104">
          <cell r="C2104" t="str">
            <v>Ibira</v>
          </cell>
        </row>
        <row r="2105">
          <cell r="C2105" t="str">
            <v>Ibiracatu</v>
          </cell>
        </row>
        <row r="2106">
          <cell r="C2106" t="str">
            <v>Ibiraci</v>
          </cell>
        </row>
        <row r="2107">
          <cell r="C2107" t="str">
            <v>Ibiracu</v>
          </cell>
        </row>
        <row r="2108">
          <cell r="C2108" t="str">
            <v>Ibiraiaras</v>
          </cell>
        </row>
        <row r="2109">
          <cell r="C2109" t="str">
            <v>Ibirajuba</v>
          </cell>
        </row>
        <row r="2110">
          <cell r="C2110" t="str">
            <v>Ibirama</v>
          </cell>
        </row>
        <row r="2111">
          <cell r="C2111" t="str">
            <v>Ibirapitanga</v>
          </cell>
        </row>
        <row r="2112">
          <cell r="C2112" t="str">
            <v>Ibirapua</v>
          </cell>
        </row>
        <row r="2113">
          <cell r="C2113" t="str">
            <v>Ibirapuita</v>
          </cell>
        </row>
        <row r="2114">
          <cell r="C2114" t="str">
            <v>Ibirarema</v>
          </cell>
        </row>
        <row r="2115">
          <cell r="C2115" t="str">
            <v>Ibirataia</v>
          </cell>
        </row>
        <row r="2116">
          <cell r="C2116" t="str">
            <v>Ibirite</v>
          </cell>
        </row>
        <row r="2117">
          <cell r="C2117" t="str">
            <v>Ibiruba</v>
          </cell>
        </row>
        <row r="2118">
          <cell r="C2118" t="str">
            <v>Ibitiara</v>
          </cell>
        </row>
        <row r="2119">
          <cell r="C2119" t="str">
            <v>Ibitinga</v>
          </cell>
        </row>
        <row r="2120">
          <cell r="C2120" t="str">
            <v>Ibitirama</v>
          </cell>
        </row>
        <row r="2121">
          <cell r="C2121" t="str">
            <v>Ibitita</v>
          </cell>
        </row>
        <row r="2122">
          <cell r="C2122" t="str">
            <v>Ibitiura de Minas</v>
          </cell>
        </row>
        <row r="2123">
          <cell r="C2123" t="str">
            <v>Ibituruna</v>
          </cell>
        </row>
        <row r="2124">
          <cell r="C2124" t="str">
            <v>Ibiuna</v>
          </cell>
        </row>
        <row r="2125">
          <cell r="C2125" t="str">
            <v>Ibotirama</v>
          </cell>
        </row>
        <row r="2126">
          <cell r="C2126" t="str">
            <v>Icapui</v>
          </cell>
        </row>
        <row r="2127">
          <cell r="C2127" t="str">
            <v>Icara</v>
          </cell>
        </row>
        <row r="2128">
          <cell r="C2128" t="str">
            <v>Icarai de Minas</v>
          </cell>
        </row>
        <row r="2129">
          <cell r="C2129" t="str">
            <v>Icaraima</v>
          </cell>
        </row>
        <row r="2130">
          <cell r="C2130" t="str">
            <v>Icatu</v>
          </cell>
        </row>
        <row r="2131">
          <cell r="C2131" t="str">
            <v>Icem</v>
          </cell>
        </row>
        <row r="2132">
          <cell r="C2132" t="str">
            <v>Ichu</v>
          </cell>
        </row>
        <row r="2133">
          <cell r="C2133" t="str">
            <v>Ico</v>
          </cell>
        </row>
        <row r="2134">
          <cell r="C2134" t="str">
            <v>Iconha</v>
          </cell>
        </row>
        <row r="2135">
          <cell r="C2135" t="str">
            <v>Ielmo Marinho</v>
          </cell>
        </row>
        <row r="2136">
          <cell r="C2136" t="str">
            <v>Iepe</v>
          </cell>
        </row>
        <row r="2137">
          <cell r="C2137" t="str">
            <v>Igaci</v>
          </cell>
        </row>
        <row r="2138">
          <cell r="C2138" t="str">
            <v>Igapora</v>
          </cell>
        </row>
        <row r="2139">
          <cell r="C2139" t="str">
            <v>Igaracu do Tiete</v>
          </cell>
        </row>
        <row r="2140">
          <cell r="C2140" t="str">
            <v>Igaracy</v>
          </cell>
        </row>
        <row r="2141">
          <cell r="C2141" t="str">
            <v>Igarapava</v>
          </cell>
        </row>
        <row r="2142">
          <cell r="C2142" t="str">
            <v>Igarape</v>
          </cell>
        </row>
        <row r="2143">
          <cell r="C2143" t="str">
            <v>Igarape do Meio</v>
          </cell>
        </row>
        <row r="2144">
          <cell r="C2144" t="str">
            <v>Igarape Grande</v>
          </cell>
        </row>
        <row r="2145">
          <cell r="C2145" t="str">
            <v>Igarape-Acu</v>
          </cell>
        </row>
        <row r="2146">
          <cell r="C2146" t="str">
            <v>Igarape-Miri</v>
          </cell>
        </row>
        <row r="2147">
          <cell r="C2147" t="str">
            <v>Igarassu</v>
          </cell>
        </row>
        <row r="2148">
          <cell r="C2148" t="str">
            <v>Igarata</v>
          </cell>
        </row>
        <row r="2149">
          <cell r="C2149" t="str">
            <v>Igaratinga</v>
          </cell>
        </row>
        <row r="2150">
          <cell r="C2150" t="str">
            <v>Igrapiuna</v>
          </cell>
        </row>
        <row r="2151">
          <cell r="C2151" t="str">
            <v>Igreja Nova</v>
          </cell>
        </row>
        <row r="2152">
          <cell r="C2152" t="str">
            <v>Igrejinha</v>
          </cell>
        </row>
        <row r="2153">
          <cell r="C2153" t="str">
            <v>Iguaba Grande</v>
          </cell>
        </row>
        <row r="2154">
          <cell r="C2154" t="str">
            <v>Iguai</v>
          </cell>
        </row>
        <row r="2155">
          <cell r="C2155" t="str">
            <v>Iguape</v>
          </cell>
        </row>
        <row r="2156">
          <cell r="C2156" t="str">
            <v>Iguaraci</v>
          </cell>
        </row>
        <row r="2157">
          <cell r="C2157" t="str">
            <v>Iguaracu</v>
          </cell>
        </row>
        <row r="2158">
          <cell r="C2158" t="str">
            <v>Iguatama</v>
          </cell>
        </row>
        <row r="2159">
          <cell r="C2159" t="str">
            <v>Iguatemi</v>
          </cell>
        </row>
        <row r="2160">
          <cell r="C2160" t="str">
            <v>Iguatu</v>
          </cell>
        </row>
        <row r="2161">
          <cell r="C2161" t="str">
            <v>Iguatu</v>
          </cell>
        </row>
        <row r="2162">
          <cell r="C2162" t="str">
            <v>Ijaci</v>
          </cell>
        </row>
        <row r="2163">
          <cell r="C2163" t="str">
            <v>Ijui</v>
          </cell>
        </row>
        <row r="2164">
          <cell r="C2164" t="str">
            <v>Ilha Comprida</v>
          </cell>
        </row>
        <row r="2165">
          <cell r="C2165" t="str">
            <v>Ilha das Flores</v>
          </cell>
        </row>
        <row r="2166">
          <cell r="C2166" t="str">
            <v>Ilha de Itamaraca</v>
          </cell>
        </row>
        <row r="2167">
          <cell r="C2167" t="str">
            <v>Ilha Grande</v>
          </cell>
        </row>
        <row r="2168">
          <cell r="C2168" t="str">
            <v>Ilha Solteira</v>
          </cell>
        </row>
        <row r="2169">
          <cell r="C2169" t="str">
            <v>Ilhabela</v>
          </cell>
        </row>
        <row r="2170">
          <cell r="C2170" t="str">
            <v>Ilheus</v>
          </cell>
        </row>
        <row r="2171">
          <cell r="C2171" t="str">
            <v>Ilhota</v>
          </cell>
        </row>
        <row r="2172">
          <cell r="C2172" t="str">
            <v>Ilicinea</v>
          </cell>
        </row>
        <row r="2173">
          <cell r="C2173" t="str">
            <v>Ilopolis</v>
          </cell>
        </row>
        <row r="2174">
          <cell r="C2174" t="str">
            <v>Imaculada</v>
          </cell>
        </row>
        <row r="2175">
          <cell r="C2175" t="str">
            <v>Imarui</v>
          </cell>
        </row>
        <row r="2176">
          <cell r="C2176" t="str">
            <v>Imbau</v>
          </cell>
        </row>
        <row r="2177">
          <cell r="C2177" t="str">
            <v>Imbe</v>
          </cell>
        </row>
        <row r="2178">
          <cell r="C2178" t="str">
            <v>Imbe de Minas</v>
          </cell>
        </row>
        <row r="2179">
          <cell r="C2179" t="str">
            <v>Imbituba</v>
          </cell>
        </row>
        <row r="2180">
          <cell r="C2180" t="str">
            <v>Imbituva</v>
          </cell>
        </row>
        <row r="2181">
          <cell r="C2181" t="str">
            <v>Imbuia</v>
          </cell>
        </row>
        <row r="2182">
          <cell r="C2182" t="str">
            <v>Imigrante</v>
          </cell>
        </row>
        <row r="2183">
          <cell r="C2183" t="str">
            <v>Imperatriz</v>
          </cell>
        </row>
        <row r="2184">
          <cell r="C2184" t="str">
            <v>Inacio Martins</v>
          </cell>
        </row>
        <row r="2185">
          <cell r="C2185" t="str">
            <v>Inaciolandia</v>
          </cell>
        </row>
        <row r="2186">
          <cell r="C2186" t="str">
            <v>Inaja</v>
          </cell>
        </row>
        <row r="2187">
          <cell r="C2187" t="str">
            <v>Inaja</v>
          </cell>
        </row>
        <row r="2188">
          <cell r="C2188" t="str">
            <v>Inconfidentes</v>
          </cell>
        </row>
        <row r="2189">
          <cell r="C2189" t="str">
            <v>Indaiabira</v>
          </cell>
        </row>
        <row r="2190">
          <cell r="C2190" t="str">
            <v>Indaial</v>
          </cell>
        </row>
        <row r="2191">
          <cell r="C2191" t="str">
            <v>Indaiatuba</v>
          </cell>
        </row>
        <row r="2192">
          <cell r="C2192" t="str">
            <v>Independencia</v>
          </cell>
        </row>
        <row r="2193">
          <cell r="C2193" t="str">
            <v>Independencia</v>
          </cell>
        </row>
        <row r="2194">
          <cell r="C2194" t="str">
            <v>Indiana</v>
          </cell>
        </row>
        <row r="2195">
          <cell r="C2195" t="str">
            <v>Indianopolis</v>
          </cell>
        </row>
        <row r="2196">
          <cell r="C2196" t="str">
            <v>Indianopolis</v>
          </cell>
        </row>
        <row r="2197">
          <cell r="C2197" t="str">
            <v>Indiapora</v>
          </cell>
        </row>
        <row r="2198">
          <cell r="C2198" t="str">
            <v>Indiara</v>
          </cell>
        </row>
        <row r="2199">
          <cell r="C2199" t="str">
            <v>Indiaroba</v>
          </cell>
        </row>
        <row r="2200">
          <cell r="C2200" t="str">
            <v>Indiavai</v>
          </cell>
        </row>
        <row r="2201">
          <cell r="C2201" t="str">
            <v>Inga</v>
          </cell>
        </row>
        <row r="2202">
          <cell r="C2202" t="str">
            <v>Ingai</v>
          </cell>
        </row>
        <row r="2203">
          <cell r="C2203" t="str">
            <v>Ingazeira</v>
          </cell>
        </row>
        <row r="2204">
          <cell r="C2204" t="str">
            <v>Inhacora</v>
          </cell>
        </row>
        <row r="2205">
          <cell r="C2205" t="str">
            <v>Inhambupe</v>
          </cell>
        </row>
        <row r="2206">
          <cell r="C2206" t="str">
            <v>Inhangapi</v>
          </cell>
        </row>
        <row r="2207">
          <cell r="C2207" t="str">
            <v>Inhapi</v>
          </cell>
        </row>
        <row r="2208">
          <cell r="C2208" t="str">
            <v>Inhapim</v>
          </cell>
        </row>
        <row r="2209">
          <cell r="C2209" t="str">
            <v>Inhauma</v>
          </cell>
        </row>
        <row r="2210">
          <cell r="C2210" t="str">
            <v>Inhuma</v>
          </cell>
        </row>
        <row r="2211">
          <cell r="C2211" t="str">
            <v>Inhumas</v>
          </cell>
        </row>
        <row r="2212">
          <cell r="C2212" t="str">
            <v>Inimutaba</v>
          </cell>
        </row>
        <row r="2213">
          <cell r="C2213" t="str">
            <v>Inocencia</v>
          </cell>
        </row>
        <row r="2214">
          <cell r="C2214" t="str">
            <v>Inubia Paulista</v>
          </cell>
        </row>
        <row r="2215">
          <cell r="C2215" t="str">
            <v>Iomere</v>
          </cell>
        </row>
        <row r="2216">
          <cell r="C2216" t="str">
            <v>Ipaba</v>
          </cell>
        </row>
        <row r="2217">
          <cell r="C2217" t="str">
            <v>Ipameri</v>
          </cell>
        </row>
        <row r="2218">
          <cell r="C2218" t="str">
            <v>Ipanema</v>
          </cell>
        </row>
        <row r="2219">
          <cell r="C2219" t="str">
            <v>Ipanguacu</v>
          </cell>
        </row>
        <row r="2220">
          <cell r="C2220" t="str">
            <v>Ipaporanga</v>
          </cell>
        </row>
        <row r="2221">
          <cell r="C2221" t="str">
            <v>Ipatinga</v>
          </cell>
        </row>
        <row r="2222">
          <cell r="C2222" t="str">
            <v>Ipaumirim</v>
          </cell>
        </row>
        <row r="2223">
          <cell r="C2223" t="str">
            <v>Ipaussu</v>
          </cell>
        </row>
        <row r="2224">
          <cell r="C2224" t="str">
            <v>Ipe</v>
          </cell>
        </row>
        <row r="2225">
          <cell r="C2225" t="str">
            <v>Ipecaeta</v>
          </cell>
        </row>
        <row r="2226">
          <cell r="C2226" t="str">
            <v>Ipero</v>
          </cell>
        </row>
        <row r="2227">
          <cell r="C2227" t="str">
            <v>Ipeuna</v>
          </cell>
        </row>
        <row r="2228">
          <cell r="C2228" t="str">
            <v>Ipiacu</v>
          </cell>
        </row>
        <row r="2229">
          <cell r="C2229" t="str">
            <v>Ipiau</v>
          </cell>
        </row>
        <row r="2230">
          <cell r="C2230" t="str">
            <v>Ipigua</v>
          </cell>
        </row>
        <row r="2231">
          <cell r="C2231" t="str">
            <v>Ipira</v>
          </cell>
        </row>
        <row r="2232">
          <cell r="C2232" t="str">
            <v>Ipira</v>
          </cell>
        </row>
        <row r="2233">
          <cell r="C2233" t="str">
            <v>Ipiranga</v>
          </cell>
        </row>
        <row r="2234">
          <cell r="C2234" t="str">
            <v>Ipiranga de Goias</v>
          </cell>
        </row>
        <row r="2235">
          <cell r="C2235" t="str">
            <v>Ipiranga do Piaui</v>
          </cell>
        </row>
        <row r="2236">
          <cell r="C2236" t="str">
            <v>Ipiranga do Sul</v>
          </cell>
        </row>
        <row r="2237">
          <cell r="C2237" t="str">
            <v>Ipixuna</v>
          </cell>
        </row>
        <row r="2238">
          <cell r="C2238" t="str">
            <v>Ipixuna do Para</v>
          </cell>
        </row>
        <row r="2239">
          <cell r="C2239" t="str">
            <v>Ipojuca</v>
          </cell>
        </row>
        <row r="2240">
          <cell r="C2240" t="str">
            <v>Ipora</v>
          </cell>
        </row>
        <row r="2241">
          <cell r="C2241" t="str">
            <v>Ipora</v>
          </cell>
        </row>
        <row r="2242">
          <cell r="C2242" t="str">
            <v>Ipora do Oeste</v>
          </cell>
        </row>
        <row r="2243">
          <cell r="C2243" t="str">
            <v>Iporanga</v>
          </cell>
        </row>
        <row r="2244">
          <cell r="C2244" t="str">
            <v>Ipu</v>
          </cell>
        </row>
        <row r="2245">
          <cell r="C2245" t="str">
            <v>Ipua</v>
          </cell>
        </row>
        <row r="2246">
          <cell r="C2246" t="str">
            <v>Ipuacu</v>
          </cell>
        </row>
        <row r="2247">
          <cell r="C2247" t="str">
            <v>Ipubi</v>
          </cell>
        </row>
        <row r="2248">
          <cell r="C2248" t="str">
            <v>Ipueira</v>
          </cell>
        </row>
        <row r="2249">
          <cell r="C2249" t="str">
            <v>Ipueiras</v>
          </cell>
        </row>
        <row r="2250">
          <cell r="C2250" t="str">
            <v>Ipueiras</v>
          </cell>
        </row>
        <row r="2251">
          <cell r="C2251" t="str">
            <v>Ipuiuna</v>
          </cell>
        </row>
        <row r="2252">
          <cell r="C2252" t="str">
            <v>Ipumirim</v>
          </cell>
        </row>
        <row r="2253">
          <cell r="C2253" t="str">
            <v>Ipupiara</v>
          </cell>
        </row>
        <row r="2254">
          <cell r="C2254" t="str">
            <v>Iracema</v>
          </cell>
        </row>
        <row r="2255">
          <cell r="C2255" t="str">
            <v>Iracema</v>
          </cell>
        </row>
        <row r="2256">
          <cell r="C2256" t="str">
            <v>Iracema do Oeste</v>
          </cell>
        </row>
        <row r="2257">
          <cell r="C2257" t="str">
            <v>Iracemapolis</v>
          </cell>
        </row>
        <row r="2258">
          <cell r="C2258" t="str">
            <v>Iraceminha</v>
          </cell>
        </row>
        <row r="2259">
          <cell r="C2259" t="str">
            <v>Irai</v>
          </cell>
        </row>
        <row r="2260">
          <cell r="C2260" t="str">
            <v>Irai de Minas</v>
          </cell>
        </row>
        <row r="2261">
          <cell r="C2261" t="str">
            <v>Irajuba</v>
          </cell>
        </row>
        <row r="2262">
          <cell r="C2262" t="str">
            <v>Iramaia</v>
          </cell>
        </row>
        <row r="2263">
          <cell r="C2263" t="str">
            <v>Iranduba</v>
          </cell>
        </row>
        <row r="2264">
          <cell r="C2264" t="str">
            <v>Irani</v>
          </cell>
        </row>
        <row r="2265">
          <cell r="C2265" t="str">
            <v>Irapua</v>
          </cell>
        </row>
        <row r="2266">
          <cell r="C2266" t="str">
            <v>Irapuru</v>
          </cell>
        </row>
        <row r="2267">
          <cell r="C2267" t="str">
            <v>Iraquara</v>
          </cell>
        </row>
        <row r="2268">
          <cell r="C2268" t="str">
            <v>Irara</v>
          </cell>
        </row>
        <row r="2269">
          <cell r="C2269" t="str">
            <v>Irati</v>
          </cell>
        </row>
        <row r="2270">
          <cell r="C2270" t="str">
            <v>Irati</v>
          </cell>
        </row>
        <row r="2271">
          <cell r="C2271" t="str">
            <v>Iraucuba</v>
          </cell>
        </row>
        <row r="2272">
          <cell r="C2272" t="str">
            <v>Irece</v>
          </cell>
        </row>
        <row r="2273">
          <cell r="C2273" t="str">
            <v>Iretama</v>
          </cell>
        </row>
        <row r="2274">
          <cell r="C2274" t="str">
            <v>Irineopolis</v>
          </cell>
        </row>
        <row r="2275">
          <cell r="C2275" t="str">
            <v>Irituia</v>
          </cell>
        </row>
        <row r="2276">
          <cell r="C2276" t="str">
            <v>Irupi</v>
          </cell>
        </row>
        <row r="2277">
          <cell r="C2277" t="str">
            <v>Isaias Coelho</v>
          </cell>
        </row>
        <row r="2278">
          <cell r="C2278" t="str">
            <v>Israelandia</v>
          </cell>
        </row>
        <row r="2279">
          <cell r="C2279" t="str">
            <v>Ita</v>
          </cell>
        </row>
        <row r="2280">
          <cell r="C2280" t="str">
            <v>Itaara</v>
          </cell>
        </row>
        <row r="2281">
          <cell r="C2281" t="str">
            <v>Itabaiana</v>
          </cell>
        </row>
        <row r="2282">
          <cell r="C2282" t="str">
            <v>Itabaiana</v>
          </cell>
        </row>
        <row r="2283">
          <cell r="C2283" t="str">
            <v>Itabaianinha</v>
          </cell>
        </row>
        <row r="2284">
          <cell r="C2284" t="str">
            <v>Itabela</v>
          </cell>
        </row>
        <row r="2285">
          <cell r="C2285" t="str">
            <v>Itabera</v>
          </cell>
        </row>
        <row r="2286">
          <cell r="C2286" t="str">
            <v>Itaberaba</v>
          </cell>
        </row>
        <row r="2287">
          <cell r="C2287" t="str">
            <v>Itaberai</v>
          </cell>
        </row>
        <row r="2288">
          <cell r="C2288" t="str">
            <v>Itabi</v>
          </cell>
        </row>
        <row r="2289">
          <cell r="C2289" t="str">
            <v>Itabira</v>
          </cell>
        </row>
        <row r="2290">
          <cell r="C2290" t="str">
            <v>Itabirinha</v>
          </cell>
        </row>
        <row r="2291">
          <cell r="C2291" t="str">
            <v>Itabirito</v>
          </cell>
        </row>
        <row r="2292">
          <cell r="C2292" t="str">
            <v>Itaborai</v>
          </cell>
        </row>
        <row r="2293">
          <cell r="C2293" t="str">
            <v>Itabuna</v>
          </cell>
        </row>
        <row r="2294">
          <cell r="C2294" t="str">
            <v>Itacaja</v>
          </cell>
        </row>
        <row r="2295">
          <cell r="C2295" t="str">
            <v>Itacambira</v>
          </cell>
        </row>
        <row r="2296">
          <cell r="C2296" t="str">
            <v>Itacarambi</v>
          </cell>
        </row>
        <row r="2297">
          <cell r="C2297" t="str">
            <v>Itacare</v>
          </cell>
        </row>
        <row r="2298">
          <cell r="C2298" t="str">
            <v>Itacoatiara</v>
          </cell>
        </row>
        <row r="2299">
          <cell r="C2299" t="str">
            <v>Itacuruba</v>
          </cell>
        </row>
        <row r="2300">
          <cell r="C2300" t="str">
            <v>Itacurubi</v>
          </cell>
        </row>
        <row r="2301">
          <cell r="C2301" t="str">
            <v>Itaete</v>
          </cell>
        </row>
        <row r="2302">
          <cell r="C2302" t="str">
            <v>Itagi</v>
          </cell>
        </row>
        <row r="2303">
          <cell r="C2303" t="str">
            <v>Itagiba</v>
          </cell>
        </row>
        <row r="2304">
          <cell r="C2304" t="str">
            <v>Itagimirim</v>
          </cell>
        </row>
        <row r="2305">
          <cell r="C2305" t="str">
            <v>Itaguacu</v>
          </cell>
        </row>
        <row r="2306">
          <cell r="C2306" t="str">
            <v>Itaguacu da Bahia</v>
          </cell>
        </row>
        <row r="2307">
          <cell r="C2307" t="str">
            <v>Itaguai</v>
          </cell>
        </row>
        <row r="2308">
          <cell r="C2308" t="str">
            <v>Itaguaje</v>
          </cell>
        </row>
        <row r="2309">
          <cell r="C2309" t="str">
            <v>Itaguara</v>
          </cell>
        </row>
        <row r="2310">
          <cell r="C2310" t="str">
            <v>Itaguari</v>
          </cell>
        </row>
        <row r="2311">
          <cell r="C2311" t="str">
            <v>Itaguaru</v>
          </cell>
        </row>
        <row r="2312">
          <cell r="C2312" t="str">
            <v>Itaguatins</v>
          </cell>
        </row>
        <row r="2313">
          <cell r="C2313" t="str">
            <v>Itai</v>
          </cell>
        </row>
        <row r="2314">
          <cell r="C2314" t="str">
            <v>Itaiba</v>
          </cell>
        </row>
        <row r="2315">
          <cell r="C2315" t="str">
            <v>Itaicaba</v>
          </cell>
        </row>
        <row r="2316">
          <cell r="C2316" t="str">
            <v>Itainopolis</v>
          </cell>
        </row>
        <row r="2317">
          <cell r="C2317" t="str">
            <v>Itaiopolis</v>
          </cell>
        </row>
        <row r="2318">
          <cell r="C2318" t="str">
            <v>Itaipava do Grajau</v>
          </cell>
        </row>
        <row r="2319">
          <cell r="C2319" t="str">
            <v>Itaipe</v>
          </cell>
        </row>
        <row r="2320">
          <cell r="C2320" t="str">
            <v>Itaipulandia</v>
          </cell>
        </row>
        <row r="2321">
          <cell r="C2321" t="str">
            <v>Itaitinga</v>
          </cell>
        </row>
        <row r="2322">
          <cell r="C2322" t="str">
            <v>Itaituba</v>
          </cell>
        </row>
        <row r="2323">
          <cell r="C2323" t="str">
            <v>Itaja</v>
          </cell>
        </row>
        <row r="2324">
          <cell r="C2324" t="str">
            <v>Itaja</v>
          </cell>
        </row>
        <row r="2325">
          <cell r="C2325" t="str">
            <v>Itajai</v>
          </cell>
        </row>
        <row r="2326">
          <cell r="C2326" t="str">
            <v>Itajobi</v>
          </cell>
        </row>
        <row r="2327">
          <cell r="C2327" t="str">
            <v>Itaju</v>
          </cell>
        </row>
        <row r="2328">
          <cell r="C2328" t="str">
            <v>Itaju do Colonia</v>
          </cell>
        </row>
        <row r="2329">
          <cell r="C2329" t="str">
            <v>Itajuba</v>
          </cell>
        </row>
        <row r="2330">
          <cell r="C2330" t="str">
            <v>Itajuipe</v>
          </cell>
        </row>
        <row r="2331">
          <cell r="C2331" t="str">
            <v>Italva</v>
          </cell>
        </row>
        <row r="2332">
          <cell r="C2332" t="str">
            <v>Itamaraju</v>
          </cell>
        </row>
        <row r="2333">
          <cell r="C2333" t="str">
            <v>Itamarandiba</v>
          </cell>
        </row>
        <row r="2334">
          <cell r="C2334" t="str">
            <v>Itamarati</v>
          </cell>
        </row>
        <row r="2335">
          <cell r="C2335" t="str">
            <v>Itamarati de Minas</v>
          </cell>
        </row>
        <row r="2336">
          <cell r="C2336" t="str">
            <v>Itamari</v>
          </cell>
        </row>
        <row r="2337">
          <cell r="C2337" t="str">
            <v>Itambacuri</v>
          </cell>
        </row>
        <row r="2338">
          <cell r="C2338" t="str">
            <v>Itambaraca</v>
          </cell>
        </row>
        <row r="2339">
          <cell r="C2339" t="str">
            <v>Itambe</v>
          </cell>
        </row>
        <row r="2340">
          <cell r="C2340" t="str">
            <v>Itambe</v>
          </cell>
        </row>
        <row r="2341">
          <cell r="C2341" t="str">
            <v>Itambe</v>
          </cell>
        </row>
        <row r="2342">
          <cell r="C2342" t="str">
            <v>Itambe do Mato Dentro</v>
          </cell>
        </row>
        <row r="2343">
          <cell r="C2343" t="str">
            <v>Itamogi</v>
          </cell>
        </row>
        <row r="2344">
          <cell r="C2344" t="str">
            <v>Itamonte</v>
          </cell>
        </row>
        <row r="2345">
          <cell r="C2345" t="str">
            <v>Itanagra</v>
          </cell>
        </row>
        <row r="2346">
          <cell r="C2346" t="str">
            <v>Itanhaem</v>
          </cell>
        </row>
        <row r="2347">
          <cell r="C2347" t="str">
            <v>Itanhandu</v>
          </cell>
        </row>
        <row r="2348">
          <cell r="C2348" t="str">
            <v>Itanhem</v>
          </cell>
        </row>
        <row r="2349">
          <cell r="C2349" t="str">
            <v>Itanhomi</v>
          </cell>
        </row>
        <row r="2350">
          <cell r="C2350" t="str">
            <v>Itaobim</v>
          </cell>
        </row>
        <row r="2351">
          <cell r="C2351" t="str">
            <v>Itaoca</v>
          </cell>
        </row>
        <row r="2352">
          <cell r="C2352" t="str">
            <v>Itaocara</v>
          </cell>
        </row>
        <row r="2353">
          <cell r="C2353" t="str">
            <v>Itapaci</v>
          </cell>
        </row>
        <row r="2354">
          <cell r="C2354" t="str">
            <v>Itapage</v>
          </cell>
        </row>
        <row r="2355">
          <cell r="C2355" t="str">
            <v>Itapagipe</v>
          </cell>
        </row>
        <row r="2356">
          <cell r="C2356" t="str">
            <v>Itaparica</v>
          </cell>
        </row>
        <row r="2357">
          <cell r="C2357" t="str">
            <v>Itape</v>
          </cell>
        </row>
        <row r="2358">
          <cell r="C2358" t="str">
            <v>Itapebi</v>
          </cell>
        </row>
        <row r="2359">
          <cell r="C2359" t="str">
            <v>Itapecerica</v>
          </cell>
        </row>
        <row r="2360">
          <cell r="C2360" t="str">
            <v>Itapecerica da Serra</v>
          </cell>
        </row>
        <row r="2361">
          <cell r="C2361" t="str">
            <v>Itapecuru Mirim</v>
          </cell>
        </row>
        <row r="2362">
          <cell r="C2362" t="str">
            <v>Itapejara d'Oeste</v>
          </cell>
        </row>
        <row r="2363">
          <cell r="C2363" t="str">
            <v>Itapema</v>
          </cell>
        </row>
        <row r="2364">
          <cell r="C2364" t="str">
            <v>Itapemirim</v>
          </cell>
        </row>
        <row r="2365">
          <cell r="C2365" t="str">
            <v>Itaperucu</v>
          </cell>
        </row>
        <row r="2366">
          <cell r="C2366" t="str">
            <v>Itaperuna</v>
          </cell>
        </row>
        <row r="2367">
          <cell r="C2367" t="str">
            <v>Itapetim</v>
          </cell>
        </row>
        <row r="2368">
          <cell r="C2368" t="str">
            <v>Itapetinga</v>
          </cell>
        </row>
        <row r="2369">
          <cell r="C2369" t="str">
            <v>Itapetininga</v>
          </cell>
        </row>
        <row r="2370">
          <cell r="C2370" t="str">
            <v>Itapeva</v>
          </cell>
        </row>
        <row r="2371">
          <cell r="C2371" t="str">
            <v>Itapeva</v>
          </cell>
        </row>
        <row r="2372">
          <cell r="C2372" t="str">
            <v>Itapevi</v>
          </cell>
        </row>
        <row r="2373">
          <cell r="C2373" t="str">
            <v>Itapicuru</v>
          </cell>
        </row>
        <row r="2374">
          <cell r="C2374" t="str">
            <v>Itapipoca</v>
          </cell>
        </row>
        <row r="2375">
          <cell r="C2375" t="str">
            <v>Itapira</v>
          </cell>
        </row>
        <row r="2376">
          <cell r="C2376" t="str">
            <v>Itapiranga</v>
          </cell>
        </row>
        <row r="2377">
          <cell r="C2377" t="str">
            <v>Itapiranga</v>
          </cell>
        </row>
        <row r="2378">
          <cell r="C2378" t="str">
            <v>Itapirapua</v>
          </cell>
        </row>
        <row r="2379">
          <cell r="C2379" t="str">
            <v>Itapirapua Paulista</v>
          </cell>
        </row>
        <row r="2380">
          <cell r="C2380" t="str">
            <v>Itapiratins</v>
          </cell>
        </row>
        <row r="2381">
          <cell r="C2381" t="str">
            <v>Itapissuma</v>
          </cell>
        </row>
        <row r="2382">
          <cell r="C2382" t="str">
            <v>Itapitanga</v>
          </cell>
        </row>
        <row r="2383">
          <cell r="C2383" t="str">
            <v>Itapiuna</v>
          </cell>
        </row>
        <row r="2384">
          <cell r="C2384" t="str">
            <v>Itapoa</v>
          </cell>
        </row>
        <row r="2385">
          <cell r="C2385" t="str">
            <v>Itapolis</v>
          </cell>
        </row>
        <row r="2386">
          <cell r="C2386" t="str">
            <v>Itapora</v>
          </cell>
        </row>
        <row r="2387">
          <cell r="C2387" t="str">
            <v>Itapora do Tocantins</v>
          </cell>
        </row>
        <row r="2388">
          <cell r="C2388" t="str">
            <v>Itaporanga</v>
          </cell>
        </row>
        <row r="2389">
          <cell r="C2389" t="str">
            <v>Itaporanga</v>
          </cell>
        </row>
        <row r="2390">
          <cell r="C2390" t="str">
            <v>Itaporanga d'Ajuda</v>
          </cell>
        </row>
        <row r="2391">
          <cell r="C2391" t="str">
            <v>Itapororoca</v>
          </cell>
        </row>
        <row r="2392">
          <cell r="C2392" t="str">
            <v>Itapua do Oeste</v>
          </cell>
        </row>
        <row r="2393">
          <cell r="C2393" t="str">
            <v>Itapuca</v>
          </cell>
        </row>
        <row r="2394">
          <cell r="C2394" t="str">
            <v>Itapui</v>
          </cell>
        </row>
        <row r="2395">
          <cell r="C2395" t="str">
            <v>Itapura</v>
          </cell>
        </row>
        <row r="2396">
          <cell r="C2396" t="str">
            <v>Itapuranga</v>
          </cell>
        </row>
        <row r="2397">
          <cell r="C2397" t="str">
            <v>Itaquaquecetuba</v>
          </cell>
        </row>
        <row r="2398">
          <cell r="C2398" t="str">
            <v>Itaquara</v>
          </cell>
        </row>
        <row r="2399">
          <cell r="C2399" t="str">
            <v>Itaqui</v>
          </cell>
        </row>
        <row r="2400">
          <cell r="C2400" t="str">
            <v>Itaquirai</v>
          </cell>
        </row>
        <row r="2401">
          <cell r="C2401" t="str">
            <v>Itaquitinga</v>
          </cell>
        </row>
        <row r="2402">
          <cell r="C2402" t="str">
            <v>Itarana</v>
          </cell>
        </row>
        <row r="2403">
          <cell r="C2403" t="str">
            <v>Itarantim</v>
          </cell>
        </row>
        <row r="2404">
          <cell r="C2404" t="str">
            <v>Itarare</v>
          </cell>
        </row>
        <row r="2405">
          <cell r="C2405" t="str">
            <v>Itarema</v>
          </cell>
        </row>
        <row r="2406">
          <cell r="C2406" t="str">
            <v>Itariri</v>
          </cell>
        </row>
        <row r="2407">
          <cell r="C2407" t="str">
            <v>Itaruma</v>
          </cell>
        </row>
        <row r="2408">
          <cell r="C2408" t="str">
            <v>Itati</v>
          </cell>
        </row>
        <row r="2409">
          <cell r="C2409" t="str">
            <v>Itatiaia</v>
          </cell>
        </row>
        <row r="2410">
          <cell r="C2410" t="str">
            <v>Itatiaiucu</v>
          </cell>
        </row>
        <row r="2411">
          <cell r="C2411" t="str">
            <v>Itatiba</v>
          </cell>
        </row>
        <row r="2412">
          <cell r="C2412" t="str">
            <v>Itatiba do Sul</v>
          </cell>
        </row>
        <row r="2413">
          <cell r="C2413" t="str">
            <v>Itatim</v>
          </cell>
        </row>
        <row r="2414">
          <cell r="C2414" t="str">
            <v>Itatinga</v>
          </cell>
        </row>
        <row r="2415">
          <cell r="C2415" t="str">
            <v>Itatira</v>
          </cell>
        </row>
        <row r="2416">
          <cell r="C2416" t="str">
            <v>Itatuba</v>
          </cell>
        </row>
        <row r="2417">
          <cell r="C2417" t="str">
            <v>Itau</v>
          </cell>
        </row>
        <row r="2418">
          <cell r="C2418" t="str">
            <v>Itau de Minas</v>
          </cell>
        </row>
        <row r="2419">
          <cell r="C2419" t="str">
            <v>Itauba</v>
          </cell>
        </row>
        <row r="2420">
          <cell r="C2420" t="str">
            <v>Itaubal</v>
          </cell>
        </row>
        <row r="2421">
          <cell r="C2421" t="str">
            <v>Itaucu</v>
          </cell>
        </row>
        <row r="2422">
          <cell r="C2422" t="str">
            <v>Itaueira</v>
          </cell>
        </row>
        <row r="2423">
          <cell r="C2423" t="str">
            <v>Itauna</v>
          </cell>
        </row>
        <row r="2424">
          <cell r="C2424" t="str">
            <v>Itauna do Sul</v>
          </cell>
        </row>
        <row r="2425">
          <cell r="C2425" t="str">
            <v>Itaverava</v>
          </cell>
        </row>
        <row r="2426">
          <cell r="C2426" t="str">
            <v>Itinga</v>
          </cell>
        </row>
        <row r="2427">
          <cell r="C2427" t="str">
            <v>Itinga do Maranhao</v>
          </cell>
        </row>
        <row r="2428">
          <cell r="C2428" t="str">
            <v>Itiquira</v>
          </cell>
        </row>
        <row r="2429">
          <cell r="C2429" t="str">
            <v>Itirapina</v>
          </cell>
        </row>
        <row r="2430">
          <cell r="C2430" t="str">
            <v>Itirapua</v>
          </cell>
        </row>
        <row r="2431">
          <cell r="C2431" t="str">
            <v>Itirucu</v>
          </cell>
        </row>
        <row r="2432">
          <cell r="C2432" t="str">
            <v>Itiuba</v>
          </cell>
        </row>
        <row r="2433">
          <cell r="C2433" t="str">
            <v>Itobi</v>
          </cell>
        </row>
        <row r="2434">
          <cell r="C2434" t="str">
            <v>Itororo</v>
          </cell>
        </row>
        <row r="2435">
          <cell r="C2435" t="str">
            <v>Itu</v>
          </cell>
        </row>
        <row r="2436">
          <cell r="C2436" t="str">
            <v>Ituacu</v>
          </cell>
        </row>
        <row r="2437">
          <cell r="C2437" t="str">
            <v>Itubera</v>
          </cell>
        </row>
        <row r="2438">
          <cell r="C2438" t="str">
            <v>Itueta</v>
          </cell>
        </row>
        <row r="2439">
          <cell r="C2439" t="str">
            <v>Ituiutaba</v>
          </cell>
        </row>
        <row r="2440">
          <cell r="C2440" t="str">
            <v>Itumbiara</v>
          </cell>
        </row>
        <row r="2441">
          <cell r="C2441" t="str">
            <v>Itumirim</v>
          </cell>
        </row>
        <row r="2442">
          <cell r="C2442" t="str">
            <v>Itupeva</v>
          </cell>
        </row>
        <row r="2443">
          <cell r="C2443" t="str">
            <v>Itupiranga</v>
          </cell>
        </row>
        <row r="2444">
          <cell r="C2444" t="str">
            <v>Ituporanga</v>
          </cell>
        </row>
        <row r="2445">
          <cell r="C2445" t="str">
            <v>Iturama</v>
          </cell>
        </row>
        <row r="2446">
          <cell r="C2446" t="str">
            <v>Itutinga</v>
          </cell>
        </row>
        <row r="2447">
          <cell r="C2447" t="str">
            <v>Ituverava</v>
          </cell>
        </row>
        <row r="2448">
          <cell r="C2448" t="str">
            <v>Iuiu</v>
          </cell>
        </row>
        <row r="2449">
          <cell r="C2449" t="str">
            <v>Iuna</v>
          </cell>
        </row>
        <row r="2450">
          <cell r="C2450" t="str">
            <v>Ivai</v>
          </cell>
        </row>
        <row r="2451">
          <cell r="C2451" t="str">
            <v>Ivaipora</v>
          </cell>
        </row>
        <row r="2452">
          <cell r="C2452" t="str">
            <v>Ivate</v>
          </cell>
        </row>
        <row r="2453">
          <cell r="C2453" t="str">
            <v>Ivatuba</v>
          </cell>
        </row>
        <row r="2454">
          <cell r="C2454" t="str">
            <v>Ivinhema</v>
          </cell>
        </row>
        <row r="2455">
          <cell r="C2455" t="str">
            <v>Ivolandia</v>
          </cell>
        </row>
        <row r="2456">
          <cell r="C2456" t="str">
            <v>Ivora</v>
          </cell>
        </row>
        <row r="2457">
          <cell r="C2457" t="str">
            <v>Ivoti</v>
          </cell>
        </row>
        <row r="2458">
          <cell r="C2458" t="str">
            <v>Jaboatao dos Guararapes</v>
          </cell>
        </row>
        <row r="2459">
          <cell r="C2459" t="str">
            <v>Jabora</v>
          </cell>
        </row>
        <row r="2460">
          <cell r="C2460" t="str">
            <v>Jaborandi</v>
          </cell>
        </row>
        <row r="2461">
          <cell r="C2461" t="str">
            <v>Jaborandi</v>
          </cell>
        </row>
        <row r="2462">
          <cell r="C2462" t="str">
            <v>Jaboti</v>
          </cell>
        </row>
        <row r="2463">
          <cell r="C2463" t="str">
            <v>Jaboticaba</v>
          </cell>
        </row>
        <row r="2464">
          <cell r="C2464" t="str">
            <v>Jaboticabal</v>
          </cell>
        </row>
        <row r="2465">
          <cell r="C2465" t="str">
            <v>Jaboticatubas</v>
          </cell>
        </row>
        <row r="2466">
          <cell r="C2466" t="str">
            <v>Jacana</v>
          </cell>
        </row>
        <row r="2467">
          <cell r="C2467" t="str">
            <v>Jacaraci</v>
          </cell>
        </row>
        <row r="2468">
          <cell r="C2468" t="str">
            <v>Jacarau</v>
          </cell>
        </row>
        <row r="2469">
          <cell r="C2469" t="str">
            <v>Jacare dos Homens</v>
          </cell>
        </row>
        <row r="2470">
          <cell r="C2470" t="str">
            <v>Jacareacanga</v>
          </cell>
        </row>
        <row r="2471">
          <cell r="C2471" t="str">
            <v>Jacarei</v>
          </cell>
        </row>
        <row r="2472">
          <cell r="C2472" t="str">
            <v>Jacarezinho</v>
          </cell>
        </row>
        <row r="2473">
          <cell r="C2473" t="str">
            <v>Jaci</v>
          </cell>
        </row>
        <row r="2474">
          <cell r="C2474" t="str">
            <v>Jaciara</v>
          </cell>
        </row>
        <row r="2475">
          <cell r="C2475" t="str">
            <v>Jacinto</v>
          </cell>
        </row>
        <row r="2476">
          <cell r="C2476" t="str">
            <v>Jacinto Machado</v>
          </cell>
        </row>
        <row r="2477">
          <cell r="C2477" t="str">
            <v>Jacobina</v>
          </cell>
        </row>
        <row r="2478">
          <cell r="C2478" t="str">
            <v>Jacobina do Piaui</v>
          </cell>
        </row>
        <row r="2479">
          <cell r="C2479" t="str">
            <v>Jacui</v>
          </cell>
        </row>
        <row r="2480">
          <cell r="C2480" t="str">
            <v>Jacuipe</v>
          </cell>
        </row>
        <row r="2481">
          <cell r="C2481" t="str">
            <v>Jacuizinho</v>
          </cell>
        </row>
        <row r="2482">
          <cell r="C2482" t="str">
            <v>Jacunda</v>
          </cell>
        </row>
        <row r="2483">
          <cell r="C2483" t="str">
            <v>Jacupiranga</v>
          </cell>
        </row>
        <row r="2484">
          <cell r="C2484" t="str">
            <v>Jacutinga</v>
          </cell>
        </row>
        <row r="2485">
          <cell r="C2485" t="str">
            <v>Jacutinga</v>
          </cell>
        </row>
        <row r="2486">
          <cell r="C2486" t="str">
            <v>Jaguapita</v>
          </cell>
        </row>
        <row r="2487">
          <cell r="C2487" t="str">
            <v>Jaguaquara</v>
          </cell>
        </row>
        <row r="2488">
          <cell r="C2488" t="str">
            <v>Jaguaracu</v>
          </cell>
        </row>
        <row r="2489">
          <cell r="C2489" t="str">
            <v>Jaguarao</v>
          </cell>
        </row>
        <row r="2490">
          <cell r="C2490" t="str">
            <v>Jaguarari</v>
          </cell>
        </row>
        <row r="2491">
          <cell r="C2491" t="str">
            <v>Jaguare</v>
          </cell>
        </row>
        <row r="2492">
          <cell r="C2492" t="str">
            <v>Jaguaretama</v>
          </cell>
        </row>
        <row r="2493">
          <cell r="C2493" t="str">
            <v>Jaguari</v>
          </cell>
        </row>
        <row r="2494">
          <cell r="C2494" t="str">
            <v>Jaguariaiva</v>
          </cell>
        </row>
        <row r="2495">
          <cell r="C2495" t="str">
            <v>Jaguaribara</v>
          </cell>
        </row>
        <row r="2496">
          <cell r="C2496" t="str">
            <v>Jaguaribe</v>
          </cell>
        </row>
        <row r="2497">
          <cell r="C2497" t="str">
            <v>Jaguaripe</v>
          </cell>
        </row>
        <row r="2498">
          <cell r="C2498" t="str">
            <v>Jaguariuna</v>
          </cell>
        </row>
        <row r="2499">
          <cell r="C2499" t="str">
            <v>Jaguaruana</v>
          </cell>
        </row>
        <row r="2500">
          <cell r="C2500" t="str">
            <v>Jaguaruna</v>
          </cell>
        </row>
        <row r="2501">
          <cell r="C2501" t="str">
            <v>Jaiba</v>
          </cell>
        </row>
        <row r="2502">
          <cell r="C2502" t="str">
            <v>Jaicos</v>
          </cell>
        </row>
        <row r="2503">
          <cell r="C2503" t="str">
            <v>Jales</v>
          </cell>
        </row>
        <row r="2504">
          <cell r="C2504" t="str">
            <v>Jambeiro</v>
          </cell>
        </row>
        <row r="2505">
          <cell r="C2505" t="str">
            <v>Jampruca</v>
          </cell>
        </row>
        <row r="2506">
          <cell r="C2506" t="str">
            <v>Janauba</v>
          </cell>
        </row>
        <row r="2507">
          <cell r="C2507" t="str">
            <v>Jandaia</v>
          </cell>
        </row>
        <row r="2508">
          <cell r="C2508" t="str">
            <v>Jandaia do Sul</v>
          </cell>
        </row>
        <row r="2509">
          <cell r="C2509" t="str">
            <v>Jandaira</v>
          </cell>
        </row>
        <row r="2510">
          <cell r="C2510" t="str">
            <v>Jandaira</v>
          </cell>
        </row>
        <row r="2511">
          <cell r="C2511" t="str">
            <v>Jandira</v>
          </cell>
        </row>
        <row r="2512">
          <cell r="C2512" t="str">
            <v>Janduis</v>
          </cell>
        </row>
        <row r="2513">
          <cell r="C2513" t="str">
            <v>Jangada</v>
          </cell>
        </row>
        <row r="2514">
          <cell r="C2514" t="str">
            <v>Janiopolis</v>
          </cell>
        </row>
        <row r="2515">
          <cell r="C2515" t="str">
            <v>Januaria</v>
          </cell>
        </row>
        <row r="2516">
          <cell r="C2516" t="str">
            <v>Januario Cicco</v>
          </cell>
        </row>
        <row r="2517">
          <cell r="C2517" t="str">
            <v>Japaraiba</v>
          </cell>
        </row>
        <row r="2518">
          <cell r="C2518" t="str">
            <v>Japaratinga</v>
          </cell>
        </row>
        <row r="2519">
          <cell r="C2519" t="str">
            <v>Japaratuba</v>
          </cell>
        </row>
        <row r="2520">
          <cell r="C2520" t="str">
            <v>Japeri</v>
          </cell>
        </row>
        <row r="2521">
          <cell r="C2521" t="str">
            <v>Japi</v>
          </cell>
        </row>
        <row r="2522">
          <cell r="C2522" t="str">
            <v>Japira</v>
          </cell>
        </row>
        <row r="2523">
          <cell r="C2523" t="str">
            <v>Japoata</v>
          </cell>
        </row>
        <row r="2524">
          <cell r="C2524" t="str">
            <v>Japonvar</v>
          </cell>
        </row>
        <row r="2525">
          <cell r="C2525" t="str">
            <v>Japora</v>
          </cell>
        </row>
        <row r="2526">
          <cell r="C2526" t="str">
            <v>Japura</v>
          </cell>
        </row>
        <row r="2527">
          <cell r="C2527" t="str">
            <v>Japura</v>
          </cell>
        </row>
        <row r="2528">
          <cell r="C2528" t="str">
            <v>Jaqueira</v>
          </cell>
        </row>
        <row r="2529">
          <cell r="C2529" t="str">
            <v>Jaquirana</v>
          </cell>
        </row>
        <row r="2530">
          <cell r="C2530" t="str">
            <v>Jaragua</v>
          </cell>
        </row>
        <row r="2531">
          <cell r="C2531" t="str">
            <v>Jaragua do Sul</v>
          </cell>
        </row>
        <row r="2532">
          <cell r="C2532" t="str">
            <v>Jaraguari</v>
          </cell>
        </row>
        <row r="2533">
          <cell r="C2533" t="str">
            <v>Jaramataia</v>
          </cell>
        </row>
        <row r="2534">
          <cell r="C2534" t="str">
            <v>Jardim</v>
          </cell>
        </row>
        <row r="2535">
          <cell r="C2535" t="str">
            <v>Jardim</v>
          </cell>
        </row>
        <row r="2536">
          <cell r="C2536" t="str">
            <v>Jardim Alegre</v>
          </cell>
        </row>
        <row r="2537">
          <cell r="C2537" t="str">
            <v>Jardim de Angicos</v>
          </cell>
        </row>
        <row r="2538">
          <cell r="C2538" t="str">
            <v>Jardim de Piranhas</v>
          </cell>
        </row>
        <row r="2539">
          <cell r="C2539" t="str">
            <v>Jardim do Mulato</v>
          </cell>
        </row>
        <row r="2540">
          <cell r="C2540" t="str">
            <v>Jardim do Serido</v>
          </cell>
        </row>
        <row r="2541">
          <cell r="C2541" t="str">
            <v>Jardim Olinda</v>
          </cell>
        </row>
        <row r="2542">
          <cell r="C2542" t="str">
            <v>Jardinopolis</v>
          </cell>
        </row>
        <row r="2543">
          <cell r="C2543" t="str">
            <v>Jardinopolis</v>
          </cell>
        </row>
        <row r="2544">
          <cell r="C2544" t="str">
            <v>Jari</v>
          </cell>
        </row>
        <row r="2545">
          <cell r="C2545" t="str">
            <v>Jarinu</v>
          </cell>
        </row>
        <row r="2546">
          <cell r="C2546" t="str">
            <v>Jaru</v>
          </cell>
        </row>
        <row r="2547">
          <cell r="C2547" t="str">
            <v>Jatai</v>
          </cell>
        </row>
        <row r="2548">
          <cell r="C2548" t="str">
            <v>Jataizinho</v>
          </cell>
        </row>
        <row r="2549">
          <cell r="C2549" t="str">
            <v>Jatauba</v>
          </cell>
        </row>
        <row r="2550">
          <cell r="C2550" t="str">
            <v>Jatei</v>
          </cell>
        </row>
        <row r="2551">
          <cell r="C2551" t="str">
            <v>Jati</v>
          </cell>
        </row>
        <row r="2552">
          <cell r="C2552" t="str">
            <v>Jatoba</v>
          </cell>
        </row>
        <row r="2553">
          <cell r="C2553" t="str">
            <v>Jatoba</v>
          </cell>
        </row>
        <row r="2554">
          <cell r="C2554" t="str">
            <v>Jatoba do Piaui</v>
          </cell>
        </row>
        <row r="2555">
          <cell r="C2555" t="str">
            <v>Jau</v>
          </cell>
        </row>
        <row r="2556">
          <cell r="C2556" t="str">
            <v>Jau do Tocantins</v>
          </cell>
        </row>
        <row r="2557">
          <cell r="C2557" t="str">
            <v>Jaupaci</v>
          </cell>
        </row>
        <row r="2558">
          <cell r="C2558" t="str">
            <v>Jauru</v>
          </cell>
        </row>
        <row r="2559">
          <cell r="C2559" t="str">
            <v>Jeceaba</v>
          </cell>
        </row>
        <row r="2560">
          <cell r="C2560" t="str">
            <v>Jenipapo de Minas</v>
          </cell>
        </row>
        <row r="2561">
          <cell r="C2561" t="str">
            <v>Jenipapo dos Vieiras</v>
          </cell>
        </row>
        <row r="2562">
          <cell r="C2562" t="str">
            <v>Jequeri</v>
          </cell>
        </row>
        <row r="2563">
          <cell r="C2563" t="str">
            <v>Jequia da Praia</v>
          </cell>
        </row>
        <row r="2564">
          <cell r="C2564" t="str">
            <v>Jequie</v>
          </cell>
        </row>
        <row r="2565">
          <cell r="C2565" t="str">
            <v>Jequitai</v>
          </cell>
        </row>
        <row r="2566">
          <cell r="C2566" t="str">
            <v>Jequitiba</v>
          </cell>
        </row>
        <row r="2567">
          <cell r="C2567" t="str">
            <v>Jequitinhonha</v>
          </cell>
        </row>
        <row r="2568">
          <cell r="C2568" t="str">
            <v>Jeremoabo</v>
          </cell>
        </row>
        <row r="2569">
          <cell r="C2569" t="str">
            <v>Jerico</v>
          </cell>
        </row>
        <row r="2570">
          <cell r="C2570" t="str">
            <v>Jeriquara</v>
          </cell>
        </row>
        <row r="2571">
          <cell r="C2571" t="str">
            <v>Jeronimo Monteiro</v>
          </cell>
        </row>
        <row r="2572">
          <cell r="C2572" t="str">
            <v>Jerumenha</v>
          </cell>
        </row>
        <row r="2573">
          <cell r="C2573" t="str">
            <v>Jesuania</v>
          </cell>
        </row>
        <row r="2574">
          <cell r="C2574" t="str">
            <v>Jesuitas</v>
          </cell>
        </row>
        <row r="2575">
          <cell r="C2575" t="str">
            <v>Jesupolis</v>
          </cell>
        </row>
        <row r="2576">
          <cell r="C2576" t="str">
            <v>Jijoca de Jericoacoara</v>
          </cell>
        </row>
        <row r="2577">
          <cell r="C2577" t="str">
            <v>Ji-Parana</v>
          </cell>
        </row>
        <row r="2578">
          <cell r="C2578" t="str">
            <v>Jiquirica</v>
          </cell>
        </row>
        <row r="2579">
          <cell r="C2579" t="str">
            <v>Jitauna</v>
          </cell>
        </row>
        <row r="2580">
          <cell r="C2580" t="str">
            <v>Joacaba</v>
          </cell>
        </row>
        <row r="2581">
          <cell r="C2581" t="str">
            <v>Joaima</v>
          </cell>
        </row>
        <row r="2582">
          <cell r="C2582" t="str">
            <v>Joanesia</v>
          </cell>
        </row>
        <row r="2583">
          <cell r="C2583" t="str">
            <v>Joanopolis</v>
          </cell>
        </row>
        <row r="2584">
          <cell r="C2584" t="str">
            <v>Joao Alfredo</v>
          </cell>
        </row>
        <row r="2585">
          <cell r="C2585" t="str">
            <v>Joao Camara</v>
          </cell>
        </row>
        <row r="2586">
          <cell r="C2586" t="str">
            <v>Joao Costa</v>
          </cell>
        </row>
        <row r="2587">
          <cell r="C2587" t="str">
            <v>Joao Dias</v>
          </cell>
        </row>
        <row r="2588">
          <cell r="C2588" t="str">
            <v>Joao Dourado</v>
          </cell>
        </row>
        <row r="2589">
          <cell r="C2589" t="str">
            <v>Joao Lisboa</v>
          </cell>
        </row>
        <row r="2590">
          <cell r="C2590" t="str">
            <v>Joao Monlevade</v>
          </cell>
        </row>
        <row r="2591">
          <cell r="C2591" t="str">
            <v>Joao Neiva</v>
          </cell>
        </row>
        <row r="2592">
          <cell r="C2592" t="str">
            <v>Joao Pessoa</v>
          </cell>
        </row>
        <row r="2593">
          <cell r="C2593" t="str">
            <v>Joao Pinheiro</v>
          </cell>
        </row>
        <row r="2594">
          <cell r="C2594" t="str">
            <v>Joao Ramalho</v>
          </cell>
        </row>
        <row r="2595">
          <cell r="C2595" t="str">
            <v>Joaquim Felicio</v>
          </cell>
        </row>
        <row r="2596">
          <cell r="C2596" t="str">
            <v>Joaquim Gomes</v>
          </cell>
        </row>
        <row r="2597">
          <cell r="C2597" t="str">
            <v>Joaquim Nabuco</v>
          </cell>
        </row>
        <row r="2598">
          <cell r="C2598" t="str">
            <v>Joaquim Pires</v>
          </cell>
        </row>
        <row r="2599">
          <cell r="C2599" t="str">
            <v>Joaquim Tavora</v>
          </cell>
        </row>
        <row r="2600">
          <cell r="C2600" t="str">
            <v>Joca Marques</v>
          </cell>
        </row>
        <row r="2601">
          <cell r="C2601" t="str">
            <v>Joia</v>
          </cell>
        </row>
        <row r="2602">
          <cell r="C2602" t="str">
            <v>Joinville</v>
          </cell>
        </row>
        <row r="2603">
          <cell r="C2603" t="str">
            <v>Jordania</v>
          </cell>
        </row>
        <row r="2604">
          <cell r="C2604" t="str">
            <v>Jordao</v>
          </cell>
        </row>
        <row r="2605">
          <cell r="C2605" t="str">
            <v>Jose Boiteux</v>
          </cell>
        </row>
        <row r="2606">
          <cell r="C2606" t="str">
            <v>Jose Bonifacio</v>
          </cell>
        </row>
        <row r="2607">
          <cell r="C2607" t="str">
            <v>Jose da Penha</v>
          </cell>
        </row>
        <row r="2608">
          <cell r="C2608" t="str">
            <v>Jose de Freitas</v>
          </cell>
        </row>
        <row r="2609">
          <cell r="C2609" t="str">
            <v>Jose Goncalves de Minas</v>
          </cell>
        </row>
        <row r="2610">
          <cell r="C2610" t="str">
            <v>Jose Raydan</v>
          </cell>
        </row>
        <row r="2611">
          <cell r="C2611" t="str">
            <v>Joselandia</v>
          </cell>
        </row>
        <row r="2612">
          <cell r="C2612" t="str">
            <v>Josenopolis</v>
          </cell>
        </row>
        <row r="2613">
          <cell r="C2613" t="str">
            <v>Joviania</v>
          </cell>
        </row>
        <row r="2614">
          <cell r="C2614" t="str">
            <v>Juara</v>
          </cell>
        </row>
        <row r="2615">
          <cell r="C2615" t="str">
            <v>Juarez Tavora</v>
          </cell>
        </row>
        <row r="2616">
          <cell r="C2616" t="str">
            <v>Juarina</v>
          </cell>
        </row>
        <row r="2617">
          <cell r="C2617" t="str">
            <v>Juatuba</v>
          </cell>
        </row>
        <row r="2618">
          <cell r="C2618" t="str">
            <v>Juazeirinho</v>
          </cell>
        </row>
        <row r="2619">
          <cell r="C2619" t="str">
            <v>Juazeiro</v>
          </cell>
        </row>
        <row r="2620">
          <cell r="C2620" t="str">
            <v>Juazeiro do Norte</v>
          </cell>
        </row>
        <row r="2621">
          <cell r="C2621" t="str">
            <v>Juazeiro do Piaui</v>
          </cell>
        </row>
        <row r="2622">
          <cell r="C2622" t="str">
            <v>Jucas</v>
          </cell>
        </row>
        <row r="2623">
          <cell r="C2623" t="str">
            <v>Jucati</v>
          </cell>
        </row>
        <row r="2624">
          <cell r="C2624" t="str">
            <v>Jucurucu</v>
          </cell>
        </row>
        <row r="2625">
          <cell r="C2625" t="str">
            <v>Jucurutu</v>
          </cell>
        </row>
        <row r="2626">
          <cell r="C2626" t="str">
            <v>Juina</v>
          </cell>
        </row>
        <row r="2627">
          <cell r="C2627" t="str">
            <v>Juiz de Fora</v>
          </cell>
        </row>
        <row r="2628">
          <cell r="C2628" t="str">
            <v>Julio Borges</v>
          </cell>
        </row>
        <row r="2629">
          <cell r="C2629" t="str">
            <v>Julio de Castilhos</v>
          </cell>
        </row>
        <row r="2630">
          <cell r="C2630" t="str">
            <v>Julio Mesquita</v>
          </cell>
        </row>
        <row r="2631">
          <cell r="C2631" t="str">
            <v>Jumirim</v>
          </cell>
        </row>
        <row r="2632">
          <cell r="C2632" t="str">
            <v>Junco do Maranhao</v>
          </cell>
        </row>
        <row r="2633">
          <cell r="C2633" t="str">
            <v>Junco do Serido</v>
          </cell>
        </row>
        <row r="2634">
          <cell r="C2634" t="str">
            <v>Jundia</v>
          </cell>
        </row>
        <row r="2635">
          <cell r="C2635" t="str">
            <v>Jundia</v>
          </cell>
        </row>
        <row r="2636">
          <cell r="C2636" t="str">
            <v>Jundiai</v>
          </cell>
        </row>
        <row r="2637">
          <cell r="C2637" t="str">
            <v>Jundiai do Sul</v>
          </cell>
        </row>
        <row r="2638">
          <cell r="C2638" t="str">
            <v>Junqueiro</v>
          </cell>
        </row>
        <row r="2639">
          <cell r="C2639" t="str">
            <v>Junqueiropolis</v>
          </cell>
        </row>
        <row r="2640">
          <cell r="C2640" t="str">
            <v>Jupi</v>
          </cell>
        </row>
        <row r="2641">
          <cell r="C2641" t="str">
            <v>Jupia</v>
          </cell>
        </row>
        <row r="2642">
          <cell r="C2642" t="str">
            <v>Juquia</v>
          </cell>
        </row>
        <row r="2643">
          <cell r="C2643" t="str">
            <v>Juquitiba</v>
          </cell>
        </row>
        <row r="2644">
          <cell r="C2644" t="str">
            <v>Juramento</v>
          </cell>
        </row>
        <row r="2645">
          <cell r="C2645" t="str">
            <v>Juranda</v>
          </cell>
        </row>
        <row r="2646">
          <cell r="C2646" t="str">
            <v>Jurema</v>
          </cell>
        </row>
        <row r="2647">
          <cell r="C2647" t="str">
            <v>Jurema</v>
          </cell>
        </row>
        <row r="2648">
          <cell r="C2648" t="str">
            <v>Juripiranga</v>
          </cell>
        </row>
        <row r="2649">
          <cell r="C2649" t="str">
            <v>Juru</v>
          </cell>
        </row>
        <row r="2650">
          <cell r="C2650" t="str">
            <v>Jurua</v>
          </cell>
        </row>
        <row r="2651">
          <cell r="C2651" t="str">
            <v>Juruaia</v>
          </cell>
        </row>
        <row r="2652">
          <cell r="C2652" t="str">
            <v>Juruena</v>
          </cell>
        </row>
        <row r="2653">
          <cell r="C2653" t="str">
            <v>Juruti</v>
          </cell>
        </row>
        <row r="2654">
          <cell r="C2654" t="str">
            <v>Juscimeira</v>
          </cell>
        </row>
        <row r="2655">
          <cell r="C2655" t="str">
            <v>Jussara</v>
          </cell>
        </row>
        <row r="2656">
          <cell r="C2656" t="str">
            <v>Jussara</v>
          </cell>
        </row>
        <row r="2657">
          <cell r="C2657" t="str">
            <v>Jussara</v>
          </cell>
        </row>
        <row r="2658">
          <cell r="C2658" t="str">
            <v>Jussari</v>
          </cell>
        </row>
        <row r="2659">
          <cell r="C2659" t="str">
            <v>Jussiape</v>
          </cell>
        </row>
        <row r="2660">
          <cell r="C2660" t="str">
            <v>Jutai</v>
          </cell>
        </row>
        <row r="2661">
          <cell r="C2661" t="str">
            <v>Juti</v>
          </cell>
        </row>
        <row r="2662">
          <cell r="C2662" t="str">
            <v>Juvenilia</v>
          </cell>
        </row>
        <row r="2663">
          <cell r="C2663" t="str">
            <v>Kalore</v>
          </cell>
        </row>
        <row r="2664">
          <cell r="C2664" t="str">
            <v>Labrea</v>
          </cell>
        </row>
        <row r="2665">
          <cell r="C2665" t="str">
            <v>Lacerdopolis</v>
          </cell>
        </row>
        <row r="2666">
          <cell r="C2666" t="str">
            <v>Ladainha</v>
          </cell>
        </row>
        <row r="2667">
          <cell r="C2667" t="str">
            <v>Ladario</v>
          </cell>
        </row>
        <row r="2668">
          <cell r="C2668" t="str">
            <v>Lafaiete Coutinho</v>
          </cell>
        </row>
        <row r="2669">
          <cell r="C2669" t="str">
            <v>Lagamar</v>
          </cell>
        </row>
        <row r="2670">
          <cell r="C2670" t="str">
            <v>Lagarto</v>
          </cell>
        </row>
        <row r="2671">
          <cell r="C2671" t="str">
            <v>Lages</v>
          </cell>
        </row>
        <row r="2672">
          <cell r="C2672" t="str">
            <v>Lago da Pedra</v>
          </cell>
        </row>
        <row r="2673">
          <cell r="C2673" t="str">
            <v>Lago do Junco</v>
          </cell>
        </row>
        <row r="2674">
          <cell r="C2674" t="str">
            <v>Lago dos Rodrigues</v>
          </cell>
        </row>
        <row r="2675">
          <cell r="C2675" t="str">
            <v>Lago Verde</v>
          </cell>
        </row>
        <row r="2676">
          <cell r="C2676" t="str">
            <v>Lagoa</v>
          </cell>
        </row>
        <row r="2677">
          <cell r="C2677" t="str">
            <v>Lagoa Alegre</v>
          </cell>
        </row>
        <row r="2678">
          <cell r="C2678" t="str">
            <v>Lagoa Bonita do Sul</v>
          </cell>
        </row>
        <row r="2679">
          <cell r="C2679" t="str">
            <v>Lagoa da Canoa</v>
          </cell>
        </row>
        <row r="2680">
          <cell r="C2680" t="str">
            <v>Lagoa da Confusao</v>
          </cell>
        </row>
        <row r="2681">
          <cell r="C2681" t="str">
            <v>Lagoa da Prata</v>
          </cell>
        </row>
        <row r="2682">
          <cell r="C2682" t="str">
            <v>Lagoa d'Anta</v>
          </cell>
        </row>
        <row r="2683">
          <cell r="C2683" t="str">
            <v>Lagoa de Dentro</v>
          </cell>
        </row>
        <row r="2684">
          <cell r="C2684" t="str">
            <v>Lagoa de Pedras</v>
          </cell>
        </row>
        <row r="2685">
          <cell r="C2685" t="str">
            <v>Lagoa de Sao Francisco</v>
          </cell>
        </row>
        <row r="2686">
          <cell r="C2686" t="str">
            <v>Lagoa de Velhos</v>
          </cell>
        </row>
        <row r="2687">
          <cell r="C2687" t="str">
            <v>Lagoa do Barro do Piaui</v>
          </cell>
        </row>
        <row r="2688">
          <cell r="C2688" t="str">
            <v>Lagoa do Carro</v>
          </cell>
        </row>
        <row r="2689">
          <cell r="C2689" t="str">
            <v>Lagoa do Itaenga</v>
          </cell>
        </row>
        <row r="2690">
          <cell r="C2690" t="str">
            <v>Lagoa do Mato</v>
          </cell>
        </row>
        <row r="2691">
          <cell r="C2691" t="str">
            <v>Lagoa do Ouro</v>
          </cell>
        </row>
        <row r="2692">
          <cell r="C2692" t="str">
            <v>Lagoa do Piaui</v>
          </cell>
        </row>
        <row r="2693">
          <cell r="C2693" t="str">
            <v>Lagoa do Sitio</v>
          </cell>
        </row>
        <row r="2694">
          <cell r="C2694" t="str">
            <v>Lagoa do Tocantins</v>
          </cell>
        </row>
        <row r="2695">
          <cell r="C2695" t="str">
            <v>Lagoa dos Gatos</v>
          </cell>
        </row>
        <row r="2696">
          <cell r="C2696" t="str">
            <v>Lagoa dos Patos</v>
          </cell>
        </row>
        <row r="2697">
          <cell r="C2697" t="str">
            <v>Lagoa dos Tres Cantos</v>
          </cell>
        </row>
        <row r="2698">
          <cell r="C2698" t="str">
            <v>Lagoa Dourada</v>
          </cell>
        </row>
        <row r="2699">
          <cell r="C2699" t="str">
            <v>Lagoa Formosa</v>
          </cell>
        </row>
        <row r="2700">
          <cell r="C2700" t="str">
            <v>Lagoa Grande</v>
          </cell>
        </row>
        <row r="2701">
          <cell r="C2701" t="str">
            <v>Lagoa Grande</v>
          </cell>
        </row>
        <row r="2702">
          <cell r="C2702" t="str">
            <v>Lagoa Grande do Maranhao</v>
          </cell>
        </row>
        <row r="2703">
          <cell r="C2703" t="str">
            <v>Lagoa Nova</v>
          </cell>
        </row>
        <row r="2704">
          <cell r="C2704" t="str">
            <v>Lagoa Real</v>
          </cell>
        </row>
        <row r="2705">
          <cell r="C2705" t="str">
            <v>Lagoa Salgada</v>
          </cell>
        </row>
        <row r="2706">
          <cell r="C2706" t="str">
            <v>Lagoa Santa</v>
          </cell>
        </row>
        <row r="2707">
          <cell r="C2707" t="str">
            <v>Lagoa Santa</v>
          </cell>
        </row>
        <row r="2708">
          <cell r="C2708" t="str">
            <v>Lagoa Seca</v>
          </cell>
        </row>
        <row r="2709">
          <cell r="C2709" t="str">
            <v>Lagoa Vermelha</v>
          </cell>
        </row>
        <row r="2710">
          <cell r="C2710" t="str">
            <v>Lagoao</v>
          </cell>
        </row>
        <row r="2711">
          <cell r="C2711" t="str">
            <v>Lagoinha</v>
          </cell>
        </row>
        <row r="2712">
          <cell r="C2712" t="str">
            <v>Lagoinha do Piaui</v>
          </cell>
        </row>
        <row r="2713">
          <cell r="C2713" t="str">
            <v>Laguna</v>
          </cell>
        </row>
        <row r="2714">
          <cell r="C2714" t="str">
            <v>Laguna Carapa</v>
          </cell>
        </row>
        <row r="2715">
          <cell r="C2715" t="str">
            <v>Laje</v>
          </cell>
        </row>
        <row r="2716">
          <cell r="C2716" t="str">
            <v>Laje do Muriae</v>
          </cell>
        </row>
        <row r="2717">
          <cell r="C2717" t="str">
            <v>Lajeado</v>
          </cell>
        </row>
        <row r="2718">
          <cell r="C2718" t="str">
            <v>Lajeado</v>
          </cell>
        </row>
        <row r="2719">
          <cell r="C2719" t="str">
            <v>Lajeado do Bugre</v>
          </cell>
        </row>
        <row r="2720">
          <cell r="C2720" t="str">
            <v>Lajeado Grande</v>
          </cell>
        </row>
        <row r="2721">
          <cell r="C2721" t="str">
            <v>Lajeado Novo</v>
          </cell>
        </row>
        <row r="2722">
          <cell r="C2722" t="str">
            <v>Lajedao</v>
          </cell>
        </row>
        <row r="2723">
          <cell r="C2723" t="str">
            <v>Lajedinho</v>
          </cell>
        </row>
        <row r="2724">
          <cell r="C2724" t="str">
            <v>Lajedo</v>
          </cell>
        </row>
        <row r="2725">
          <cell r="C2725" t="str">
            <v>Lajedo do Tabocal</v>
          </cell>
        </row>
        <row r="2726">
          <cell r="C2726" t="str">
            <v>Lajes</v>
          </cell>
        </row>
        <row r="2727">
          <cell r="C2727" t="str">
            <v>Lajes Pintadas</v>
          </cell>
        </row>
        <row r="2728">
          <cell r="C2728" t="str">
            <v>Lajinha</v>
          </cell>
        </row>
        <row r="2729">
          <cell r="C2729" t="str">
            <v>Lamarao</v>
          </cell>
        </row>
        <row r="2730">
          <cell r="C2730" t="str">
            <v>Lambari</v>
          </cell>
        </row>
        <row r="2731">
          <cell r="C2731" t="str">
            <v>Lambari D'Oeste</v>
          </cell>
        </row>
        <row r="2732">
          <cell r="C2732" t="str">
            <v>Lamim</v>
          </cell>
        </row>
        <row r="2733">
          <cell r="C2733" t="str">
            <v>Landri Sales</v>
          </cell>
        </row>
        <row r="2734">
          <cell r="C2734" t="str">
            <v>Lapa</v>
          </cell>
        </row>
        <row r="2735">
          <cell r="C2735" t="str">
            <v>Lapao</v>
          </cell>
        </row>
        <row r="2736">
          <cell r="C2736" t="str">
            <v>Laranja da Terra</v>
          </cell>
        </row>
        <row r="2737">
          <cell r="C2737" t="str">
            <v>Laranjal</v>
          </cell>
        </row>
        <row r="2738">
          <cell r="C2738" t="str">
            <v>Laranjal</v>
          </cell>
        </row>
        <row r="2739">
          <cell r="C2739" t="str">
            <v>Laranjal do Jari</v>
          </cell>
        </row>
        <row r="2740">
          <cell r="C2740" t="str">
            <v>Laranjal Paulista</v>
          </cell>
        </row>
        <row r="2741">
          <cell r="C2741" t="str">
            <v>Laranjeiras</v>
          </cell>
        </row>
        <row r="2742">
          <cell r="C2742" t="str">
            <v>Laranjeiras do Sul</v>
          </cell>
        </row>
        <row r="2743">
          <cell r="C2743" t="str">
            <v>Lassance</v>
          </cell>
        </row>
        <row r="2744">
          <cell r="C2744" t="str">
            <v>Lastro</v>
          </cell>
        </row>
        <row r="2745">
          <cell r="C2745" t="str">
            <v>Laurentino</v>
          </cell>
        </row>
        <row r="2746">
          <cell r="C2746" t="str">
            <v>Lauro de Freitas</v>
          </cell>
        </row>
        <row r="2747">
          <cell r="C2747" t="str">
            <v>Lauro Muller</v>
          </cell>
        </row>
        <row r="2748">
          <cell r="C2748" t="str">
            <v>Lavandeira</v>
          </cell>
        </row>
        <row r="2749">
          <cell r="C2749" t="str">
            <v>Lavinia</v>
          </cell>
        </row>
        <row r="2750">
          <cell r="C2750" t="str">
            <v>Lavras</v>
          </cell>
        </row>
        <row r="2751">
          <cell r="C2751" t="str">
            <v>Lavras da Mangabeira</v>
          </cell>
        </row>
        <row r="2752">
          <cell r="C2752" t="str">
            <v>Lavras do Sul</v>
          </cell>
        </row>
        <row r="2753">
          <cell r="C2753" t="str">
            <v>Lavrinhas</v>
          </cell>
        </row>
        <row r="2754">
          <cell r="C2754" t="str">
            <v>Leandro Ferreira</v>
          </cell>
        </row>
        <row r="2755">
          <cell r="C2755" t="str">
            <v>Lebon Regis</v>
          </cell>
        </row>
        <row r="2756">
          <cell r="C2756" t="str">
            <v>Leme</v>
          </cell>
        </row>
        <row r="2757">
          <cell r="C2757" t="str">
            <v>Leme do Prado</v>
          </cell>
        </row>
        <row r="2758">
          <cell r="C2758" t="str">
            <v>Lencois</v>
          </cell>
        </row>
        <row r="2759">
          <cell r="C2759" t="str">
            <v>Lencois Paulista</v>
          </cell>
        </row>
        <row r="2760">
          <cell r="C2760" t="str">
            <v>Leoberto Leal</v>
          </cell>
        </row>
        <row r="2761">
          <cell r="C2761" t="str">
            <v>Leopoldina</v>
          </cell>
        </row>
        <row r="2762">
          <cell r="C2762" t="str">
            <v>Leopoldo de Bulhoes</v>
          </cell>
        </row>
        <row r="2763">
          <cell r="C2763" t="str">
            <v>Leopolis</v>
          </cell>
        </row>
        <row r="2764">
          <cell r="C2764" t="str">
            <v>Liberato Salzano</v>
          </cell>
        </row>
        <row r="2765">
          <cell r="C2765" t="str">
            <v>Liberdade</v>
          </cell>
        </row>
        <row r="2766">
          <cell r="C2766" t="str">
            <v>Licinio de Almeida</v>
          </cell>
        </row>
        <row r="2767">
          <cell r="C2767" t="str">
            <v>Lidianopolis</v>
          </cell>
        </row>
        <row r="2768">
          <cell r="C2768" t="str">
            <v>Lima Campos</v>
          </cell>
        </row>
        <row r="2769">
          <cell r="C2769" t="str">
            <v>Lima Duarte</v>
          </cell>
        </row>
        <row r="2770">
          <cell r="C2770" t="str">
            <v>Limeira</v>
          </cell>
        </row>
        <row r="2771">
          <cell r="C2771" t="str">
            <v>Limeira do Oeste</v>
          </cell>
        </row>
        <row r="2772">
          <cell r="C2772" t="str">
            <v>Limoeiro</v>
          </cell>
        </row>
        <row r="2773">
          <cell r="C2773" t="str">
            <v>Limoeiro de Anadia</v>
          </cell>
        </row>
        <row r="2774">
          <cell r="C2774" t="str">
            <v>Limoeiro do Ajuru</v>
          </cell>
        </row>
        <row r="2775">
          <cell r="C2775" t="str">
            <v>Limoeiro do Norte</v>
          </cell>
        </row>
        <row r="2776">
          <cell r="C2776" t="str">
            <v>Lindoeste</v>
          </cell>
        </row>
        <row r="2777">
          <cell r="C2777" t="str">
            <v>Lindoia</v>
          </cell>
        </row>
        <row r="2778">
          <cell r="C2778" t="str">
            <v>Lindoia do Sul</v>
          </cell>
        </row>
        <row r="2779">
          <cell r="C2779" t="str">
            <v>Lindolfo Collor</v>
          </cell>
        </row>
        <row r="2780">
          <cell r="C2780" t="str">
            <v>Linha Nova</v>
          </cell>
        </row>
        <row r="2781">
          <cell r="C2781" t="str">
            <v>Linhares</v>
          </cell>
        </row>
        <row r="2782">
          <cell r="C2782" t="str">
            <v>Lins</v>
          </cell>
        </row>
        <row r="2783">
          <cell r="C2783" t="str">
            <v>Livramento</v>
          </cell>
        </row>
        <row r="2784">
          <cell r="C2784" t="str">
            <v>Livramento de Nossa Senhora</v>
          </cell>
        </row>
        <row r="2785">
          <cell r="C2785" t="str">
            <v>Lizarda</v>
          </cell>
        </row>
        <row r="2786">
          <cell r="C2786" t="str">
            <v>Loanda</v>
          </cell>
        </row>
        <row r="2787">
          <cell r="C2787" t="str">
            <v>Lobato</v>
          </cell>
        </row>
        <row r="2788">
          <cell r="C2788" t="str">
            <v>Logradouro</v>
          </cell>
        </row>
        <row r="2789">
          <cell r="C2789" t="str">
            <v>Londrina</v>
          </cell>
        </row>
        <row r="2790">
          <cell r="C2790" t="str">
            <v>Lontra</v>
          </cell>
        </row>
        <row r="2791">
          <cell r="C2791" t="str">
            <v>Lontras</v>
          </cell>
        </row>
        <row r="2792">
          <cell r="C2792" t="str">
            <v>Lorena</v>
          </cell>
        </row>
        <row r="2793">
          <cell r="C2793" t="str">
            <v>Loreto</v>
          </cell>
        </row>
        <row r="2794">
          <cell r="C2794" t="str">
            <v>Lourdes</v>
          </cell>
        </row>
        <row r="2795">
          <cell r="C2795" t="str">
            <v>Louveira</v>
          </cell>
        </row>
        <row r="2796">
          <cell r="C2796" t="str">
            <v>Lucas do Rio Verde</v>
          </cell>
        </row>
        <row r="2797">
          <cell r="C2797" t="str">
            <v>Lucelia</v>
          </cell>
        </row>
        <row r="2798">
          <cell r="C2798" t="str">
            <v>Lucena</v>
          </cell>
        </row>
        <row r="2799">
          <cell r="C2799" t="str">
            <v>Lucianopolis</v>
          </cell>
        </row>
        <row r="2800">
          <cell r="C2800" t="str">
            <v>Luciara</v>
          </cell>
        </row>
        <row r="2801">
          <cell r="C2801" t="str">
            <v>Lucrecia</v>
          </cell>
        </row>
        <row r="2802">
          <cell r="C2802" t="str">
            <v>Luis Antonio</v>
          </cell>
        </row>
        <row r="2803">
          <cell r="C2803" t="str">
            <v>Luis Correia</v>
          </cell>
        </row>
        <row r="2804">
          <cell r="C2804" t="str">
            <v>Luis Domingues</v>
          </cell>
        </row>
        <row r="2805">
          <cell r="C2805" t="str">
            <v>Luis Eduardo Magalhaes</v>
          </cell>
        </row>
        <row r="2806">
          <cell r="C2806" t="str">
            <v>Luis Gomes</v>
          </cell>
        </row>
        <row r="2807">
          <cell r="C2807" t="str">
            <v>Luisburgo</v>
          </cell>
        </row>
        <row r="2808">
          <cell r="C2808" t="str">
            <v>Luislandia</v>
          </cell>
        </row>
        <row r="2809">
          <cell r="C2809" t="str">
            <v>Luiz Alves</v>
          </cell>
        </row>
        <row r="2810">
          <cell r="C2810" t="str">
            <v>Luiziana</v>
          </cell>
        </row>
        <row r="2811">
          <cell r="C2811" t="str">
            <v>Luiziania</v>
          </cell>
        </row>
        <row r="2812">
          <cell r="C2812" t="str">
            <v>Luminarias</v>
          </cell>
        </row>
        <row r="2813">
          <cell r="C2813" t="str">
            <v>Lunardelli</v>
          </cell>
        </row>
        <row r="2814">
          <cell r="C2814" t="str">
            <v>Lupercio</v>
          </cell>
        </row>
        <row r="2815">
          <cell r="C2815" t="str">
            <v>Lupionopolis</v>
          </cell>
        </row>
        <row r="2816">
          <cell r="C2816" t="str">
            <v>Lutecia</v>
          </cell>
        </row>
        <row r="2817">
          <cell r="C2817" t="str">
            <v>Luz</v>
          </cell>
        </row>
        <row r="2818">
          <cell r="C2818" t="str">
            <v>Luzerna</v>
          </cell>
        </row>
        <row r="2819">
          <cell r="C2819" t="str">
            <v>Luziania</v>
          </cell>
        </row>
        <row r="2820">
          <cell r="C2820" t="str">
            <v>Luzilandia</v>
          </cell>
        </row>
        <row r="2821">
          <cell r="C2821" t="str">
            <v>Luzinopolis</v>
          </cell>
        </row>
        <row r="2822">
          <cell r="C2822" t="str">
            <v>Macae</v>
          </cell>
        </row>
        <row r="2823">
          <cell r="C2823" t="str">
            <v>Macaiba</v>
          </cell>
        </row>
        <row r="2824">
          <cell r="C2824" t="str">
            <v>Macajuba</v>
          </cell>
        </row>
        <row r="2825">
          <cell r="C2825" t="str">
            <v>Macambara</v>
          </cell>
        </row>
        <row r="2826">
          <cell r="C2826" t="str">
            <v>Macambira</v>
          </cell>
        </row>
        <row r="2827">
          <cell r="C2827" t="str">
            <v>Macapa</v>
          </cell>
        </row>
        <row r="2828">
          <cell r="C2828" t="str">
            <v>Macaparana</v>
          </cell>
        </row>
        <row r="2829">
          <cell r="C2829" t="str">
            <v>Macarani</v>
          </cell>
        </row>
        <row r="2830">
          <cell r="C2830" t="str">
            <v>Macatuba</v>
          </cell>
        </row>
        <row r="2831">
          <cell r="C2831" t="str">
            <v>Macau</v>
          </cell>
        </row>
        <row r="2832">
          <cell r="C2832" t="str">
            <v>Macaubal</v>
          </cell>
        </row>
        <row r="2833">
          <cell r="C2833" t="str">
            <v>Macaubas</v>
          </cell>
        </row>
        <row r="2834">
          <cell r="C2834" t="str">
            <v>Macedonia</v>
          </cell>
        </row>
        <row r="2835">
          <cell r="C2835" t="str">
            <v>Maceio</v>
          </cell>
        </row>
        <row r="2836">
          <cell r="C2836" t="str">
            <v>Machacalis</v>
          </cell>
        </row>
        <row r="2837">
          <cell r="C2837" t="str">
            <v>Machadinho</v>
          </cell>
        </row>
        <row r="2838">
          <cell r="C2838" t="str">
            <v>Machadinho D'Oeste</v>
          </cell>
        </row>
        <row r="2839">
          <cell r="C2839" t="str">
            <v>Machado</v>
          </cell>
        </row>
        <row r="2840">
          <cell r="C2840" t="str">
            <v>Machados</v>
          </cell>
        </row>
        <row r="2841">
          <cell r="C2841" t="str">
            <v>Macieira</v>
          </cell>
        </row>
        <row r="2842">
          <cell r="C2842" t="str">
            <v>Macuco</v>
          </cell>
        </row>
        <row r="2843">
          <cell r="C2843" t="str">
            <v>Macurure</v>
          </cell>
        </row>
        <row r="2844">
          <cell r="C2844" t="str">
            <v>Madalena</v>
          </cell>
        </row>
        <row r="2845">
          <cell r="C2845" t="str">
            <v>Madeiro</v>
          </cell>
        </row>
        <row r="2846">
          <cell r="C2846" t="str">
            <v>Madre de Deus</v>
          </cell>
        </row>
        <row r="2847">
          <cell r="C2847" t="str">
            <v>Madre de Deus de Minas</v>
          </cell>
        </row>
        <row r="2848">
          <cell r="C2848" t="str">
            <v>Mae d'agua</v>
          </cell>
        </row>
        <row r="2849">
          <cell r="C2849" t="str">
            <v>Mae do Rio</v>
          </cell>
        </row>
        <row r="2850">
          <cell r="C2850" t="str">
            <v>Maetinga</v>
          </cell>
        </row>
        <row r="2851">
          <cell r="C2851" t="str">
            <v>Mafra</v>
          </cell>
        </row>
        <row r="2852">
          <cell r="C2852" t="str">
            <v>Magalhaes Barata</v>
          </cell>
        </row>
        <row r="2853">
          <cell r="C2853" t="str">
            <v>Magalhaes de Almeida</v>
          </cell>
        </row>
        <row r="2854">
          <cell r="C2854" t="str">
            <v>Magda</v>
          </cell>
        </row>
        <row r="2855">
          <cell r="C2855" t="str">
            <v>Mage</v>
          </cell>
        </row>
        <row r="2856">
          <cell r="C2856" t="str">
            <v>Maiquinique</v>
          </cell>
        </row>
        <row r="2857">
          <cell r="C2857" t="str">
            <v>Mairi</v>
          </cell>
        </row>
        <row r="2858">
          <cell r="C2858" t="str">
            <v>Mairinque</v>
          </cell>
        </row>
        <row r="2859">
          <cell r="C2859" t="str">
            <v>Mairipora</v>
          </cell>
        </row>
        <row r="2860">
          <cell r="C2860" t="str">
            <v>Mairipotaba</v>
          </cell>
        </row>
        <row r="2861">
          <cell r="C2861" t="str">
            <v>Major Gercino</v>
          </cell>
        </row>
        <row r="2862">
          <cell r="C2862" t="str">
            <v>Major Isidoro</v>
          </cell>
        </row>
        <row r="2863">
          <cell r="C2863" t="str">
            <v>Major Sales</v>
          </cell>
        </row>
        <row r="2864">
          <cell r="C2864" t="str">
            <v>Major Vieira</v>
          </cell>
        </row>
        <row r="2865">
          <cell r="C2865" t="str">
            <v>Malacacheta</v>
          </cell>
        </row>
        <row r="2866">
          <cell r="C2866" t="str">
            <v>Malhada</v>
          </cell>
        </row>
        <row r="2867">
          <cell r="C2867" t="str">
            <v>Malhada de Pedras</v>
          </cell>
        </row>
        <row r="2868">
          <cell r="C2868" t="str">
            <v>Malhada dos Bois</v>
          </cell>
        </row>
        <row r="2869">
          <cell r="C2869" t="str">
            <v>Malhador</v>
          </cell>
        </row>
        <row r="2870">
          <cell r="C2870" t="str">
            <v>Mallet</v>
          </cell>
        </row>
        <row r="2871">
          <cell r="C2871" t="str">
            <v>Malta</v>
          </cell>
        </row>
        <row r="2872">
          <cell r="C2872" t="str">
            <v>Mamanguape</v>
          </cell>
        </row>
        <row r="2873">
          <cell r="C2873" t="str">
            <v>Mambai</v>
          </cell>
        </row>
        <row r="2874">
          <cell r="C2874" t="str">
            <v>Mambore</v>
          </cell>
        </row>
        <row r="2875">
          <cell r="C2875" t="str">
            <v>Mamonas</v>
          </cell>
        </row>
        <row r="2876">
          <cell r="C2876" t="str">
            <v>Mampituba</v>
          </cell>
        </row>
        <row r="2877">
          <cell r="C2877" t="str">
            <v>Manacapuru</v>
          </cell>
        </row>
        <row r="2878">
          <cell r="C2878" t="str">
            <v>Manaira</v>
          </cell>
        </row>
        <row r="2879">
          <cell r="C2879" t="str">
            <v>Manaquiri</v>
          </cell>
        </row>
        <row r="2880">
          <cell r="C2880" t="str">
            <v>Manari</v>
          </cell>
        </row>
        <row r="2881">
          <cell r="C2881" t="str">
            <v>Manaus</v>
          </cell>
        </row>
        <row r="2882">
          <cell r="C2882" t="str">
            <v>Mancio Lima</v>
          </cell>
        </row>
        <row r="2883">
          <cell r="C2883" t="str">
            <v>Mandaguacu</v>
          </cell>
        </row>
        <row r="2884">
          <cell r="C2884" t="str">
            <v>Mandaguari</v>
          </cell>
        </row>
        <row r="2885">
          <cell r="C2885" t="str">
            <v>Mandirituba</v>
          </cell>
        </row>
        <row r="2886">
          <cell r="C2886" t="str">
            <v>Manduri</v>
          </cell>
        </row>
        <row r="2887">
          <cell r="C2887" t="str">
            <v>Manfrinopolis</v>
          </cell>
        </row>
        <row r="2888">
          <cell r="C2888" t="str">
            <v>Manga</v>
          </cell>
        </row>
        <row r="2889">
          <cell r="C2889" t="str">
            <v>Mangaratiba</v>
          </cell>
        </row>
        <row r="2890">
          <cell r="C2890" t="str">
            <v>Mangueirinha</v>
          </cell>
        </row>
        <row r="2891">
          <cell r="C2891" t="str">
            <v>Manhuacu</v>
          </cell>
        </row>
        <row r="2892">
          <cell r="C2892" t="str">
            <v>Manhumirim</v>
          </cell>
        </row>
        <row r="2893">
          <cell r="C2893" t="str">
            <v>Manicore</v>
          </cell>
        </row>
        <row r="2894">
          <cell r="C2894" t="str">
            <v>Manoel Emidio</v>
          </cell>
        </row>
        <row r="2895">
          <cell r="C2895" t="str">
            <v>Manoel Ribas</v>
          </cell>
        </row>
        <row r="2896">
          <cell r="C2896" t="str">
            <v>Manoel Urbano</v>
          </cell>
        </row>
        <row r="2897">
          <cell r="C2897" t="str">
            <v>Manoel Viana</v>
          </cell>
        </row>
        <row r="2898">
          <cell r="C2898" t="str">
            <v>Manoel Vitorino</v>
          </cell>
        </row>
        <row r="2899">
          <cell r="C2899" t="str">
            <v>Mansidao</v>
          </cell>
        </row>
        <row r="2900">
          <cell r="C2900" t="str">
            <v>Mantena</v>
          </cell>
        </row>
        <row r="2901">
          <cell r="C2901" t="str">
            <v>Mantenopolis</v>
          </cell>
        </row>
        <row r="2902">
          <cell r="C2902" t="str">
            <v>Maquine</v>
          </cell>
        </row>
        <row r="2903">
          <cell r="C2903" t="str">
            <v>Mar de Espanha</v>
          </cell>
        </row>
        <row r="2904">
          <cell r="C2904" t="str">
            <v>Mar Vermelho</v>
          </cell>
        </row>
        <row r="2905">
          <cell r="C2905" t="str">
            <v>Mara Rosa</v>
          </cell>
        </row>
        <row r="2906">
          <cell r="C2906" t="str">
            <v>Maraa</v>
          </cell>
        </row>
        <row r="2907">
          <cell r="C2907" t="str">
            <v>Maraba</v>
          </cell>
        </row>
        <row r="2908">
          <cell r="C2908" t="str">
            <v>Maraba Paulista</v>
          </cell>
        </row>
        <row r="2909">
          <cell r="C2909" t="str">
            <v>Maracacume</v>
          </cell>
        </row>
        <row r="2910">
          <cell r="C2910" t="str">
            <v>Maracai</v>
          </cell>
        </row>
        <row r="2911">
          <cell r="C2911" t="str">
            <v>Maracaja</v>
          </cell>
        </row>
        <row r="2912">
          <cell r="C2912" t="str">
            <v>Maracaju</v>
          </cell>
        </row>
        <row r="2913">
          <cell r="C2913" t="str">
            <v>Maracana</v>
          </cell>
        </row>
        <row r="2914">
          <cell r="C2914" t="str">
            <v>Maracanau</v>
          </cell>
        </row>
        <row r="2915">
          <cell r="C2915" t="str">
            <v>Maracas</v>
          </cell>
        </row>
        <row r="2916">
          <cell r="C2916" t="str">
            <v>Maragogi</v>
          </cell>
        </row>
        <row r="2917">
          <cell r="C2917" t="str">
            <v>Maragogipe</v>
          </cell>
        </row>
        <row r="2918">
          <cell r="C2918" t="str">
            <v>Maraial</v>
          </cell>
        </row>
        <row r="2919">
          <cell r="C2919" t="str">
            <v>Maraja do Sena</v>
          </cell>
        </row>
        <row r="2920">
          <cell r="C2920" t="str">
            <v>Maranguape</v>
          </cell>
        </row>
        <row r="2921">
          <cell r="C2921" t="str">
            <v>Maranhaozinho</v>
          </cell>
        </row>
        <row r="2922">
          <cell r="C2922" t="str">
            <v>Marapanim</v>
          </cell>
        </row>
        <row r="2923">
          <cell r="C2923" t="str">
            <v>Marapoama</v>
          </cell>
        </row>
        <row r="2924">
          <cell r="C2924" t="str">
            <v>Marata</v>
          </cell>
        </row>
        <row r="2925">
          <cell r="C2925" t="str">
            <v>Marataizes</v>
          </cell>
        </row>
        <row r="2926">
          <cell r="C2926" t="str">
            <v>Marau</v>
          </cell>
        </row>
        <row r="2927">
          <cell r="C2927" t="str">
            <v>Marau</v>
          </cell>
        </row>
        <row r="2928">
          <cell r="C2928" t="str">
            <v>Maravilha</v>
          </cell>
        </row>
        <row r="2929">
          <cell r="C2929" t="str">
            <v>Maravilha</v>
          </cell>
        </row>
        <row r="2930">
          <cell r="C2930" t="str">
            <v>Maravilhas</v>
          </cell>
        </row>
        <row r="2931">
          <cell r="C2931" t="str">
            <v>Marcacao</v>
          </cell>
        </row>
        <row r="2932">
          <cell r="C2932" t="str">
            <v>Marcelandia</v>
          </cell>
        </row>
        <row r="2933">
          <cell r="C2933" t="str">
            <v>Marcelino Ramos</v>
          </cell>
        </row>
        <row r="2934">
          <cell r="C2934" t="str">
            <v>Marcelino Vieira</v>
          </cell>
        </row>
        <row r="2935">
          <cell r="C2935" t="str">
            <v>Marcionilio Souza</v>
          </cell>
        </row>
        <row r="2936">
          <cell r="C2936" t="str">
            <v>Marco</v>
          </cell>
        </row>
        <row r="2937">
          <cell r="C2937" t="str">
            <v>Marcolandia</v>
          </cell>
        </row>
        <row r="2938">
          <cell r="C2938" t="str">
            <v>Marcos Parente</v>
          </cell>
        </row>
        <row r="2939">
          <cell r="C2939" t="str">
            <v>Marechal Candido Rondon</v>
          </cell>
        </row>
        <row r="2940">
          <cell r="C2940" t="str">
            <v>Marechal Deodoro</v>
          </cell>
        </row>
        <row r="2941">
          <cell r="C2941" t="str">
            <v>Marechal Floriano</v>
          </cell>
        </row>
        <row r="2942">
          <cell r="C2942" t="str">
            <v>Marechal Thaumaturgo</v>
          </cell>
        </row>
        <row r="2943">
          <cell r="C2943" t="str">
            <v>Marema</v>
          </cell>
        </row>
        <row r="2944">
          <cell r="C2944" t="str">
            <v>Mari</v>
          </cell>
        </row>
        <row r="2945">
          <cell r="C2945" t="str">
            <v>Maria da Fe</v>
          </cell>
        </row>
        <row r="2946">
          <cell r="C2946" t="str">
            <v>Maria Helena</v>
          </cell>
        </row>
        <row r="2947">
          <cell r="C2947" t="str">
            <v>Marialva</v>
          </cell>
        </row>
        <row r="2948">
          <cell r="C2948" t="str">
            <v>Mariana</v>
          </cell>
        </row>
        <row r="2949">
          <cell r="C2949" t="str">
            <v>Mariana Pimentel</v>
          </cell>
        </row>
        <row r="2950">
          <cell r="C2950" t="str">
            <v>Mariano Moro</v>
          </cell>
        </row>
        <row r="2951">
          <cell r="C2951" t="str">
            <v>Marianopolis do Tocantins</v>
          </cell>
        </row>
        <row r="2952">
          <cell r="C2952" t="str">
            <v>Mariapolis</v>
          </cell>
        </row>
        <row r="2953">
          <cell r="C2953" t="str">
            <v>Maribondo</v>
          </cell>
        </row>
        <row r="2954">
          <cell r="C2954" t="str">
            <v>Marica</v>
          </cell>
        </row>
        <row r="2955">
          <cell r="C2955" t="str">
            <v>Marilac</v>
          </cell>
        </row>
        <row r="2956">
          <cell r="C2956" t="str">
            <v>Marilandia</v>
          </cell>
        </row>
        <row r="2957">
          <cell r="C2957" t="str">
            <v>Marilandia do Sul</v>
          </cell>
        </row>
        <row r="2958">
          <cell r="C2958" t="str">
            <v>Marilena</v>
          </cell>
        </row>
        <row r="2959">
          <cell r="C2959" t="str">
            <v>Marilia</v>
          </cell>
        </row>
        <row r="2960">
          <cell r="C2960" t="str">
            <v>Mariluz</v>
          </cell>
        </row>
        <row r="2961">
          <cell r="C2961" t="str">
            <v>Maringa</v>
          </cell>
        </row>
        <row r="2962">
          <cell r="C2962" t="str">
            <v>Marinopolis</v>
          </cell>
        </row>
        <row r="2963">
          <cell r="C2963" t="str">
            <v>Mario Campos</v>
          </cell>
        </row>
        <row r="2964">
          <cell r="C2964" t="str">
            <v>Mariopolis</v>
          </cell>
        </row>
        <row r="2965">
          <cell r="C2965" t="str">
            <v>Maripa</v>
          </cell>
        </row>
        <row r="2966">
          <cell r="C2966" t="str">
            <v>Maripa de Minas</v>
          </cell>
        </row>
        <row r="2967">
          <cell r="C2967" t="str">
            <v>Marituba</v>
          </cell>
        </row>
        <row r="2968">
          <cell r="C2968" t="str">
            <v>Marizopolis</v>
          </cell>
        </row>
        <row r="2969">
          <cell r="C2969" t="str">
            <v>Marlieria</v>
          </cell>
        </row>
        <row r="2970">
          <cell r="C2970" t="str">
            <v>Marmeleiro</v>
          </cell>
        </row>
        <row r="2971">
          <cell r="C2971" t="str">
            <v>Marmelopolis</v>
          </cell>
        </row>
        <row r="2972">
          <cell r="C2972" t="str">
            <v>Marques de Souza</v>
          </cell>
        </row>
        <row r="2973">
          <cell r="C2973" t="str">
            <v>Marquinho</v>
          </cell>
        </row>
        <row r="2974">
          <cell r="C2974" t="str">
            <v>Martinho Campos</v>
          </cell>
        </row>
        <row r="2975">
          <cell r="C2975" t="str">
            <v>Martinopole</v>
          </cell>
        </row>
        <row r="2976">
          <cell r="C2976" t="str">
            <v>Martinopolis</v>
          </cell>
        </row>
        <row r="2977">
          <cell r="C2977" t="str">
            <v>Martins</v>
          </cell>
        </row>
        <row r="2978">
          <cell r="C2978" t="str">
            <v>Martins Soares</v>
          </cell>
        </row>
        <row r="2979">
          <cell r="C2979" t="str">
            <v>Maruim</v>
          </cell>
        </row>
        <row r="2980">
          <cell r="C2980" t="str">
            <v>Marumbi</v>
          </cell>
        </row>
        <row r="2981">
          <cell r="C2981" t="str">
            <v>Marzagao</v>
          </cell>
        </row>
        <row r="2982">
          <cell r="C2982" t="str">
            <v>Mascote</v>
          </cell>
        </row>
        <row r="2983">
          <cell r="C2983" t="str">
            <v>Massape</v>
          </cell>
        </row>
        <row r="2984">
          <cell r="C2984" t="str">
            <v>Massape do Piaui</v>
          </cell>
        </row>
        <row r="2985">
          <cell r="C2985" t="str">
            <v>Massaranduba</v>
          </cell>
        </row>
        <row r="2986">
          <cell r="C2986" t="str">
            <v>Massaranduba</v>
          </cell>
        </row>
        <row r="2987">
          <cell r="C2987" t="str">
            <v>Mata</v>
          </cell>
        </row>
        <row r="2988">
          <cell r="C2988" t="str">
            <v>Mata de Sao Joao</v>
          </cell>
        </row>
        <row r="2989">
          <cell r="C2989" t="str">
            <v>Mata Grande</v>
          </cell>
        </row>
        <row r="2990">
          <cell r="C2990" t="str">
            <v>Mata Roma</v>
          </cell>
        </row>
        <row r="2991">
          <cell r="C2991" t="str">
            <v>Mata Verde</v>
          </cell>
        </row>
        <row r="2992">
          <cell r="C2992" t="str">
            <v>Matao</v>
          </cell>
        </row>
        <row r="2993">
          <cell r="C2993" t="str">
            <v>Mataraca</v>
          </cell>
        </row>
        <row r="2994">
          <cell r="C2994" t="str">
            <v>Mateiros</v>
          </cell>
        </row>
        <row r="2995">
          <cell r="C2995" t="str">
            <v>Matelandia</v>
          </cell>
        </row>
        <row r="2996">
          <cell r="C2996" t="str">
            <v>Materlandia</v>
          </cell>
        </row>
        <row r="2997">
          <cell r="C2997" t="str">
            <v>Mateus Leme</v>
          </cell>
        </row>
        <row r="2998">
          <cell r="C2998" t="str">
            <v>Mathias Lobato</v>
          </cell>
        </row>
        <row r="2999">
          <cell r="C2999" t="str">
            <v>Matias Barbosa</v>
          </cell>
        </row>
        <row r="3000">
          <cell r="C3000" t="str">
            <v>Matias Cardoso</v>
          </cell>
        </row>
        <row r="3001">
          <cell r="C3001" t="str">
            <v>Matias Olimpio</v>
          </cell>
        </row>
        <row r="3002">
          <cell r="C3002" t="str">
            <v>Matina</v>
          </cell>
        </row>
        <row r="3003">
          <cell r="C3003" t="str">
            <v>Matinha</v>
          </cell>
        </row>
        <row r="3004">
          <cell r="C3004" t="str">
            <v>Matinhas</v>
          </cell>
        </row>
        <row r="3005">
          <cell r="C3005" t="str">
            <v>Matinhos</v>
          </cell>
        </row>
        <row r="3006">
          <cell r="C3006" t="str">
            <v>Matipo</v>
          </cell>
        </row>
        <row r="3007">
          <cell r="C3007" t="str">
            <v>Mato Castelhano</v>
          </cell>
        </row>
        <row r="3008">
          <cell r="C3008" t="str">
            <v>Mato Grosso</v>
          </cell>
        </row>
        <row r="3009">
          <cell r="C3009" t="str">
            <v>Mato Leitao</v>
          </cell>
        </row>
        <row r="3010">
          <cell r="C3010" t="str">
            <v>Mato Queimado</v>
          </cell>
        </row>
        <row r="3011">
          <cell r="C3011" t="str">
            <v>Mato Rico</v>
          </cell>
        </row>
        <row r="3012">
          <cell r="C3012" t="str">
            <v>Mato Verde</v>
          </cell>
        </row>
        <row r="3013">
          <cell r="C3013" t="str">
            <v>Matoes</v>
          </cell>
        </row>
        <row r="3014">
          <cell r="C3014" t="str">
            <v>Matoes do Norte</v>
          </cell>
        </row>
        <row r="3015">
          <cell r="C3015" t="str">
            <v>Matos Costa</v>
          </cell>
        </row>
        <row r="3016">
          <cell r="C3016" t="str">
            <v>Matozinhos</v>
          </cell>
        </row>
        <row r="3017">
          <cell r="C3017" t="str">
            <v>Matrincha</v>
          </cell>
        </row>
        <row r="3018">
          <cell r="C3018" t="str">
            <v>Matriz de Camaragibe</v>
          </cell>
        </row>
        <row r="3019">
          <cell r="C3019" t="str">
            <v>Matupa</v>
          </cell>
        </row>
        <row r="3020">
          <cell r="C3020" t="str">
            <v>Matureia</v>
          </cell>
        </row>
        <row r="3021">
          <cell r="C3021" t="str">
            <v>Matutina</v>
          </cell>
        </row>
        <row r="3022">
          <cell r="C3022" t="str">
            <v>Maua</v>
          </cell>
        </row>
        <row r="3023">
          <cell r="C3023" t="str">
            <v>Maua da Serra</v>
          </cell>
        </row>
        <row r="3024">
          <cell r="C3024" t="str">
            <v>Maues</v>
          </cell>
        </row>
        <row r="3025">
          <cell r="C3025" t="str">
            <v>Maurilandia</v>
          </cell>
        </row>
        <row r="3026">
          <cell r="C3026" t="str">
            <v>Maurilandia do Tocantins</v>
          </cell>
        </row>
        <row r="3027">
          <cell r="C3027" t="str">
            <v>Mauriti</v>
          </cell>
        </row>
        <row r="3028">
          <cell r="C3028" t="str">
            <v>Maxaranguape</v>
          </cell>
        </row>
        <row r="3029">
          <cell r="C3029" t="str">
            <v>Maximiliano de Almeida</v>
          </cell>
        </row>
        <row r="3030">
          <cell r="C3030" t="str">
            <v>Mazagao</v>
          </cell>
        </row>
        <row r="3031">
          <cell r="C3031" t="str">
            <v>Medeiros</v>
          </cell>
        </row>
        <row r="3032">
          <cell r="C3032" t="str">
            <v>Medeiros Neto</v>
          </cell>
        </row>
        <row r="3033">
          <cell r="C3033" t="str">
            <v>Medianeira</v>
          </cell>
        </row>
        <row r="3034">
          <cell r="C3034" t="str">
            <v>Medicilandia</v>
          </cell>
        </row>
        <row r="3035">
          <cell r="C3035" t="str">
            <v>Medina</v>
          </cell>
        </row>
        <row r="3036">
          <cell r="C3036" t="str">
            <v>Meleiro</v>
          </cell>
        </row>
        <row r="3037">
          <cell r="C3037" t="str">
            <v>Melgaco</v>
          </cell>
        </row>
        <row r="3038">
          <cell r="C3038" t="str">
            <v>Mendes</v>
          </cell>
        </row>
        <row r="3039">
          <cell r="C3039" t="str">
            <v>Mendes Pimentel</v>
          </cell>
        </row>
        <row r="3040">
          <cell r="C3040" t="str">
            <v>Mendonca</v>
          </cell>
        </row>
        <row r="3041">
          <cell r="C3041" t="str">
            <v>Mercedes</v>
          </cell>
        </row>
        <row r="3042">
          <cell r="C3042" t="str">
            <v>Merces</v>
          </cell>
        </row>
        <row r="3043">
          <cell r="C3043" t="str">
            <v>Meridiano</v>
          </cell>
        </row>
        <row r="3044">
          <cell r="C3044" t="str">
            <v>Meruoca</v>
          </cell>
        </row>
        <row r="3045">
          <cell r="C3045" t="str">
            <v>Mesopolis</v>
          </cell>
        </row>
        <row r="3046">
          <cell r="C3046" t="str">
            <v>Mesquita</v>
          </cell>
        </row>
        <row r="3047">
          <cell r="C3047" t="str">
            <v>Mesquita</v>
          </cell>
        </row>
        <row r="3048">
          <cell r="C3048" t="str">
            <v>Messias</v>
          </cell>
        </row>
        <row r="3049">
          <cell r="C3049" t="str">
            <v>Messias Targino</v>
          </cell>
        </row>
        <row r="3050">
          <cell r="C3050" t="str">
            <v>Miguel Alves</v>
          </cell>
        </row>
        <row r="3051">
          <cell r="C3051" t="str">
            <v>Miguel Calmon</v>
          </cell>
        </row>
        <row r="3052">
          <cell r="C3052" t="str">
            <v>Miguel Leao</v>
          </cell>
        </row>
        <row r="3053">
          <cell r="C3053" t="str">
            <v>Miguel Pereira</v>
          </cell>
        </row>
        <row r="3054">
          <cell r="C3054" t="str">
            <v>Miguelopolis</v>
          </cell>
        </row>
        <row r="3055">
          <cell r="C3055" t="str">
            <v>Milagres</v>
          </cell>
        </row>
        <row r="3056">
          <cell r="C3056" t="str">
            <v>Milagres</v>
          </cell>
        </row>
        <row r="3057">
          <cell r="C3057" t="str">
            <v>Milagres do Maranhao</v>
          </cell>
        </row>
        <row r="3058">
          <cell r="C3058" t="str">
            <v>Milha</v>
          </cell>
        </row>
        <row r="3059">
          <cell r="C3059" t="str">
            <v>Milton Brandao</v>
          </cell>
        </row>
        <row r="3060">
          <cell r="C3060" t="str">
            <v>Mimoso de Goias</v>
          </cell>
        </row>
        <row r="3061">
          <cell r="C3061" t="str">
            <v>Mimoso do Sul</v>
          </cell>
        </row>
        <row r="3062">
          <cell r="C3062" t="str">
            <v>Minacu</v>
          </cell>
        </row>
        <row r="3063">
          <cell r="C3063" t="str">
            <v>Minador do Negrao</v>
          </cell>
        </row>
        <row r="3064">
          <cell r="C3064" t="str">
            <v>Minas do Leao</v>
          </cell>
        </row>
        <row r="3065">
          <cell r="C3065" t="str">
            <v>Minas Novas</v>
          </cell>
        </row>
        <row r="3066">
          <cell r="C3066" t="str">
            <v>Minduri</v>
          </cell>
        </row>
        <row r="3067">
          <cell r="C3067" t="str">
            <v>Mineiros</v>
          </cell>
        </row>
        <row r="3068">
          <cell r="C3068" t="str">
            <v>Mineiros do Tiete</v>
          </cell>
        </row>
        <row r="3069">
          <cell r="C3069" t="str">
            <v>Ministro Andreazza</v>
          </cell>
        </row>
        <row r="3070">
          <cell r="C3070" t="str">
            <v>Mira Estrela</v>
          </cell>
        </row>
        <row r="3071">
          <cell r="C3071" t="str">
            <v>Mirabela</v>
          </cell>
        </row>
        <row r="3072">
          <cell r="C3072" t="str">
            <v>Miracatu</v>
          </cell>
        </row>
        <row r="3073">
          <cell r="C3073" t="str">
            <v>Miracema</v>
          </cell>
        </row>
        <row r="3074">
          <cell r="C3074" t="str">
            <v>Miracema do Tocantins</v>
          </cell>
        </row>
        <row r="3075">
          <cell r="C3075" t="str">
            <v>Mirador</v>
          </cell>
        </row>
        <row r="3076">
          <cell r="C3076" t="str">
            <v>Mirador</v>
          </cell>
        </row>
        <row r="3077">
          <cell r="C3077" t="str">
            <v>Miradouro</v>
          </cell>
        </row>
        <row r="3078">
          <cell r="C3078" t="str">
            <v>Miraguai</v>
          </cell>
        </row>
        <row r="3079">
          <cell r="C3079" t="str">
            <v>Mirai</v>
          </cell>
        </row>
        <row r="3080">
          <cell r="C3080" t="str">
            <v>Miraima</v>
          </cell>
        </row>
        <row r="3081">
          <cell r="C3081" t="str">
            <v>Miranda</v>
          </cell>
        </row>
        <row r="3082">
          <cell r="C3082" t="str">
            <v>Miranda do Norte</v>
          </cell>
        </row>
        <row r="3083">
          <cell r="C3083" t="str">
            <v>Mirandiba</v>
          </cell>
        </row>
        <row r="3084">
          <cell r="C3084" t="str">
            <v>Mirandopolis</v>
          </cell>
        </row>
        <row r="3085">
          <cell r="C3085" t="str">
            <v>Mirangaba</v>
          </cell>
        </row>
        <row r="3086">
          <cell r="C3086" t="str">
            <v>Miranorte</v>
          </cell>
        </row>
        <row r="3087">
          <cell r="C3087" t="str">
            <v>Mirante</v>
          </cell>
        </row>
        <row r="3088">
          <cell r="C3088" t="str">
            <v>Mirante da Serra</v>
          </cell>
        </row>
        <row r="3089">
          <cell r="C3089" t="str">
            <v>Mirante do Paranapanema</v>
          </cell>
        </row>
        <row r="3090">
          <cell r="C3090" t="str">
            <v>Miraselva</v>
          </cell>
        </row>
        <row r="3091">
          <cell r="C3091" t="str">
            <v>Mirassol</v>
          </cell>
        </row>
        <row r="3092">
          <cell r="C3092" t="str">
            <v>Mirassol d'Oeste</v>
          </cell>
        </row>
        <row r="3093">
          <cell r="C3093" t="str">
            <v>Mirassolandia</v>
          </cell>
        </row>
        <row r="3094">
          <cell r="C3094" t="str">
            <v>Miravania</v>
          </cell>
        </row>
        <row r="3095">
          <cell r="C3095" t="str">
            <v>Mirim Doce</v>
          </cell>
        </row>
        <row r="3096">
          <cell r="C3096" t="str">
            <v>Mirinzal</v>
          </cell>
        </row>
        <row r="3097">
          <cell r="C3097" t="str">
            <v>Missal</v>
          </cell>
        </row>
        <row r="3098">
          <cell r="C3098" t="str">
            <v>Missao Velha</v>
          </cell>
        </row>
        <row r="3099">
          <cell r="C3099" t="str">
            <v>Mocajuba</v>
          </cell>
        </row>
        <row r="3100">
          <cell r="C3100" t="str">
            <v>Mococa</v>
          </cell>
        </row>
        <row r="3101">
          <cell r="C3101" t="str">
            <v>Modelo</v>
          </cell>
        </row>
        <row r="3102">
          <cell r="C3102" t="str">
            <v>Moeda</v>
          </cell>
        </row>
        <row r="3103">
          <cell r="C3103" t="str">
            <v>Moema</v>
          </cell>
        </row>
        <row r="3104">
          <cell r="C3104" t="str">
            <v>Mogeiro</v>
          </cell>
        </row>
        <row r="3105">
          <cell r="C3105" t="str">
            <v>Mogi Guacu</v>
          </cell>
        </row>
        <row r="3106">
          <cell r="C3106" t="str">
            <v>Moipora</v>
          </cell>
        </row>
        <row r="3107">
          <cell r="C3107" t="str">
            <v>Moita Bonita</v>
          </cell>
        </row>
        <row r="3108">
          <cell r="C3108" t="str">
            <v>Moji das Cruzes</v>
          </cell>
        </row>
        <row r="3109">
          <cell r="C3109" t="str">
            <v>Moji-Mirim</v>
          </cell>
        </row>
        <row r="3110">
          <cell r="C3110" t="str">
            <v>Moju</v>
          </cell>
        </row>
        <row r="3111">
          <cell r="C3111" t="str">
            <v>Mombaca</v>
          </cell>
        </row>
        <row r="3112">
          <cell r="C3112" t="str">
            <v>Mombuca</v>
          </cell>
        </row>
        <row r="3113">
          <cell r="C3113" t="str">
            <v>Moncao</v>
          </cell>
        </row>
        <row r="3114">
          <cell r="C3114" t="str">
            <v>Moncoes</v>
          </cell>
        </row>
        <row r="3115">
          <cell r="C3115" t="str">
            <v>Mondai</v>
          </cell>
        </row>
        <row r="3116">
          <cell r="C3116" t="str">
            <v>Mongagua</v>
          </cell>
        </row>
        <row r="3117">
          <cell r="C3117" t="str">
            <v>Monjolos</v>
          </cell>
        </row>
        <row r="3118">
          <cell r="C3118" t="str">
            <v>Monsenhor Gil</v>
          </cell>
        </row>
        <row r="3119">
          <cell r="C3119" t="str">
            <v>Monsenhor Hipolito</v>
          </cell>
        </row>
        <row r="3120">
          <cell r="C3120" t="str">
            <v>Monsenhor Paulo</v>
          </cell>
        </row>
        <row r="3121">
          <cell r="C3121" t="str">
            <v>Monsenhor Tabosa</v>
          </cell>
        </row>
        <row r="3122">
          <cell r="C3122" t="str">
            <v>Montadas</v>
          </cell>
        </row>
        <row r="3123">
          <cell r="C3123" t="str">
            <v>Montalvania</v>
          </cell>
        </row>
        <row r="3124">
          <cell r="C3124" t="str">
            <v>Montanha</v>
          </cell>
        </row>
        <row r="3125">
          <cell r="C3125" t="str">
            <v>Montanhas</v>
          </cell>
        </row>
        <row r="3126">
          <cell r="C3126" t="str">
            <v>Montauri</v>
          </cell>
        </row>
        <row r="3127">
          <cell r="C3127" t="str">
            <v>Monte Alegre</v>
          </cell>
        </row>
        <row r="3128">
          <cell r="C3128" t="str">
            <v>Monte Alegre</v>
          </cell>
        </row>
        <row r="3129">
          <cell r="C3129" t="str">
            <v>Monte Alegre de Goias</v>
          </cell>
        </row>
        <row r="3130">
          <cell r="C3130" t="str">
            <v>Monte Alegre de Minas</v>
          </cell>
        </row>
        <row r="3131">
          <cell r="C3131" t="str">
            <v>Monte Alegre de Sergipe</v>
          </cell>
        </row>
        <row r="3132">
          <cell r="C3132" t="str">
            <v>Monte Alegre do Piaui</v>
          </cell>
        </row>
        <row r="3133">
          <cell r="C3133" t="str">
            <v>Monte Alegre do Sul</v>
          </cell>
        </row>
        <row r="3134">
          <cell r="C3134" t="str">
            <v>Monte Alegre dos Campos</v>
          </cell>
        </row>
        <row r="3135">
          <cell r="C3135" t="str">
            <v>Monte Alto</v>
          </cell>
        </row>
        <row r="3136">
          <cell r="C3136" t="str">
            <v>Monte Aprazivel</v>
          </cell>
        </row>
        <row r="3137">
          <cell r="C3137" t="str">
            <v>Monte Azul</v>
          </cell>
        </row>
        <row r="3138">
          <cell r="C3138" t="str">
            <v>Monte Azul Paulista</v>
          </cell>
        </row>
        <row r="3139">
          <cell r="C3139" t="str">
            <v>Monte Belo</v>
          </cell>
        </row>
        <row r="3140">
          <cell r="C3140" t="str">
            <v>Monte Belo do Sul</v>
          </cell>
        </row>
        <row r="3141">
          <cell r="C3141" t="str">
            <v>Monte Carlo</v>
          </cell>
        </row>
        <row r="3142">
          <cell r="C3142" t="str">
            <v>Monte Carmelo</v>
          </cell>
        </row>
        <row r="3143">
          <cell r="C3143" t="str">
            <v>Monte Castelo</v>
          </cell>
        </row>
        <row r="3144">
          <cell r="C3144" t="str">
            <v>Monte Castelo</v>
          </cell>
        </row>
        <row r="3145">
          <cell r="C3145" t="str">
            <v>Monte das Gameleiras</v>
          </cell>
        </row>
        <row r="3146">
          <cell r="C3146" t="str">
            <v>Monte do Carmo</v>
          </cell>
        </row>
        <row r="3147">
          <cell r="C3147" t="str">
            <v>Monte Formoso</v>
          </cell>
        </row>
        <row r="3148">
          <cell r="C3148" t="str">
            <v>Monte Horebe</v>
          </cell>
        </row>
        <row r="3149">
          <cell r="C3149" t="str">
            <v>Monte Mor</v>
          </cell>
        </row>
        <row r="3150">
          <cell r="C3150" t="str">
            <v>Monte Negro</v>
          </cell>
        </row>
        <row r="3151">
          <cell r="C3151" t="str">
            <v>Monte Santo</v>
          </cell>
        </row>
        <row r="3152">
          <cell r="C3152" t="str">
            <v>Monte Santo de Minas</v>
          </cell>
        </row>
        <row r="3153">
          <cell r="C3153" t="str">
            <v>Monte Santo do Tocantins</v>
          </cell>
        </row>
        <row r="3154">
          <cell r="C3154" t="str">
            <v>Monte Siao</v>
          </cell>
        </row>
        <row r="3155">
          <cell r="C3155" t="str">
            <v>Monteiro</v>
          </cell>
        </row>
        <row r="3156">
          <cell r="C3156" t="str">
            <v>Monteiro Lobato</v>
          </cell>
        </row>
        <row r="3157">
          <cell r="C3157" t="str">
            <v>Monteiropolis</v>
          </cell>
        </row>
        <row r="3158">
          <cell r="C3158" t="str">
            <v>Montenegro</v>
          </cell>
        </row>
        <row r="3159">
          <cell r="C3159" t="str">
            <v>Montes Altos</v>
          </cell>
        </row>
        <row r="3160">
          <cell r="C3160" t="str">
            <v>Montes Claros</v>
          </cell>
        </row>
        <row r="3161">
          <cell r="C3161" t="str">
            <v>Montes Claros de Goias</v>
          </cell>
        </row>
        <row r="3162">
          <cell r="C3162" t="str">
            <v>Montezuma</v>
          </cell>
        </row>
        <row r="3163">
          <cell r="C3163" t="str">
            <v>Montividiu</v>
          </cell>
        </row>
        <row r="3164">
          <cell r="C3164" t="str">
            <v>Montividiu do Norte</v>
          </cell>
        </row>
        <row r="3165">
          <cell r="C3165" t="str">
            <v>Morada Nova</v>
          </cell>
        </row>
        <row r="3166">
          <cell r="C3166" t="str">
            <v>Morada Nova de Minas</v>
          </cell>
        </row>
        <row r="3167">
          <cell r="C3167" t="str">
            <v>Moraujo</v>
          </cell>
        </row>
        <row r="3168">
          <cell r="C3168" t="str">
            <v>Moreilandia</v>
          </cell>
        </row>
        <row r="3169">
          <cell r="C3169" t="str">
            <v>Moreira Sales</v>
          </cell>
        </row>
        <row r="3170">
          <cell r="C3170" t="str">
            <v>Moreno</v>
          </cell>
        </row>
        <row r="3171">
          <cell r="C3171" t="str">
            <v>Mormaco</v>
          </cell>
        </row>
        <row r="3172">
          <cell r="C3172" t="str">
            <v>Morpara</v>
          </cell>
        </row>
        <row r="3173">
          <cell r="C3173" t="str">
            <v>Morretes</v>
          </cell>
        </row>
        <row r="3174">
          <cell r="C3174" t="str">
            <v>Morrinhos</v>
          </cell>
        </row>
        <row r="3175">
          <cell r="C3175" t="str">
            <v>Morrinhos</v>
          </cell>
        </row>
        <row r="3176">
          <cell r="C3176" t="str">
            <v>Morrinhos do Sul</v>
          </cell>
        </row>
        <row r="3177">
          <cell r="C3177" t="str">
            <v>Morro Agudo</v>
          </cell>
        </row>
        <row r="3178">
          <cell r="C3178" t="str">
            <v>Morro Agudo de Goias</v>
          </cell>
        </row>
        <row r="3179">
          <cell r="C3179" t="str">
            <v>Morro Cabeca no Tempo</v>
          </cell>
        </row>
        <row r="3180">
          <cell r="C3180" t="str">
            <v>Morro da Fumaca</v>
          </cell>
        </row>
        <row r="3181">
          <cell r="C3181" t="str">
            <v>Morro da Garca</v>
          </cell>
        </row>
        <row r="3182">
          <cell r="C3182" t="str">
            <v>Morro do Chapeu</v>
          </cell>
        </row>
        <row r="3183">
          <cell r="C3183" t="str">
            <v>Morro do Chapeu do Piaui</v>
          </cell>
        </row>
        <row r="3184">
          <cell r="C3184" t="str">
            <v>Morro do Pilar</v>
          </cell>
        </row>
        <row r="3185">
          <cell r="C3185" t="str">
            <v>Morro Grande</v>
          </cell>
        </row>
        <row r="3186">
          <cell r="C3186" t="str">
            <v>Morro Redondo</v>
          </cell>
        </row>
        <row r="3187">
          <cell r="C3187" t="str">
            <v>Morro Reuter</v>
          </cell>
        </row>
        <row r="3188">
          <cell r="C3188" t="str">
            <v>Morros</v>
          </cell>
        </row>
        <row r="3189">
          <cell r="C3189" t="str">
            <v>Mortugaba</v>
          </cell>
        </row>
        <row r="3190">
          <cell r="C3190" t="str">
            <v>Morungaba</v>
          </cell>
        </row>
        <row r="3191">
          <cell r="C3191" t="str">
            <v>Mossamedes</v>
          </cell>
        </row>
        <row r="3192">
          <cell r="C3192" t="str">
            <v>Mossoro</v>
          </cell>
        </row>
        <row r="3193">
          <cell r="C3193" t="str">
            <v>Mostardas</v>
          </cell>
        </row>
        <row r="3194">
          <cell r="C3194" t="str">
            <v>Motuca</v>
          </cell>
        </row>
        <row r="3195">
          <cell r="C3195" t="str">
            <v>Mozarlandia</v>
          </cell>
        </row>
        <row r="3196">
          <cell r="C3196" t="str">
            <v>Muana</v>
          </cell>
        </row>
        <row r="3197">
          <cell r="C3197" t="str">
            <v>Mucajai</v>
          </cell>
        </row>
        <row r="3198">
          <cell r="C3198" t="str">
            <v>Mucambo</v>
          </cell>
        </row>
        <row r="3199">
          <cell r="C3199" t="str">
            <v>Mucuge</v>
          </cell>
        </row>
        <row r="3200">
          <cell r="C3200" t="str">
            <v>Mucum</v>
          </cell>
        </row>
        <row r="3201">
          <cell r="C3201" t="str">
            <v>Mucuri</v>
          </cell>
        </row>
        <row r="3202">
          <cell r="C3202" t="str">
            <v>Mucurici</v>
          </cell>
        </row>
        <row r="3203">
          <cell r="C3203" t="str">
            <v>Muitos Capoes</v>
          </cell>
        </row>
        <row r="3204">
          <cell r="C3204" t="str">
            <v>Muliterno</v>
          </cell>
        </row>
        <row r="3205">
          <cell r="C3205" t="str">
            <v>Mulungu</v>
          </cell>
        </row>
        <row r="3206">
          <cell r="C3206" t="str">
            <v>Mulungu</v>
          </cell>
        </row>
        <row r="3207">
          <cell r="C3207" t="str">
            <v>Mulungu do Morro</v>
          </cell>
        </row>
        <row r="3208">
          <cell r="C3208" t="str">
            <v>Mundo Novo</v>
          </cell>
        </row>
        <row r="3209">
          <cell r="C3209" t="str">
            <v>Mundo Novo</v>
          </cell>
        </row>
        <row r="3210">
          <cell r="C3210" t="str">
            <v>Mundo Novo</v>
          </cell>
        </row>
        <row r="3211">
          <cell r="C3211" t="str">
            <v>Munhoz</v>
          </cell>
        </row>
        <row r="3212">
          <cell r="C3212" t="str">
            <v>Munhoz de Melo</v>
          </cell>
        </row>
        <row r="3213">
          <cell r="C3213" t="str">
            <v>Muniz Ferreira</v>
          </cell>
        </row>
        <row r="3214">
          <cell r="C3214" t="str">
            <v>Muniz Freire</v>
          </cell>
        </row>
        <row r="3215">
          <cell r="C3215" t="str">
            <v>Muquem de Sao Francisco</v>
          </cell>
        </row>
        <row r="3216">
          <cell r="C3216" t="str">
            <v>Muqui</v>
          </cell>
        </row>
        <row r="3217">
          <cell r="C3217" t="str">
            <v>Muriae</v>
          </cell>
        </row>
        <row r="3218">
          <cell r="C3218" t="str">
            <v>Muribeca</v>
          </cell>
        </row>
        <row r="3219">
          <cell r="C3219" t="str">
            <v>Murici</v>
          </cell>
        </row>
        <row r="3220">
          <cell r="C3220" t="str">
            <v>Murici dos Portelas</v>
          </cell>
        </row>
        <row r="3221">
          <cell r="C3221" t="str">
            <v>Muricilandia</v>
          </cell>
        </row>
        <row r="3222">
          <cell r="C3222" t="str">
            <v>Muritiba</v>
          </cell>
        </row>
        <row r="3223">
          <cell r="C3223" t="str">
            <v>Murutinga do Sul</v>
          </cell>
        </row>
        <row r="3224">
          <cell r="C3224" t="str">
            <v>Mutuipe</v>
          </cell>
        </row>
        <row r="3225">
          <cell r="C3225" t="str">
            <v>Mutum</v>
          </cell>
        </row>
        <row r="3226">
          <cell r="C3226" t="str">
            <v>Mutunopolis</v>
          </cell>
        </row>
        <row r="3227">
          <cell r="C3227" t="str">
            <v>Muzambinho</v>
          </cell>
        </row>
        <row r="3228">
          <cell r="C3228" t="str">
            <v>Nacip Raydan</v>
          </cell>
        </row>
        <row r="3229">
          <cell r="C3229" t="str">
            <v>Nantes</v>
          </cell>
        </row>
        <row r="3230">
          <cell r="C3230" t="str">
            <v>Nanuque</v>
          </cell>
        </row>
        <row r="3231">
          <cell r="C3231" t="str">
            <v>Nao-Me-Toque</v>
          </cell>
        </row>
        <row r="3232">
          <cell r="C3232" t="str">
            <v>Naque</v>
          </cell>
        </row>
        <row r="3233">
          <cell r="C3233" t="str">
            <v>Narandiba</v>
          </cell>
        </row>
        <row r="3234">
          <cell r="C3234" t="str">
            <v>Natal</v>
          </cell>
        </row>
        <row r="3235">
          <cell r="C3235" t="str">
            <v>Natalandia</v>
          </cell>
        </row>
        <row r="3236">
          <cell r="C3236" t="str">
            <v>Natercia</v>
          </cell>
        </row>
        <row r="3237">
          <cell r="C3237" t="str">
            <v>Natividade</v>
          </cell>
        </row>
        <row r="3238">
          <cell r="C3238" t="str">
            <v>Natividade</v>
          </cell>
        </row>
        <row r="3239">
          <cell r="C3239" t="str">
            <v>Natividade da Serra</v>
          </cell>
        </row>
        <row r="3240">
          <cell r="C3240" t="str">
            <v>Natuba</v>
          </cell>
        </row>
        <row r="3241">
          <cell r="C3241" t="str">
            <v>Navegantes</v>
          </cell>
        </row>
        <row r="3242">
          <cell r="C3242" t="str">
            <v>Navirai</v>
          </cell>
        </row>
        <row r="3243">
          <cell r="C3243" t="str">
            <v>Nazare</v>
          </cell>
        </row>
        <row r="3244">
          <cell r="C3244" t="str">
            <v>Nazare</v>
          </cell>
        </row>
        <row r="3245">
          <cell r="C3245" t="str">
            <v>Nazare da Mata</v>
          </cell>
        </row>
        <row r="3246">
          <cell r="C3246" t="str">
            <v>Nazare do Piaui</v>
          </cell>
        </row>
        <row r="3247">
          <cell r="C3247" t="str">
            <v>Nazare Paulista</v>
          </cell>
        </row>
        <row r="3248">
          <cell r="C3248" t="str">
            <v>Nazareno</v>
          </cell>
        </row>
        <row r="3249">
          <cell r="C3249" t="str">
            <v>Nazarezinho</v>
          </cell>
        </row>
        <row r="3250">
          <cell r="C3250" t="str">
            <v>Nazario</v>
          </cell>
        </row>
        <row r="3251">
          <cell r="C3251" t="str">
            <v>Neopolis</v>
          </cell>
        </row>
        <row r="3252">
          <cell r="C3252" t="str">
            <v>Nepomuceno</v>
          </cell>
        </row>
        <row r="3253">
          <cell r="C3253" t="str">
            <v>Neropolis</v>
          </cell>
        </row>
        <row r="3254">
          <cell r="C3254" t="str">
            <v>Neves Paulista</v>
          </cell>
        </row>
        <row r="3255">
          <cell r="C3255" t="str">
            <v>Nhamunda</v>
          </cell>
        </row>
        <row r="3256">
          <cell r="C3256" t="str">
            <v>Nhandeara</v>
          </cell>
        </row>
        <row r="3257">
          <cell r="C3257" t="str">
            <v>Nicolau Vergueiro</v>
          </cell>
        </row>
        <row r="3258">
          <cell r="C3258" t="str">
            <v>Nilo Pecanha</v>
          </cell>
        </row>
        <row r="3259">
          <cell r="C3259" t="str">
            <v>Nilopolis</v>
          </cell>
        </row>
        <row r="3260">
          <cell r="C3260" t="str">
            <v>Nina Rodrigues</v>
          </cell>
        </row>
        <row r="3261">
          <cell r="C3261" t="str">
            <v>Ninheira</v>
          </cell>
        </row>
        <row r="3262">
          <cell r="C3262" t="str">
            <v>Nioaque</v>
          </cell>
        </row>
        <row r="3263">
          <cell r="C3263" t="str">
            <v>Nipoa</v>
          </cell>
        </row>
        <row r="3264">
          <cell r="C3264" t="str">
            <v>Niquelandia</v>
          </cell>
        </row>
        <row r="3265">
          <cell r="C3265" t="str">
            <v>Nisia Floresta</v>
          </cell>
        </row>
        <row r="3266">
          <cell r="C3266" t="str">
            <v>Niteroi</v>
          </cell>
        </row>
        <row r="3267">
          <cell r="C3267" t="str">
            <v>Nobres</v>
          </cell>
        </row>
        <row r="3268">
          <cell r="C3268" t="str">
            <v>Nonoai</v>
          </cell>
        </row>
        <row r="3269">
          <cell r="C3269" t="str">
            <v>Nordestina</v>
          </cell>
        </row>
        <row r="3270">
          <cell r="C3270" t="str">
            <v>Normandia</v>
          </cell>
        </row>
        <row r="3271">
          <cell r="C3271" t="str">
            <v>Nortelandia</v>
          </cell>
        </row>
        <row r="3272">
          <cell r="C3272" t="str">
            <v>Nossa Senhora Aparecida</v>
          </cell>
        </row>
        <row r="3273">
          <cell r="C3273" t="str">
            <v>Nossa Senhora da Gloria</v>
          </cell>
        </row>
        <row r="3274">
          <cell r="C3274" t="str">
            <v>Nossa Senhora das Dores</v>
          </cell>
        </row>
        <row r="3275">
          <cell r="C3275" t="str">
            <v>Nossa Senhora das Gracas</v>
          </cell>
        </row>
        <row r="3276">
          <cell r="C3276" t="str">
            <v>Nossa Senhora de Lourdes</v>
          </cell>
        </row>
        <row r="3277">
          <cell r="C3277" t="str">
            <v>Nossa Senhora de Nazare</v>
          </cell>
        </row>
        <row r="3278">
          <cell r="C3278" t="str">
            <v>Nossa Senhora do Livramento</v>
          </cell>
        </row>
        <row r="3279">
          <cell r="C3279" t="str">
            <v>Nossa Senhora do Socorro</v>
          </cell>
        </row>
        <row r="3280">
          <cell r="C3280" t="str">
            <v>Nossa Senhora dos Remedios</v>
          </cell>
        </row>
        <row r="3281">
          <cell r="C3281" t="str">
            <v>Nova Alianca</v>
          </cell>
        </row>
        <row r="3282">
          <cell r="C3282" t="str">
            <v>Nova Alianca do Ivai</v>
          </cell>
        </row>
        <row r="3283">
          <cell r="C3283" t="str">
            <v>Nova Alvorada</v>
          </cell>
        </row>
        <row r="3284">
          <cell r="C3284" t="str">
            <v>Nova Alvorada do Sul</v>
          </cell>
        </row>
        <row r="3285">
          <cell r="C3285" t="str">
            <v>Nova America</v>
          </cell>
        </row>
        <row r="3286">
          <cell r="C3286" t="str">
            <v>Nova America da Colina</v>
          </cell>
        </row>
        <row r="3287">
          <cell r="C3287" t="str">
            <v>Nova Andradina</v>
          </cell>
        </row>
        <row r="3288">
          <cell r="C3288" t="str">
            <v>Nova Araca</v>
          </cell>
        </row>
        <row r="3289">
          <cell r="C3289" t="str">
            <v>Nova Aurora</v>
          </cell>
        </row>
        <row r="3290">
          <cell r="C3290" t="str">
            <v>Nova Aurora</v>
          </cell>
        </row>
        <row r="3291">
          <cell r="C3291" t="str">
            <v>Nova Bandeirantes</v>
          </cell>
        </row>
        <row r="3292">
          <cell r="C3292" t="str">
            <v>Nova Bassano</v>
          </cell>
        </row>
        <row r="3293">
          <cell r="C3293" t="str">
            <v>Nova Belem</v>
          </cell>
        </row>
        <row r="3294">
          <cell r="C3294" t="str">
            <v>Nova Boa Vista</v>
          </cell>
        </row>
        <row r="3295">
          <cell r="C3295" t="str">
            <v>Nova Brasilandia</v>
          </cell>
        </row>
        <row r="3296">
          <cell r="C3296" t="str">
            <v>Nova Brasilandia D'Oeste</v>
          </cell>
        </row>
        <row r="3297">
          <cell r="C3297" t="str">
            <v>Nova Brescia</v>
          </cell>
        </row>
        <row r="3298">
          <cell r="C3298" t="str">
            <v>Nova Campina</v>
          </cell>
        </row>
        <row r="3299">
          <cell r="C3299" t="str">
            <v>Nova Canaa</v>
          </cell>
        </row>
        <row r="3300">
          <cell r="C3300" t="str">
            <v>Nova Canaa do Norte</v>
          </cell>
        </row>
        <row r="3301">
          <cell r="C3301" t="str">
            <v>Nova Canaa Paulista</v>
          </cell>
        </row>
        <row r="3302">
          <cell r="C3302" t="str">
            <v>Nova Candelaria</v>
          </cell>
        </row>
        <row r="3303">
          <cell r="C3303" t="str">
            <v>Nova Cantu</v>
          </cell>
        </row>
        <row r="3304">
          <cell r="C3304" t="str">
            <v>Nova Castilho</v>
          </cell>
        </row>
        <row r="3305">
          <cell r="C3305" t="str">
            <v>Nova Colinas</v>
          </cell>
        </row>
        <row r="3306">
          <cell r="C3306" t="str">
            <v>Nova Crixas</v>
          </cell>
        </row>
        <row r="3307">
          <cell r="C3307" t="str">
            <v>Nova Cruz</v>
          </cell>
        </row>
        <row r="3308">
          <cell r="C3308" t="str">
            <v>Nova Era</v>
          </cell>
        </row>
        <row r="3309">
          <cell r="C3309" t="str">
            <v>Nova Erechim</v>
          </cell>
        </row>
        <row r="3310">
          <cell r="C3310" t="str">
            <v>Nova Esperanca</v>
          </cell>
        </row>
        <row r="3311">
          <cell r="C3311" t="str">
            <v>Nova Esperanca do Piria</v>
          </cell>
        </row>
        <row r="3312">
          <cell r="C3312" t="str">
            <v>Nova Esperanca do Sudoeste</v>
          </cell>
        </row>
        <row r="3313">
          <cell r="C3313" t="str">
            <v>Nova Esperanca do Sul</v>
          </cell>
        </row>
        <row r="3314">
          <cell r="C3314" t="str">
            <v>Nova Europa</v>
          </cell>
        </row>
        <row r="3315">
          <cell r="C3315" t="str">
            <v>Nova Fatima</v>
          </cell>
        </row>
        <row r="3316">
          <cell r="C3316" t="str">
            <v>Nova Fatima</v>
          </cell>
        </row>
        <row r="3317">
          <cell r="C3317" t="str">
            <v>Nova Floresta</v>
          </cell>
        </row>
        <row r="3318">
          <cell r="C3318" t="str">
            <v>Nova Friburgo</v>
          </cell>
        </row>
        <row r="3319">
          <cell r="C3319" t="str">
            <v>Nova Gloria</v>
          </cell>
        </row>
        <row r="3320">
          <cell r="C3320" t="str">
            <v>Nova Granada</v>
          </cell>
        </row>
        <row r="3321">
          <cell r="C3321" t="str">
            <v>Nova Guarita</v>
          </cell>
        </row>
        <row r="3322">
          <cell r="C3322" t="str">
            <v>Nova Guataporanga</v>
          </cell>
        </row>
        <row r="3323">
          <cell r="C3323" t="str">
            <v>Nova Hartz</v>
          </cell>
        </row>
        <row r="3324">
          <cell r="C3324" t="str">
            <v>Nova Ibia</v>
          </cell>
        </row>
        <row r="3325">
          <cell r="C3325" t="str">
            <v>Nova Iguacu</v>
          </cell>
        </row>
        <row r="3326">
          <cell r="C3326" t="str">
            <v>Nova Iguacu de Goias</v>
          </cell>
        </row>
        <row r="3327">
          <cell r="C3327" t="str">
            <v>Nova Independencia</v>
          </cell>
        </row>
        <row r="3328">
          <cell r="C3328" t="str">
            <v>Nova Iorque</v>
          </cell>
        </row>
        <row r="3329">
          <cell r="C3329" t="str">
            <v>Nova Ipixuna</v>
          </cell>
        </row>
        <row r="3330">
          <cell r="C3330" t="str">
            <v>Nova Itaberaba</v>
          </cell>
        </row>
        <row r="3331">
          <cell r="C3331" t="str">
            <v>Nova Itarana</v>
          </cell>
        </row>
        <row r="3332">
          <cell r="C3332" t="str">
            <v>Nova Lacerda</v>
          </cell>
        </row>
        <row r="3333">
          <cell r="C3333" t="str">
            <v>Nova Laranjeiras</v>
          </cell>
        </row>
        <row r="3334">
          <cell r="C3334" t="str">
            <v>Nova Lima</v>
          </cell>
        </row>
        <row r="3335">
          <cell r="C3335" t="str">
            <v>Nova Londrina</v>
          </cell>
        </row>
        <row r="3336">
          <cell r="C3336" t="str">
            <v>Nova Luzitania</v>
          </cell>
        </row>
        <row r="3337">
          <cell r="C3337" t="str">
            <v>Nova Mamore</v>
          </cell>
        </row>
        <row r="3338">
          <cell r="C3338" t="str">
            <v>Nova Marilandia</v>
          </cell>
        </row>
        <row r="3339">
          <cell r="C3339" t="str">
            <v>Nova Maringa</v>
          </cell>
        </row>
        <row r="3340">
          <cell r="C3340" t="str">
            <v>Nova Modica</v>
          </cell>
        </row>
        <row r="3341">
          <cell r="C3341" t="str">
            <v>Nova Monte Verde</v>
          </cell>
        </row>
        <row r="3342">
          <cell r="C3342" t="str">
            <v>Nova Mutum</v>
          </cell>
        </row>
        <row r="3343">
          <cell r="C3343" t="str">
            <v>Nova Nazare</v>
          </cell>
        </row>
        <row r="3344">
          <cell r="C3344" t="str">
            <v>Nova Odessa</v>
          </cell>
        </row>
        <row r="3345">
          <cell r="C3345" t="str">
            <v>Nova Olimpia</v>
          </cell>
        </row>
        <row r="3346">
          <cell r="C3346" t="str">
            <v>Nova Olimpia</v>
          </cell>
        </row>
        <row r="3347">
          <cell r="C3347" t="str">
            <v>Nova Olinda</v>
          </cell>
        </row>
        <row r="3348">
          <cell r="C3348" t="str">
            <v>Nova Olinda</v>
          </cell>
        </row>
        <row r="3349">
          <cell r="C3349" t="str">
            <v>Nova Olinda</v>
          </cell>
        </row>
        <row r="3350">
          <cell r="C3350" t="str">
            <v>Nova Olinda do Maranhao</v>
          </cell>
        </row>
        <row r="3351">
          <cell r="C3351" t="str">
            <v>Nova Olinda do Norte</v>
          </cell>
        </row>
        <row r="3352">
          <cell r="C3352" t="str">
            <v>Nova Padua</v>
          </cell>
        </row>
        <row r="3353">
          <cell r="C3353" t="str">
            <v>Nova Palma</v>
          </cell>
        </row>
        <row r="3354">
          <cell r="C3354" t="str">
            <v>Nova Palmeira</v>
          </cell>
        </row>
        <row r="3355">
          <cell r="C3355" t="str">
            <v>Nova Petropolis</v>
          </cell>
        </row>
        <row r="3356">
          <cell r="C3356" t="str">
            <v>Nova Ponte</v>
          </cell>
        </row>
        <row r="3357">
          <cell r="C3357" t="str">
            <v>Nova Porteirinha</v>
          </cell>
        </row>
        <row r="3358">
          <cell r="C3358" t="str">
            <v>Nova Prata</v>
          </cell>
        </row>
        <row r="3359">
          <cell r="C3359" t="str">
            <v>Nova Prata do Iguacu</v>
          </cell>
        </row>
        <row r="3360">
          <cell r="C3360" t="str">
            <v>Nova Ramada</v>
          </cell>
        </row>
        <row r="3361">
          <cell r="C3361" t="str">
            <v>Nova Redencao</v>
          </cell>
        </row>
        <row r="3362">
          <cell r="C3362" t="str">
            <v>Nova Resende</v>
          </cell>
        </row>
        <row r="3363">
          <cell r="C3363" t="str">
            <v>Nova Roma</v>
          </cell>
        </row>
        <row r="3364">
          <cell r="C3364" t="str">
            <v>Nova Roma do Sul</v>
          </cell>
        </row>
        <row r="3365">
          <cell r="C3365" t="str">
            <v>Nova Rosalandia</v>
          </cell>
        </row>
        <row r="3366">
          <cell r="C3366" t="str">
            <v>Nova Russas</v>
          </cell>
        </row>
        <row r="3367">
          <cell r="C3367" t="str">
            <v>Nova Santa Barbara</v>
          </cell>
        </row>
        <row r="3368">
          <cell r="C3368" t="str">
            <v>Nova Santa Helena</v>
          </cell>
        </row>
        <row r="3369">
          <cell r="C3369" t="str">
            <v>Nova Santa Rita</v>
          </cell>
        </row>
        <row r="3370">
          <cell r="C3370" t="str">
            <v>Nova Santa Rita</v>
          </cell>
        </row>
        <row r="3371">
          <cell r="C3371" t="str">
            <v>Nova Santa Rosa</v>
          </cell>
        </row>
        <row r="3372">
          <cell r="C3372" t="str">
            <v>Nova Serrana</v>
          </cell>
        </row>
        <row r="3373">
          <cell r="C3373" t="str">
            <v>Nova Soure</v>
          </cell>
        </row>
        <row r="3374">
          <cell r="C3374" t="str">
            <v>Nova Tebas</v>
          </cell>
        </row>
        <row r="3375">
          <cell r="C3375" t="str">
            <v>Nova Timboteua</v>
          </cell>
        </row>
        <row r="3376">
          <cell r="C3376" t="str">
            <v>Nova Trento</v>
          </cell>
        </row>
        <row r="3377">
          <cell r="C3377" t="str">
            <v>Nova Ubirata</v>
          </cell>
        </row>
        <row r="3378">
          <cell r="C3378" t="str">
            <v>Nova Uniao</v>
          </cell>
        </row>
        <row r="3379">
          <cell r="C3379" t="str">
            <v>Nova Uniao</v>
          </cell>
        </row>
        <row r="3380">
          <cell r="C3380" t="str">
            <v>Nova Venecia</v>
          </cell>
        </row>
        <row r="3381">
          <cell r="C3381" t="str">
            <v>Nova Veneza</v>
          </cell>
        </row>
        <row r="3382">
          <cell r="C3382" t="str">
            <v>Nova Veneza</v>
          </cell>
        </row>
        <row r="3383">
          <cell r="C3383" t="str">
            <v>Nova Vicosa</v>
          </cell>
        </row>
        <row r="3384">
          <cell r="C3384" t="str">
            <v>Nova Xavantina</v>
          </cell>
        </row>
        <row r="3385">
          <cell r="C3385" t="str">
            <v>Novais</v>
          </cell>
        </row>
        <row r="3386">
          <cell r="C3386" t="str">
            <v>Novo Acordo</v>
          </cell>
        </row>
        <row r="3387">
          <cell r="C3387" t="str">
            <v>Novo Airao</v>
          </cell>
        </row>
        <row r="3388">
          <cell r="C3388" t="str">
            <v>Novo Alegre</v>
          </cell>
        </row>
        <row r="3389">
          <cell r="C3389" t="str">
            <v>Novo Aripuana</v>
          </cell>
        </row>
        <row r="3390">
          <cell r="C3390" t="str">
            <v>Novo Barreiro</v>
          </cell>
        </row>
        <row r="3391">
          <cell r="C3391" t="str">
            <v>Novo Brasil</v>
          </cell>
        </row>
        <row r="3392">
          <cell r="C3392" t="str">
            <v>Novo Cabrais</v>
          </cell>
        </row>
        <row r="3393">
          <cell r="C3393" t="str">
            <v>Novo Cruzeiro</v>
          </cell>
        </row>
        <row r="3394">
          <cell r="C3394" t="str">
            <v>Novo Gama</v>
          </cell>
        </row>
        <row r="3395">
          <cell r="C3395" t="str">
            <v>Novo Hamburgo</v>
          </cell>
        </row>
        <row r="3396">
          <cell r="C3396" t="str">
            <v>Novo Horizonte</v>
          </cell>
        </row>
        <row r="3397">
          <cell r="C3397" t="str">
            <v>Novo Horizonte</v>
          </cell>
        </row>
        <row r="3398">
          <cell r="C3398" t="str">
            <v>Novo Horizonte</v>
          </cell>
        </row>
        <row r="3399">
          <cell r="C3399" t="str">
            <v>Novo Horizonte do Norte</v>
          </cell>
        </row>
        <row r="3400">
          <cell r="C3400" t="str">
            <v>Novo Horizonte do Oeste</v>
          </cell>
        </row>
        <row r="3401">
          <cell r="C3401" t="str">
            <v>Novo Horizonte do Sul</v>
          </cell>
        </row>
        <row r="3402">
          <cell r="C3402" t="str">
            <v>Novo Itacolomi</v>
          </cell>
        </row>
        <row r="3403">
          <cell r="C3403" t="str">
            <v>Novo Jardim</v>
          </cell>
        </row>
        <row r="3404">
          <cell r="C3404" t="str">
            <v>Novo Lino</v>
          </cell>
        </row>
        <row r="3405">
          <cell r="C3405" t="str">
            <v>Novo Machado</v>
          </cell>
        </row>
        <row r="3406">
          <cell r="C3406" t="str">
            <v>Novo Mundo</v>
          </cell>
        </row>
        <row r="3407">
          <cell r="C3407" t="str">
            <v>Novo Oriente</v>
          </cell>
        </row>
        <row r="3408">
          <cell r="C3408" t="str">
            <v>Novo Oriente de Minas</v>
          </cell>
        </row>
        <row r="3409">
          <cell r="C3409" t="str">
            <v>Novo Oriente do Piaui</v>
          </cell>
        </row>
        <row r="3410">
          <cell r="C3410" t="str">
            <v>Novo Planalto</v>
          </cell>
        </row>
        <row r="3411">
          <cell r="C3411" t="str">
            <v>Novo Progresso</v>
          </cell>
        </row>
        <row r="3412">
          <cell r="C3412" t="str">
            <v>Novo Repartimento</v>
          </cell>
        </row>
        <row r="3413">
          <cell r="C3413" t="str">
            <v>Novo Santo Antonio</v>
          </cell>
        </row>
        <row r="3414">
          <cell r="C3414" t="str">
            <v>Novo Santo Antonio</v>
          </cell>
        </row>
        <row r="3415">
          <cell r="C3415" t="str">
            <v>Novo Sao Joaquim</v>
          </cell>
        </row>
        <row r="3416">
          <cell r="C3416" t="str">
            <v>Novo Tiradentes</v>
          </cell>
        </row>
        <row r="3417">
          <cell r="C3417" t="str">
            <v>Novo Triunfo</v>
          </cell>
        </row>
        <row r="3418">
          <cell r="C3418" t="str">
            <v>Novo Xingu</v>
          </cell>
        </row>
        <row r="3419">
          <cell r="C3419" t="str">
            <v>Novorizonte</v>
          </cell>
        </row>
        <row r="3420">
          <cell r="C3420" t="str">
            <v>Nuporanga</v>
          </cell>
        </row>
        <row r="3421">
          <cell r="C3421" t="str">
            <v>obidos</v>
          </cell>
        </row>
        <row r="3422">
          <cell r="C3422" t="str">
            <v>Ocara</v>
          </cell>
        </row>
        <row r="3423">
          <cell r="C3423" t="str">
            <v>Ocaucu</v>
          </cell>
        </row>
        <row r="3424">
          <cell r="C3424" t="str">
            <v>Oeiras</v>
          </cell>
        </row>
        <row r="3425">
          <cell r="C3425" t="str">
            <v>Oeiras do Para</v>
          </cell>
        </row>
        <row r="3426">
          <cell r="C3426" t="str">
            <v>Oiapoque</v>
          </cell>
        </row>
        <row r="3427">
          <cell r="C3427" t="str">
            <v>Olaria</v>
          </cell>
        </row>
        <row r="3428">
          <cell r="C3428" t="str">
            <v>oleo</v>
          </cell>
        </row>
        <row r="3429">
          <cell r="C3429" t="str">
            <v>Olho d'agua</v>
          </cell>
        </row>
        <row r="3430">
          <cell r="C3430" t="str">
            <v>Olho d'agua das Cunhas</v>
          </cell>
        </row>
        <row r="3431">
          <cell r="C3431" t="str">
            <v>Olho d'agua das Flores</v>
          </cell>
        </row>
        <row r="3432">
          <cell r="C3432" t="str">
            <v>Olho d'agua do Casado</v>
          </cell>
        </row>
        <row r="3433">
          <cell r="C3433" t="str">
            <v>Olho D'agua do Piaui</v>
          </cell>
        </row>
        <row r="3434">
          <cell r="C3434" t="str">
            <v>Olho d'agua Grande</v>
          </cell>
        </row>
        <row r="3435">
          <cell r="C3435" t="str">
            <v>Olho-d'agua do Borges</v>
          </cell>
        </row>
        <row r="3436">
          <cell r="C3436" t="str">
            <v>Olhos-d'agua</v>
          </cell>
        </row>
        <row r="3437">
          <cell r="C3437" t="str">
            <v>Olimpia</v>
          </cell>
        </row>
        <row r="3438">
          <cell r="C3438" t="str">
            <v>Olimpio Noronha</v>
          </cell>
        </row>
        <row r="3439">
          <cell r="C3439" t="str">
            <v>Olinda</v>
          </cell>
        </row>
        <row r="3440">
          <cell r="C3440" t="str">
            <v>Olinda Nova do Maranhao</v>
          </cell>
        </row>
        <row r="3441">
          <cell r="C3441" t="str">
            <v>Olindina</v>
          </cell>
        </row>
        <row r="3442">
          <cell r="C3442" t="str">
            <v>Olivedos</v>
          </cell>
        </row>
        <row r="3443">
          <cell r="C3443" t="str">
            <v>Oliveira</v>
          </cell>
        </row>
        <row r="3444">
          <cell r="C3444" t="str">
            <v>Oliveira de Fatima</v>
          </cell>
        </row>
        <row r="3445">
          <cell r="C3445" t="str">
            <v>Oliveira dos Brejinhos</v>
          </cell>
        </row>
        <row r="3446">
          <cell r="C3446" t="str">
            <v>Oliveira Fortes</v>
          </cell>
        </row>
        <row r="3447">
          <cell r="C3447" t="str">
            <v>Olivenca</v>
          </cell>
        </row>
        <row r="3448">
          <cell r="C3448" t="str">
            <v>Onca de Pitangui</v>
          </cell>
        </row>
        <row r="3449">
          <cell r="C3449" t="str">
            <v>Onda Verde</v>
          </cell>
        </row>
        <row r="3450">
          <cell r="C3450" t="str">
            <v>Oratorios</v>
          </cell>
        </row>
        <row r="3451">
          <cell r="C3451" t="str">
            <v>Oriente</v>
          </cell>
        </row>
        <row r="3452">
          <cell r="C3452" t="str">
            <v>Orindiuva</v>
          </cell>
        </row>
        <row r="3453">
          <cell r="C3453" t="str">
            <v>Oriximina</v>
          </cell>
        </row>
        <row r="3454">
          <cell r="C3454" t="str">
            <v>Orizania</v>
          </cell>
        </row>
        <row r="3455">
          <cell r="C3455" t="str">
            <v>Orizona</v>
          </cell>
        </row>
        <row r="3456">
          <cell r="C3456" t="str">
            <v>Orlandia</v>
          </cell>
        </row>
        <row r="3457">
          <cell r="C3457" t="str">
            <v>Orleans</v>
          </cell>
        </row>
        <row r="3458">
          <cell r="C3458" t="str">
            <v>Orobo</v>
          </cell>
        </row>
        <row r="3459">
          <cell r="C3459" t="str">
            <v>Oroco</v>
          </cell>
        </row>
        <row r="3460">
          <cell r="C3460" t="str">
            <v>Oros</v>
          </cell>
        </row>
        <row r="3461">
          <cell r="C3461" t="str">
            <v>Ortigueira</v>
          </cell>
        </row>
        <row r="3462">
          <cell r="C3462" t="str">
            <v>Osasco</v>
          </cell>
        </row>
        <row r="3463">
          <cell r="C3463" t="str">
            <v>Oscar Bressane</v>
          </cell>
        </row>
        <row r="3464">
          <cell r="C3464" t="str">
            <v>Osorio</v>
          </cell>
        </row>
        <row r="3465">
          <cell r="C3465" t="str">
            <v>Osvaldo Cruz</v>
          </cell>
        </row>
        <row r="3466">
          <cell r="C3466" t="str">
            <v>Otacilio Costa</v>
          </cell>
        </row>
        <row r="3467">
          <cell r="C3467" t="str">
            <v>Ourem</v>
          </cell>
        </row>
        <row r="3468">
          <cell r="C3468" t="str">
            <v>Ouricangas</v>
          </cell>
        </row>
        <row r="3469">
          <cell r="C3469" t="str">
            <v>Ouricuri</v>
          </cell>
        </row>
        <row r="3470">
          <cell r="C3470" t="str">
            <v>Ourilandia do Norte</v>
          </cell>
        </row>
        <row r="3471">
          <cell r="C3471" t="str">
            <v>Ourinhos</v>
          </cell>
        </row>
        <row r="3472">
          <cell r="C3472" t="str">
            <v>Ourizona</v>
          </cell>
        </row>
        <row r="3473">
          <cell r="C3473" t="str">
            <v>Ouro</v>
          </cell>
        </row>
        <row r="3474">
          <cell r="C3474" t="str">
            <v>Ouro Branco</v>
          </cell>
        </row>
        <row r="3475">
          <cell r="C3475" t="str">
            <v>Ouro Branco</v>
          </cell>
        </row>
        <row r="3476">
          <cell r="C3476" t="str">
            <v>Ouro Branco</v>
          </cell>
        </row>
        <row r="3477">
          <cell r="C3477" t="str">
            <v>Ouro Fino</v>
          </cell>
        </row>
        <row r="3478">
          <cell r="C3478" t="str">
            <v>Ouro Preto</v>
          </cell>
        </row>
        <row r="3479">
          <cell r="C3479" t="str">
            <v>Ouro Preto do Oeste</v>
          </cell>
        </row>
        <row r="3480">
          <cell r="C3480" t="str">
            <v>Ouro Velho</v>
          </cell>
        </row>
        <row r="3481">
          <cell r="C3481" t="str">
            <v>Ouro Verde</v>
          </cell>
        </row>
        <row r="3482">
          <cell r="C3482" t="str">
            <v>Ouro Verde</v>
          </cell>
        </row>
        <row r="3483">
          <cell r="C3483" t="str">
            <v>Ouro Verde de Goias</v>
          </cell>
        </row>
        <row r="3484">
          <cell r="C3484" t="str">
            <v>Ouro Verde de Minas</v>
          </cell>
        </row>
        <row r="3485">
          <cell r="C3485" t="str">
            <v>Ouro Verde do Oeste</v>
          </cell>
        </row>
        <row r="3486">
          <cell r="C3486" t="str">
            <v>Ouroeste</v>
          </cell>
        </row>
        <row r="3487">
          <cell r="C3487" t="str">
            <v>Ourolandia</v>
          </cell>
        </row>
        <row r="3488">
          <cell r="C3488" t="str">
            <v>Ouvidor</v>
          </cell>
        </row>
        <row r="3489">
          <cell r="C3489" t="str">
            <v>Pacaembu</v>
          </cell>
        </row>
        <row r="3490">
          <cell r="C3490" t="str">
            <v>Pacaja</v>
          </cell>
        </row>
        <row r="3491">
          <cell r="C3491" t="str">
            <v>Pacajus</v>
          </cell>
        </row>
        <row r="3492">
          <cell r="C3492" t="str">
            <v>Pacaraima</v>
          </cell>
        </row>
        <row r="3493">
          <cell r="C3493" t="str">
            <v>Pacatuba</v>
          </cell>
        </row>
        <row r="3494">
          <cell r="C3494" t="str">
            <v>Pacatuba</v>
          </cell>
        </row>
        <row r="3495">
          <cell r="C3495" t="str">
            <v>Paco do Lumiar</v>
          </cell>
        </row>
        <row r="3496">
          <cell r="C3496" t="str">
            <v>Pacoti</v>
          </cell>
        </row>
        <row r="3497">
          <cell r="C3497" t="str">
            <v>Pacuja</v>
          </cell>
        </row>
        <row r="3498">
          <cell r="C3498" t="str">
            <v>Padre Bernardo</v>
          </cell>
        </row>
        <row r="3499">
          <cell r="C3499" t="str">
            <v>Padre Carvalho</v>
          </cell>
        </row>
        <row r="3500">
          <cell r="C3500" t="str">
            <v>Padre Marcos</v>
          </cell>
        </row>
        <row r="3501">
          <cell r="C3501" t="str">
            <v>Padre Paraiso</v>
          </cell>
        </row>
        <row r="3502">
          <cell r="C3502" t="str">
            <v>Paes Landim</v>
          </cell>
        </row>
        <row r="3503">
          <cell r="C3503" t="str">
            <v>Pai Pedro</v>
          </cell>
        </row>
        <row r="3504">
          <cell r="C3504" t="str">
            <v>Paial</v>
          </cell>
        </row>
        <row r="3505">
          <cell r="C3505" t="str">
            <v>Paicandu</v>
          </cell>
        </row>
        <row r="3506">
          <cell r="C3506" t="str">
            <v>Paim Filho</v>
          </cell>
        </row>
        <row r="3507">
          <cell r="C3507" t="str">
            <v>Paineiras</v>
          </cell>
        </row>
        <row r="3508">
          <cell r="C3508" t="str">
            <v>Painel</v>
          </cell>
        </row>
        <row r="3509">
          <cell r="C3509" t="str">
            <v>Pains</v>
          </cell>
        </row>
        <row r="3510">
          <cell r="C3510" t="str">
            <v>Paiva</v>
          </cell>
        </row>
        <row r="3511">
          <cell r="C3511" t="str">
            <v>Pajeu do Piaui</v>
          </cell>
        </row>
        <row r="3512">
          <cell r="C3512" t="str">
            <v>Palestina</v>
          </cell>
        </row>
        <row r="3513">
          <cell r="C3513" t="str">
            <v>Palestina</v>
          </cell>
        </row>
        <row r="3514">
          <cell r="C3514" t="str">
            <v>Palestina de Goias</v>
          </cell>
        </row>
        <row r="3515">
          <cell r="C3515" t="str">
            <v>Palestina do Para</v>
          </cell>
        </row>
        <row r="3516">
          <cell r="C3516" t="str">
            <v>Palhano</v>
          </cell>
        </row>
        <row r="3517">
          <cell r="C3517" t="str">
            <v>Palhoca</v>
          </cell>
        </row>
        <row r="3518">
          <cell r="C3518" t="str">
            <v>Palma</v>
          </cell>
        </row>
        <row r="3519">
          <cell r="C3519" t="str">
            <v>Palma Sola</v>
          </cell>
        </row>
        <row r="3520">
          <cell r="C3520" t="str">
            <v>Palmacia</v>
          </cell>
        </row>
        <row r="3521">
          <cell r="C3521" t="str">
            <v>Palmares</v>
          </cell>
        </row>
        <row r="3522">
          <cell r="C3522" t="str">
            <v>Palmares do Sul</v>
          </cell>
        </row>
        <row r="3523">
          <cell r="C3523" t="str">
            <v>Palmares Paulista</v>
          </cell>
        </row>
        <row r="3524">
          <cell r="C3524" t="str">
            <v>Palmas</v>
          </cell>
        </row>
        <row r="3525">
          <cell r="C3525" t="str">
            <v>Palmas</v>
          </cell>
        </row>
        <row r="3526">
          <cell r="C3526" t="str">
            <v>Palmas de Monte Alto</v>
          </cell>
        </row>
        <row r="3527">
          <cell r="C3527" t="str">
            <v>Palmeira</v>
          </cell>
        </row>
        <row r="3528">
          <cell r="C3528" t="str">
            <v>Palmeira</v>
          </cell>
        </row>
        <row r="3529">
          <cell r="C3529" t="str">
            <v>Palmeira das Missoes</v>
          </cell>
        </row>
        <row r="3530">
          <cell r="C3530" t="str">
            <v>Palmeira do Piaui</v>
          </cell>
        </row>
        <row r="3531">
          <cell r="C3531" t="str">
            <v>Palmeira d'Oeste</v>
          </cell>
        </row>
        <row r="3532">
          <cell r="C3532" t="str">
            <v>Palmeira dos indios</v>
          </cell>
        </row>
        <row r="3533">
          <cell r="C3533" t="str">
            <v>Palmeirais</v>
          </cell>
        </row>
        <row r="3534">
          <cell r="C3534" t="str">
            <v>Palmeirandia</v>
          </cell>
        </row>
        <row r="3535">
          <cell r="C3535" t="str">
            <v>Palmeirante</v>
          </cell>
        </row>
        <row r="3536">
          <cell r="C3536" t="str">
            <v>Palmeiras</v>
          </cell>
        </row>
        <row r="3537">
          <cell r="C3537" t="str">
            <v>Palmeiras de Goias</v>
          </cell>
        </row>
        <row r="3538">
          <cell r="C3538" t="str">
            <v>Palmeiras do Tocantins</v>
          </cell>
        </row>
        <row r="3539">
          <cell r="C3539" t="str">
            <v>Palmeirina</v>
          </cell>
        </row>
        <row r="3540">
          <cell r="C3540" t="str">
            <v>Palmeiropolis</v>
          </cell>
        </row>
        <row r="3541">
          <cell r="C3541" t="str">
            <v>Palmelo</v>
          </cell>
        </row>
        <row r="3542">
          <cell r="C3542" t="str">
            <v>Palminopolis</v>
          </cell>
        </row>
        <row r="3543">
          <cell r="C3543" t="str">
            <v>Palmital</v>
          </cell>
        </row>
        <row r="3544">
          <cell r="C3544" t="str">
            <v>Palmital</v>
          </cell>
        </row>
        <row r="3545">
          <cell r="C3545" t="str">
            <v>Palmitinho</v>
          </cell>
        </row>
        <row r="3546">
          <cell r="C3546" t="str">
            <v>Palmitos</v>
          </cell>
        </row>
        <row r="3547">
          <cell r="C3547" t="str">
            <v>Palmopolis</v>
          </cell>
        </row>
        <row r="3548">
          <cell r="C3548" t="str">
            <v>Palotina</v>
          </cell>
        </row>
        <row r="3549">
          <cell r="C3549" t="str">
            <v>Panama</v>
          </cell>
        </row>
        <row r="3550">
          <cell r="C3550" t="str">
            <v>Panambi</v>
          </cell>
        </row>
        <row r="3551">
          <cell r="C3551" t="str">
            <v>Pancas</v>
          </cell>
        </row>
        <row r="3552">
          <cell r="C3552" t="str">
            <v>Panelas</v>
          </cell>
        </row>
        <row r="3553">
          <cell r="C3553" t="str">
            <v>Panorama</v>
          </cell>
        </row>
        <row r="3554">
          <cell r="C3554" t="str">
            <v>Pantano Grande</v>
          </cell>
        </row>
        <row r="3555">
          <cell r="C3555" t="str">
            <v>Pao de Acucar</v>
          </cell>
        </row>
        <row r="3556">
          <cell r="C3556" t="str">
            <v>Papagaios</v>
          </cell>
        </row>
        <row r="3557">
          <cell r="C3557" t="str">
            <v>Papanduva</v>
          </cell>
        </row>
        <row r="3558">
          <cell r="C3558" t="str">
            <v>Paqueta</v>
          </cell>
        </row>
        <row r="3559">
          <cell r="C3559" t="str">
            <v>Para de Minas</v>
          </cell>
        </row>
        <row r="3560">
          <cell r="C3560" t="str">
            <v>Paracambi</v>
          </cell>
        </row>
        <row r="3561">
          <cell r="C3561" t="str">
            <v>Paracatu</v>
          </cell>
        </row>
        <row r="3562">
          <cell r="C3562" t="str">
            <v>Paracuru</v>
          </cell>
        </row>
        <row r="3563">
          <cell r="C3563" t="str">
            <v>Paragominas</v>
          </cell>
        </row>
        <row r="3564">
          <cell r="C3564" t="str">
            <v>Paraguacu</v>
          </cell>
        </row>
        <row r="3565">
          <cell r="C3565" t="str">
            <v>Paraguacu Paulista</v>
          </cell>
        </row>
        <row r="3566">
          <cell r="C3566" t="str">
            <v>Parai</v>
          </cell>
        </row>
        <row r="3567">
          <cell r="C3567" t="str">
            <v>Paraiba do Sul</v>
          </cell>
        </row>
        <row r="3568">
          <cell r="C3568" t="str">
            <v>Paraibano</v>
          </cell>
        </row>
        <row r="3569">
          <cell r="C3569" t="str">
            <v>Paraibuna</v>
          </cell>
        </row>
        <row r="3570">
          <cell r="C3570" t="str">
            <v>Paraipaba</v>
          </cell>
        </row>
        <row r="3571">
          <cell r="C3571" t="str">
            <v>Paraiso</v>
          </cell>
        </row>
        <row r="3572">
          <cell r="C3572" t="str">
            <v>Paraiso</v>
          </cell>
        </row>
        <row r="3573">
          <cell r="C3573" t="str">
            <v>Paraiso do Norte</v>
          </cell>
        </row>
        <row r="3574">
          <cell r="C3574" t="str">
            <v>Paraiso do Sul</v>
          </cell>
        </row>
        <row r="3575">
          <cell r="C3575" t="str">
            <v>Paraiso do Tocantins</v>
          </cell>
        </row>
        <row r="3576">
          <cell r="C3576" t="str">
            <v>Paraisopolis</v>
          </cell>
        </row>
        <row r="3577">
          <cell r="C3577" t="str">
            <v>Parambu</v>
          </cell>
        </row>
        <row r="3578">
          <cell r="C3578" t="str">
            <v>Paramirim</v>
          </cell>
        </row>
        <row r="3579">
          <cell r="C3579" t="str">
            <v>Paramoti</v>
          </cell>
        </row>
        <row r="3580">
          <cell r="C3580" t="str">
            <v>Parana</v>
          </cell>
        </row>
        <row r="3581">
          <cell r="C3581" t="str">
            <v>Parana</v>
          </cell>
        </row>
        <row r="3582">
          <cell r="C3582" t="str">
            <v>Paranacity</v>
          </cell>
        </row>
        <row r="3583">
          <cell r="C3583" t="str">
            <v>Paranagua</v>
          </cell>
        </row>
        <row r="3584">
          <cell r="C3584" t="str">
            <v>Paranaiba</v>
          </cell>
        </row>
        <row r="3585">
          <cell r="C3585" t="str">
            <v>Paranaiguara</v>
          </cell>
        </row>
        <row r="3586">
          <cell r="C3586" t="str">
            <v>Paranaita</v>
          </cell>
        </row>
        <row r="3587">
          <cell r="C3587" t="str">
            <v>Paranapanema</v>
          </cell>
        </row>
        <row r="3588">
          <cell r="C3588" t="str">
            <v>Paranapoema</v>
          </cell>
        </row>
        <row r="3589">
          <cell r="C3589" t="str">
            <v>Paranapua</v>
          </cell>
        </row>
        <row r="3590">
          <cell r="C3590" t="str">
            <v>Paranatama</v>
          </cell>
        </row>
        <row r="3591">
          <cell r="C3591" t="str">
            <v>Paranatinga</v>
          </cell>
        </row>
        <row r="3592">
          <cell r="C3592" t="str">
            <v>Paranavai</v>
          </cell>
        </row>
        <row r="3593">
          <cell r="C3593" t="str">
            <v>Paranhos</v>
          </cell>
        </row>
        <row r="3594">
          <cell r="C3594" t="str">
            <v>Paraopeba</v>
          </cell>
        </row>
        <row r="3595">
          <cell r="C3595" t="str">
            <v>Parapua</v>
          </cell>
        </row>
        <row r="3596">
          <cell r="C3596" t="str">
            <v>Parari</v>
          </cell>
        </row>
        <row r="3597">
          <cell r="C3597" t="str">
            <v>Parati</v>
          </cell>
        </row>
        <row r="3598">
          <cell r="C3598" t="str">
            <v>Paratinga</v>
          </cell>
        </row>
        <row r="3599">
          <cell r="C3599" t="str">
            <v>Parau</v>
          </cell>
        </row>
        <row r="3600">
          <cell r="C3600" t="str">
            <v>Parauapebas</v>
          </cell>
        </row>
        <row r="3601">
          <cell r="C3601" t="str">
            <v>Parauna</v>
          </cell>
        </row>
        <row r="3602">
          <cell r="C3602" t="str">
            <v>Parazinho</v>
          </cell>
        </row>
        <row r="3603">
          <cell r="C3603" t="str">
            <v>Pardinho</v>
          </cell>
        </row>
        <row r="3604">
          <cell r="C3604" t="str">
            <v>Pareci Novo</v>
          </cell>
        </row>
        <row r="3605">
          <cell r="C3605" t="str">
            <v>Parecis</v>
          </cell>
        </row>
        <row r="3606">
          <cell r="C3606" t="str">
            <v>Parelhas</v>
          </cell>
        </row>
        <row r="3607">
          <cell r="C3607" t="str">
            <v>Pariconha</v>
          </cell>
        </row>
        <row r="3608">
          <cell r="C3608" t="str">
            <v>Parintins</v>
          </cell>
        </row>
        <row r="3609">
          <cell r="C3609" t="str">
            <v>Paripiranga</v>
          </cell>
        </row>
        <row r="3610">
          <cell r="C3610" t="str">
            <v>Paripueira</v>
          </cell>
        </row>
        <row r="3611">
          <cell r="C3611" t="str">
            <v>Pariquera-Acu</v>
          </cell>
        </row>
        <row r="3612">
          <cell r="C3612" t="str">
            <v>Parisi</v>
          </cell>
        </row>
        <row r="3613">
          <cell r="C3613" t="str">
            <v>Parnagua</v>
          </cell>
        </row>
        <row r="3614">
          <cell r="C3614" t="str">
            <v>Parnaiba</v>
          </cell>
        </row>
        <row r="3615">
          <cell r="C3615" t="str">
            <v>Parnamirim</v>
          </cell>
        </row>
        <row r="3616">
          <cell r="C3616" t="str">
            <v>Parnamirim</v>
          </cell>
        </row>
        <row r="3617">
          <cell r="C3617" t="str">
            <v>Parnarama</v>
          </cell>
        </row>
        <row r="3618">
          <cell r="C3618" t="str">
            <v>Parobe</v>
          </cell>
        </row>
        <row r="3619">
          <cell r="C3619" t="str">
            <v>Passa e Fica</v>
          </cell>
        </row>
        <row r="3620">
          <cell r="C3620" t="str">
            <v>Passa Quatro</v>
          </cell>
        </row>
        <row r="3621">
          <cell r="C3621" t="str">
            <v>Passa Sete</v>
          </cell>
        </row>
        <row r="3622">
          <cell r="C3622" t="str">
            <v>Passa Tempo</v>
          </cell>
        </row>
        <row r="3623">
          <cell r="C3623" t="str">
            <v>Passabem</v>
          </cell>
        </row>
        <row r="3624">
          <cell r="C3624" t="str">
            <v>Passagem</v>
          </cell>
        </row>
        <row r="3625">
          <cell r="C3625" t="str">
            <v>Passagem</v>
          </cell>
        </row>
        <row r="3626">
          <cell r="C3626" t="str">
            <v>Passagem Franca</v>
          </cell>
        </row>
        <row r="3627">
          <cell r="C3627" t="str">
            <v>Passagem Franca do Piaui</v>
          </cell>
        </row>
        <row r="3628">
          <cell r="C3628" t="str">
            <v>Passa-Vinte</v>
          </cell>
        </row>
        <row r="3629">
          <cell r="C3629" t="str">
            <v>Passira</v>
          </cell>
        </row>
        <row r="3630">
          <cell r="C3630" t="str">
            <v>Passo de Camaragibe</v>
          </cell>
        </row>
        <row r="3631">
          <cell r="C3631" t="str">
            <v>Passo de Torres</v>
          </cell>
        </row>
        <row r="3632">
          <cell r="C3632" t="str">
            <v>Passo do Sobrado</v>
          </cell>
        </row>
        <row r="3633">
          <cell r="C3633" t="str">
            <v>Passo Fundo</v>
          </cell>
        </row>
        <row r="3634">
          <cell r="C3634" t="str">
            <v>Passos</v>
          </cell>
        </row>
        <row r="3635">
          <cell r="C3635" t="str">
            <v>Passos Maia</v>
          </cell>
        </row>
        <row r="3636">
          <cell r="C3636" t="str">
            <v>Pastos Bons</v>
          </cell>
        </row>
        <row r="3637">
          <cell r="C3637" t="str">
            <v>Patis</v>
          </cell>
        </row>
        <row r="3638">
          <cell r="C3638" t="str">
            <v>Pato Bragado</v>
          </cell>
        </row>
        <row r="3639">
          <cell r="C3639" t="str">
            <v>Pato Branco</v>
          </cell>
        </row>
        <row r="3640">
          <cell r="C3640" t="str">
            <v>Patos</v>
          </cell>
        </row>
        <row r="3641">
          <cell r="C3641" t="str">
            <v>Patos de Minas</v>
          </cell>
        </row>
        <row r="3642">
          <cell r="C3642" t="str">
            <v>Patos do Piaui</v>
          </cell>
        </row>
        <row r="3643">
          <cell r="C3643" t="str">
            <v>Patrocinio</v>
          </cell>
        </row>
        <row r="3644">
          <cell r="C3644" t="str">
            <v>Patrocinio do Muriae</v>
          </cell>
        </row>
        <row r="3645">
          <cell r="C3645" t="str">
            <v>Patrocinio Paulista</v>
          </cell>
        </row>
        <row r="3646">
          <cell r="C3646" t="str">
            <v>Patu</v>
          </cell>
        </row>
        <row r="3647">
          <cell r="C3647" t="str">
            <v>Paty do Alferes</v>
          </cell>
        </row>
        <row r="3648">
          <cell r="C3648" t="str">
            <v>Pau Brasil</v>
          </cell>
        </row>
        <row r="3649">
          <cell r="C3649" t="str">
            <v>Pau D'Arco</v>
          </cell>
        </row>
        <row r="3650">
          <cell r="C3650" t="str">
            <v>Pau D'Arco</v>
          </cell>
        </row>
        <row r="3651">
          <cell r="C3651" t="str">
            <v>Pau D'Arco do Piaui</v>
          </cell>
        </row>
        <row r="3652">
          <cell r="C3652" t="str">
            <v>Pau dos Ferros</v>
          </cell>
        </row>
        <row r="3653">
          <cell r="C3653" t="str">
            <v>Paudalho</v>
          </cell>
        </row>
        <row r="3654">
          <cell r="C3654" t="str">
            <v>Pauini</v>
          </cell>
        </row>
        <row r="3655">
          <cell r="C3655" t="str">
            <v>Paula Candido</v>
          </cell>
        </row>
        <row r="3656">
          <cell r="C3656" t="str">
            <v>Paula Freitas</v>
          </cell>
        </row>
        <row r="3657">
          <cell r="C3657" t="str">
            <v>Pauliceia</v>
          </cell>
        </row>
        <row r="3658">
          <cell r="C3658" t="str">
            <v>Paulinia</v>
          </cell>
        </row>
        <row r="3659">
          <cell r="C3659" t="str">
            <v>Paulino Neves</v>
          </cell>
        </row>
        <row r="3660">
          <cell r="C3660" t="str">
            <v>Paulista</v>
          </cell>
        </row>
        <row r="3661">
          <cell r="C3661" t="str">
            <v>Paulista</v>
          </cell>
        </row>
        <row r="3662">
          <cell r="C3662" t="str">
            <v>Paulistana</v>
          </cell>
        </row>
        <row r="3663">
          <cell r="C3663" t="str">
            <v>Paulistania</v>
          </cell>
        </row>
        <row r="3664">
          <cell r="C3664" t="str">
            <v>Paulistas</v>
          </cell>
        </row>
        <row r="3665">
          <cell r="C3665" t="str">
            <v>Paulo Afonso</v>
          </cell>
        </row>
        <row r="3666">
          <cell r="C3666" t="str">
            <v>Paulo Bento</v>
          </cell>
        </row>
        <row r="3667">
          <cell r="C3667" t="str">
            <v>Paulo de Faria</v>
          </cell>
        </row>
        <row r="3668">
          <cell r="C3668" t="str">
            <v>Paulo Frontin</v>
          </cell>
        </row>
        <row r="3669">
          <cell r="C3669" t="str">
            <v>Paulo Jacinto</v>
          </cell>
        </row>
        <row r="3670">
          <cell r="C3670" t="str">
            <v>Paulo Lopes</v>
          </cell>
        </row>
        <row r="3671">
          <cell r="C3671" t="str">
            <v>Paulo Ramos</v>
          </cell>
        </row>
        <row r="3672">
          <cell r="C3672" t="str">
            <v>Pavao</v>
          </cell>
        </row>
        <row r="3673">
          <cell r="C3673" t="str">
            <v>Paverama</v>
          </cell>
        </row>
        <row r="3674">
          <cell r="C3674" t="str">
            <v>Pavussu</v>
          </cell>
        </row>
        <row r="3675">
          <cell r="C3675" t="str">
            <v>Pe de Serra</v>
          </cell>
        </row>
        <row r="3676">
          <cell r="C3676" t="str">
            <v>Peabiru</v>
          </cell>
        </row>
        <row r="3677">
          <cell r="C3677" t="str">
            <v>Pecanha</v>
          </cell>
        </row>
        <row r="3678">
          <cell r="C3678" t="str">
            <v>Pederneiras</v>
          </cell>
        </row>
        <row r="3679">
          <cell r="C3679" t="str">
            <v>Pedra</v>
          </cell>
        </row>
        <row r="3680">
          <cell r="C3680" t="str">
            <v>Pedra Azul</v>
          </cell>
        </row>
        <row r="3681">
          <cell r="C3681" t="str">
            <v>Pedra Bela</v>
          </cell>
        </row>
        <row r="3682">
          <cell r="C3682" t="str">
            <v>Pedra Bonita</v>
          </cell>
        </row>
        <row r="3683">
          <cell r="C3683" t="str">
            <v>Pedra Branca</v>
          </cell>
        </row>
        <row r="3684">
          <cell r="C3684" t="str">
            <v>Pedra Branca</v>
          </cell>
        </row>
        <row r="3685">
          <cell r="C3685" t="str">
            <v>Pedra Branca do Amapari</v>
          </cell>
        </row>
        <row r="3686">
          <cell r="C3686" t="str">
            <v>Pedra do Anta</v>
          </cell>
        </row>
        <row r="3687">
          <cell r="C3687" t="str">
            <v>Pedra do Indaia</v>
          </cell>
        </row>
        <row r="3688">
          <cell r="C3688" t="str">
            <v>Pedra Dourada</v>
          </cell>
        </row>
        <row r="3689">
          <cell r="C3689" t="str">
            <v>Pedra Grande</v>
          </cell>
        </row>
        <row r="3690">
          <cell r="C3690" t="str">
            <v>Pedra Lavrada</v>
          </cell>
        </row>
        <row r="3691">
          <cell r="C3691" t="str">
            <v>Pedra Mole</v>
          </cell>
        </row>
        <row r="3692">
          <cell r="C3692" t="str">
            <v>Pedra Preta</v>
          </cell>
        </row>
        <row r="3693">
          <cell r="C3693" t="str">
            <v>Pedra Preta</v>
          </cell>
        </row>
        <row r="3694">
          <cell r="C3694" t="str">
            <v>Pedralva</v>
          </cell>
        </row>
        <row r="3695">
          <cell r="C3695" t="str">
            <v>Pedranopolis</v>
          </cell>
        </row>
        <row r="3696">
          <cell r="C3696" t="str">
            <v>Pedrao</v>
          </cell>
        </row>
        <row r="3697">
          <cell r="C3697" t="str">
            <v>Pedras Altas</v>
          </cell>
        </row>
        <row r="3698">
          <cell r="C3698" t="str">
            <v>Pedras de Fogo</v>
          </cell>
        </row>
        <row r="3699">
          <cell r="C3699" t="str">
            <v>Pedras de Maria da Cruz</v>
          </cell>
        </row>
        <row r="3700">
          <cell r="C3700" t="str">
            <v>Pedras Grandes</v>
          </cell>
        </row>
        <row r="3701">
          <cell r="C3701" t="str">
            <v>Pedregulho</v>
          </cell>
        </row>
        <row r="3702">
          <cell r="C3702" t="str">
            <v>Pedreira</v>
          </cell>
        </row>
        <row r="3703">
          <cell r="C3703" t="str">
            <v>Pedreiras</v>
          </cell>
        </row>
        <row r="3704">
          <cell r="C3704" t="str">
            <v>Pedrinhas</v>
          </cell>
        </row>
        <row r="3705">
          <cell r="C3705" t="str">
            <v>Pedrinhas Paulista</v>
          </cell>
        </row>
        <row r="3706">
          <cell r="C3706" t="str">
            <v>Pedrinopolis</v>
          </cell>
        </row>
        <row r="3707">
          <cell r="C3707" t="str">
            <v>Pedro Afonso</v>
          </cell>
        </row>
        <row r="3708">
          <cell r="C3708" t="str">
            <v>Pedro Alexandre</v>
          </cell>
        </row>
        <row r="3709">
          <cell r="C3709" t="str">
            <v>Pedro Avelino</v>
          </cell>
        </row>
        <row r="3710">
          <cell r="C3710" t="str">
            <v>Pedro Canario</v>
          </cell>
        </row>
        <row r="3711">
          <cell r="C3711" t="str">
            <v>Pedro de Toledo</v>
          </cell>
        </row>
        <row r="3712">
          <cell r="C3712" t="str">
            <v>Pedro do Rosario</v>
          </cell>
        </row>
        <row r="3713">
          <cell r="C3713" t="str">
            <v>Pedro Gomes</v>
          </cell>
        </row>
        <row r="3714">
          <cell r="C3714" t="str">
            <v>Pedro II</v>
          </cell>
        </row>
        <row r="3715">
          <cell r="C3715" t="str">
            <v>Pedro Laurentino</v>
          </cell>
        </row>
        <row r="3716">
          <cell r="C3716" t="str">
            <v>Pedro Leopoldo</v>
          </cell>
        </row>
        <row r="3717">
          <cell r="C3717" t="str">
            <v>Pedro Osorio</v>
          </cell>
        </row>
        <row r="3718">
          <cell r="C3718" t="str">
            <v>Pedro Regis</v>
          </cell>
        </row>
        <row r="3719">
          <cell r="C3719" t="str">
            <v>Pedro Teixeira</v>
          </cell>
        </row>
        <row r="3720">
          <cell r="C3720" t="str">
            <v>Pedro Velho</v>
          </cell>
        </row>
        <row r="3721">
          <cell r="C3721" t="str">
            <v>Peixe</v>
          </cell>
        </row>
        <row r="3722">
          <cell r="C3722" t="str">
            <v>Peixe-Boi</v>
          </cell>
        </row>
        <row r="3723">
          <cell r="C3723" t="str">
            <v>Peixoto de Azevedo</v>
          </cell>
        </row>
        <row r="3724">
          <cell r="C3724" t="str">
            <v>Pejucara</v>
          </cell>
        </row>
        <row r="3725">
          <cell r="C3725" t="str">
            <v>Pelotas</v>
          </cell>
        </row>
        <row r="3726">
          <cell r="C3726" t="str">
            <v>Penaforte</v>
          </cell>
        </row>
        <row r="3727">
          <cell r="C3727" t="str">
            <v>Penalva</v>
          </cell>
        </row>
        <row r="3728">
          <cell r="C3728" t="str">
            <v>Penapolis</v>
          </cell>
        </row>
        <row r="3729">
          <cell r="C3729" t="str">
            <v>Pendencias</v>
          </cell>
        </row>
        <row r="3730">
          <cell r="C3730" t="str">
            <v>Penedo</v>
          </cell>
        </row>
        <row r="3731">
          <cell r="C3731" t="str">
            <v>Penha</v>
          </cell>
        </row>
        <row r="3732">
          <cell r="C3732" t="str">
            <v>Pentecoste</v>
          </cell>
        </row>
        <row r="3733">
          <cell r="C3733" t="str">
            <v>Pequeri</v>
          </cell>
        </row>
        <row r="3734">
          <cell r="C3734" t="str">
            <v>Pequi</v>
          </cell>
        </row>
        <row r="3735">
          <cell r="C3735" t="str">
            <v>Pequizeiro</v>
          </cell>
        </row>
        <row r="3736">
          <cell r="C3736" t="str">
            <v>Perdigao</v>
          </cell>
        </row>
        <row r="3737">
          <cell r="C3737" t="str">
            <v>Perdizes</v>
          </cell>
        </row>
        <row r="3738">
          <cell r="C3738" t="str">
            <v>Perdoes</v>
          </cell>
        </row>
        <row r="3739">
          <cell r="C3739" t="str">
            <v>Pereira Barreto</v>
          </cell>
        </row>
        <row r="3740">
          <cell r="C3740" t="str">
            <v>Pereiras</v>
          </cell>
        </row>
        <row r="3741">
          <cell r="C3741" t="str">
            <v>Pereiro</v>
          </cell>
        </row>
        <row r="3742">
          <cell r="C3742" t="str">
            <v>Peri Mirim</v>
          </cell>
        </row>
        <row r="3743">
          <cell r="C3743" t="str">
            <v>Periquito</v>
          </cell>
        </row>
        <row r="3744">
          <cell r="C3744" t="str">
            <v>Peritiba</v>
          </cell>
        </row>
        <row r="3745">
          <cell r="C3745" t="str">
            <v>Peritoro</v>
          </cell>
        </row>
        <row r="3746">
          <cell r="C3746" t="str">
            <v>Perobal</v>
          </cell>
        </row>
        <row r="3747">
          <cell r="C3747" t="str">
            <v>Perola</v>
          </cell>
        </row>
        <row r="3748">
          <cell r="C3748" t="str">
            <v>Perola d'Oeste</v>
          </cell>
        </row>
        <row r="3749">
          <cell r="C3749" t="str">
            <v>Perolandia</v>
          </cell>
        </row>
        <row r="3750">
          <cell r="C3750" t="str">
            <v>Peruibe</v>
          </cell>
        </row>
        <row r="3751">
          <cell r="C3751" t="str">
            <v>Pescador</v>
          </cell>
        </row>
        <row r="3752">
          <cell r="C3752" t="str">
            <v>Pesqueira</v>
          </cell>
        </row>
        <row r="3753">
          <cell r="C3753" t="str">
            <v>Petrolandia</v>
          </cell>
        </row>
        <row r="3754">
          <cell r="C3754" t="str">
            <v>Petrolandia</v>
          </cell>
        </row>
        <row r="3755">
          <cell r="C3755" t="str">
            <v>Petrolina</v>
          </cell>
        </row>
        <row r="3756">
          <cell r="C3756" t="str">
            <v>Petrolina de Goias</v>
          </cell>
        </row>
        <row r="3757">
          <cell r="C3757" t="str">
            <v>Petropolis</v>
          </cell>
        </row>
        <row r="3758">
          <cell r="C3758" t="str">
            <v>Piacabucu</v>
          </cell>
        </row>
        <row r="3759">
          <cell r="C3759" t="str">
            <v>Piacatu</v>
          </cell>
        </row>
        <row r="3760">
          <cell r="C3760" t="str">
            <v>Pianco</v>
          </cell>
        </row>
        <row r="3761">
          <cell r="C3761" t="str">
            <v>Piata</v>
          </cell>
        </row>
        <row r="3762">
          <cell r="C3762" t="str">
            <v>Piau</v>
          </cell>
        </row>
        <row r="3763">
          <cell r="C3763" t="str">
            <v>Picada Cafe</v>
          </cell>
        </row>
        <row r="3764">
          <cell r="C3764" t="str">
            <v>Picarra</v>
          </cell>
        </row>
        <row r="3765">
          <cell r="C3765" t="str">
            <v>Picarras</v>
          </cell>
        </row>
        <row r="3766">
          <cell r="C3766" t="str">
            <v>Picos</v>
          </cell>
        </row>
        <row r="3767">
          <cell r="C3767" t="str">
            <v>Picui</v>
          </cell>
        </row>
        <row r="3768">
          <cell r="C3768" t="str">
            <v>Piedade</v>
          </cell>
        </row>
        <row r="3769">
          <cell r="C3769" t="str">
            <v>Piedade de Caratinga</v>
          </cell>
        </row>
        <row r="3770">
          <cell r="C3770" t="str">
            <v>Piedade de Ponte Nova</v>
          </cell>
        </row>
        <row r="3771">
          <cell r="C3771" t="str">
            <v>Piedade do Rio Grande</v>
          </cell>
        </row>
        <row r="3772">
          <cell r="C3772" t="str">
            <v>Piedade dos Gerais</v>
          </cell>
        </row>
        <row r="3773">
          <cell r="C3773" t="str">
            <v>Pien</v>
          </cell>
        </row>
        <row r="3774">
          <cell r="C3774" t="str">
            <v>Pilao Arcado</v>
          </cell>
        </row>
        <row r="3775">
          <cell r="C3775" t="str">
            <v>Pilar</v>
          </cell>
        </row>
        <row r="3776">
          <cell r="C3776" t="str">
            <v>Pilar</v>
          </cell>
        </row>
        <row r="3777">
          <cell r="C3777" t="str">
            <v>Pilar de Goias</v>
          </cell>
        </row>
        <row r="3778">
          <cell r="C3778" t="str">
            <v>Pilar do Sul</v>
          </cell>
        </row>
        <row r="3779">
          <cell r="C3779" t="str">
            <v>Piloes</v>
          </cell>
        </row>
        <row r="3780">
          <cell r="C3780" t="str">
            <v>Piloes</v>
          </cell>
        </row>
        <row r="3781">
          <cell r="C3781" t="str">
            <v>Piloezinhos</v>
          </cell>
        </row>
        <row r="3782">
          <cell r="C3782" t="str">
            <v>Pimenta</v>
          </cell>
        </row>
        <row r="3783">
          <cell r="C3783" t="str">
            <v>Pimenta Bueno</v>
          </cell>
        </row>
        <row r="3784">
          <cell r="C3784" t="str">
            <v>Pimenteiras</v>
          </cell>
        </row>
        <row r="3785">
          <cell r="C3785" t="str">
            <v>Pimenteiras do Oeste</v>
          </cell>
        </row>
        <row r="3786">
          <cell r="C3786" t="str">
            <v>Pindai</v>
          </cell>
        </row>
        <row r="3787">
          <cell r="C3787" t="str">
            <v>Pindamonhangaba</v>
          </cell>
        </row>
        <row r="3788">
          <cell r="C3788" t="str">
            <v>Pindare-Mirim</v>
          </cell>
        </row>
        <row r="3789">
          <cell r="C3789" t="str">
            <v>Pindoba</v>
          </cell>
        </row>
        <row r="3790">
          <cell r="C3790" t="str">
            <v>Pindobacu</v>
          </cell>
        </row>
        <row r="3791">
          <cell r="C3791" t="str">
            <v>Pindorama</v>
          </cell>
        </row>
        <row r="3792">
          <cell r="C3792" t="str">
            <v>Pindorama do Tocantins</v>
          </cell>
        </row>
        <row r="3793">
          <cell r="C3793" t="str">
            <v>Pindoretama</v>
          </cell>
        </row>
        <row r="3794">
          <cell r="C3794" t="str">
            <v>Pingo-d'agua</v>
          </cell>
        </row>
        <row r="3795">
          <cell r="C3795" t="str">
            <v>Pinhais</v>
          </cell>
        </row>
        <row r="3796">
          <cell r="C3796" t="str">
            <v>Pinhal</v>
          </cell>
        </row>
        <row r="3797">
          <cell r="C3797" t="str">
            <v>Pinhal da Serra</v>
          </cell>
        </row>
        <row r="3798">
          <cell r="C3798" t="str">
            <v>Pinhal de Sao Bento</v>
          </cell>
        </row>
        <row r="3799">
          <cell r="C3799" t="str">
            <v>Pinhal Grande</v>
          </cell>
        </row>
        <row r="3800">
          <cell r="C3800" t="str">
            <v>Pinhalao</v>
          </cell>
        </row>
        <row r="3801">
          <cell r="C3801" t="str">
            <v>Pinhalzinho</v>
          </cell>
        </row>
        <row r="3802">
          <cell r="C3802" t="str">
            <v>Pinhalzinho</v>
          </cell>
        </row>
        <row r="3803">
          <cell r="C3803" t="str">
            <v>Pinhao</v>
          </cell>
        </row>
        <row r="3804">
          <cell r="C3804" t="str">
            <v>Pinhao</v>
          </cell>
        </row>
        <row r="3805">
          <cell r="C3805" t="str">
            <v>Pinheiral</v>
          </cell>
        </row>
        <row r="3806">
          <cell r="C3806" t="str">
            <v>Pinheirinho do Vale</v>
          </cell>
        </row>
        <row r="3807">
          <cell r="C3807" t="str">
            <v>Pinheiro</v>
          </cell>
        </row>
        <row r="3808">
          <cell r="C3808" t="str">
            <v>Pinheiro Machado</v>
          </cell>
        </row>
        <row r="3809">
          <cell r="C3809" t="str">
            <v>Pinheiro Preto</v>
          </cell>
        </row>
        <row r="3810">
          <cell r="C3810" t="str">
            <v>Pinheiros</v>
          </cell>
        </row>
        <row r="3811">
          <cell r="C3811" t="str">
            <v>Pintadas</v>
          </cell>
        </row>
        <row r="3812">
          <cell r="C3812" t="str">
            <v>Pintopolis</v>
          </cell>
        </row>
        <row r="3813">
          <cell r="C3813" t="str">
            <v>Pio IX</v>
          </cell>
        </row>
        <row r="3814">
          <cell r="C3814" t="str">
            <v>Pio XII</v>
          </cell>
        </row>
        <row r="3815">
          <cell r="C3815" t="str">
            <v>Piquerobi</v>
          </cell>
        </row>
        <row r="3816">
          <cell r="C3816" t="str">
            <v>Piquet Carneiro</v>
          </cell>
        </row>
        <row r="3817">
          <cell r="C3817" t="str">
            <v>Piquete</v>
          </cell>
        </row>
        <row r="3818">
          <cell r="C3818" t="str">
            <v>Piracaia</v>
          </cell>
        </row>
        <row r="3819">
          <cell r="C3819" t="str">
            <v>Piracanjuba</v>
          </cell>
        </row>
        <row r="3820">
          <cell r="C3820" t="str">
            <v>Piracema</v>
          </cell>
        </row>
        <row r="3821">
          <cell r="C3821" t="str">
            <v>Piracicaba</v>
          </cell>
        </row>
        <row r="3822">
          <cell r="C3822" t="str">
            <v>Piracuruca</v>
          </cell>
        </row>
        <row r="3823">
          <cell r="C3823" t="str">
            <v>Pirai</v>
          </cell>
        </row>
        <row r="3824">
          <cell r="C3824" t="str">
            <v>Pirai do Norte</v>
          </cell>
        </row>
        <row r="3825">
          <cell r="C3825" t="str">
            <v>Pirai do Sul</v>
          </cell>
        </row>
        <row r="3826">
          <cell r="C3826" t="str">
            <v>Piraju</v>
          </cell>
        </row>
        <row r="3827">
          <cell r="C3827" t="str">
            <v>Pirajuba</v>
          </cell>
        </row>
        <row r="3828">
          <cell r="C3828" t="str">
            <v>Pirajui</v>
          </cell>
        </row>
        <row r="3829">
          <cell r="C3829" t="str">
            <v>Pirambu</v>
          </cell>
        </row>
        <row r="3830">
          <cell r="C3830" t="str">
            <v>Piranga</v>
          </cell>
        </row>
        <row r="3831">
          <cell r="C3831" t="str">
            <v>Pirangi</v>
          </cell>
        </row>
        <row r="3832">
          <cell r="C3832" t="str">
            <v>Pirangucu</v>
          </cell>
        </row>
        <row r="3833">
          <cell r="C3833" t="str">
            <v>Piranguinho</v>
          </cell>
        </row>
        <row r="3834">
          <cell r="C3834" t="str">
            <v>Piranhas</v>
          </cell>
        </row>
        <row r="3835">
          <cell r="C3835" t="str">
            <v>Piranhas</v>
          </cell>
        </row>
        <row r="3836">
          <cell r="C3836" t="str">
            <v>Pirapemas</v>
          </cell>
        </row>
        <row r="3837">
          <cell r="C3837" t="str">
            <v>Pirapetinga</v>
          </cell>
        </row>
        <row r="3838">
          <cell r="C3838" t="str">
            <v>Pirapo</v>
          </cell>
        </row>
        <row r="3839">
          <cell r="C3839" t="str">
            <v>Pirapora</v>
          </cell>
        </row>
        <row r="3840">
          <cell r="C3840" t="str">
            <v>Pirapora do Bom Jesus</v>
          </cell>
        </row>
        <row r="3841">
          <cell r="C3841" t="str">
            <v>Pirapozinho</v>
          </cell>
        </row>
        <row r="3842">
          <cell r="C3842" t="str">
            <v>Piraquara</v>
          </cell>
        </row>
        <row r="3843">
          <cell r="C3843" t="str">
            <v>Piraque</v>
          </cell>
        </row>
        <row r="3844">
          <cell r="C3844" t="str">
            <v>Pirassununga</v>
          </cell>
        </row>
        <row r="3845">
          <cell r="C3845" t="str">
            <v>Piratini</v>
          </cell>
        </row>
        <row r="3846">
          <cell r="C3846" t="str">
            <v>Piratininga</v>
          </cell>
        </row>
        <row r="3847">
          <cell r="C3847" t="str">
            <v>Piratuba</v>
          </cell>
        </row>
        <row r="3848">
          <cell r="C3848" t="str">
            <v>Pirauba</v>
          </cell>
        </row>
        <row r="3849">
          <cell r="C3849" t="str">
            <v>Pirenopolis</v>
          </cell>
        </row>
        <row r="3850">
          <cell r="C3850" t="str">
            <v>Pires do Rio</v>
          </cell>
        </row>
        <row r="3851">
          <cell r="C3851" t="str">
            <v>Pires Ferreira</v>
          </cell>
        </row>
        <row r="3852">
          <cell r="C3852" t="str">
            <v>Piripa</v>
          </cell>
        </row>
        <row r="3853">
          <cell r="C3853" t="str">
            <v>Piripiri</v>
          </cell>
        </row>
        <row r="3854">
          <cell r="C3854" t="str">
            <v>Piritiba</v>
          </cell>
        </row>
        <row r="3855">
          <cell r="C3855" t="str">
            <v>Pirpirituba</v>
          </cell>
        </row>
        <row r="3856">
          <cell r="C3856" t="str">
            <v>Pitanga</v>
          </cell>
        </row>
        <row r="3857">
          <cell r="C3857" t="str">
            <v>Pitangueiras</v>
          </cell>
        </row>
        <row r="3858">
          <cell r="C3858" t="str">
            <v>Pitangueiras</v>
          </cell>
        </row>
        <row r="3859">
          <cell r="C3859" t="str">
            <v>Pitangui</v>
          </cell>
        </row>
        <row r="3860">
          <cell r="C3860" t="str">
            <v>Pitimbu</v>
          </cell>
        </row>
        <row r="3861">
          <cell r="C3861" t="str">
            <v>Pium</v>
          </cell>
        </row>
        <row r="3862">
          <cell r="C3862" t="str">
            <v>Piuma</v>
          </cell>
        </row>
        <row r="3863">
          <cell r="C3863" t="str">
            <v>Piumhi</v>
          </cell>
        </row>
        <row r="3864">
          <cell r="C3864" t="str">
            <v>Placas</v>
          </cell>
        </row>
        <row r="3865">
          <cell r="C3865" t="str">
            <v>Placido de Castro</v>
          </cell>
        </row>
        <row r="3866">
          <cell r="C3866" t="str">
            <v>Planaltina</v>
          </cell>
        </row>
        <row r="3867">
          <cell r="C3867" t="str">
            <v>Planaltina do Parana</v>
          </cell>
        </row>
        <row r="3868">
          <cell r="C3868" t="str">
            <v>Planaltino</v>
          </cell>
        </row>
        <row r="3869">
          <cell r="C3869" t="str">
            <v>Planalto</v>
          </cell>
        </row>
        <row r="3870">
          <cell r="C3870" t="str">
            <v>Planalto</v>
          </cell>
        </row>
        <row r="3871">
          <cell r="C3871" t="str">
            <v>Planalto</v>
          </cell>
        </row>
        <row r="3872">
          <cell r="C3872" t="str">
            <v>Planalto</v>
          </cell>
        </row>
        <row r="3873">
          <cell r="C3873" t="str">
            <v>Planalto Alegre</v>
          </cell>
        </row>
        <row r="3874">
          <cell r="C3874" t="str">
            <v>Planalto da Serra</v>
          </cell>
        </row>
        <row r="3875">
          <cell r="C3875" t="str">
            <v>Planura</v>
          </cell>
        </row>
        <row r="3876">
          <cell r="C3876" t="str">
            <v>Platina</v>
          </cell>
        </row>
        <row r="3877">
          <cell r="C3877" t="str">
            <v>Poa</v>
          </cell>
        </row>
        <row r="3878">
          <cell r="C3878" t="str">
            <v>Pocao</v>
          </cell>
        </row>
        <row r="3879">
          <cell r="C3879" t="str">
            <v>Pocao de Pedras</v>
          </cell>
        </row>
        <row r="3880">
          <cell r="C3880" t="str">
            <v>Pocinhos</v>
          </cell>
        </row>
        <row r="3881">
          <cell r="C3881" t="str">
            <v>Poco Branco</v>
          </cell>
        </row>
        <row r="3882">
          <cell r="C3882" t="str">
            <v>Poco Dantas</v>
          </cell>
        </row>
        <row r="3883">
          <cell r="C3883" t="str">
            <v>Poco das Antas</v>
          </cell>
        </row>
        <row r="3884">
          <cell r="C3884" t="str">
            <v>Poco das Trincheiras</v>
          </cell>
        </row>
        <row r="3885">
          <cell r="C3885" t="str">
            <v>Poco de Jose de Moura</v>
          </cell>
        </row>
        <row r="3886">
          <cell r="C3886" t="str">
            <v>Poco Fundo</v>
          </cell>
        </row>
        <row r="3887">
          <cell r="C3887" t="str">
            <v>Poco Redondo</v>
          </cell>
        </row>
        <row r="3888">
          <cell r="C3888" t="str">
            <v>Poco Verde</v>
          </cell>
        </row>
        <row r="3889">
          <cell r="C3889" t="str">
            <v>Pocoes</v>
          </cell>
        </row>
        <row r="3890">
          <cell r="C3890" t="str">
            <v>Pocone</v>
          </cell>
        </row>
        <row r="3891">
          <cell r="C3891" t="str">
            <v>Pocos de Caldas</v>
          </cell>
        </row>
        <row r="3892">
          <cell r="C3892" t="str">
            <v>Pocrane</v>
          </cell>
        </row>
        <row r="3893">
          <cell r="C3893" t="str">
            <v>Pojuca</v>
          </cell>
        </row>
        <row r="3894">
          <cell r="C3894" t="str">
            <v>Poloni</v>
          </cell>
        </row>
        <row r="3895">
          <cell r="C3895" t="str">
            <v>Pombal</v>
          </cell>
        </row>
        <row r="3896">
          <cell r="C3896" t="str">
            <v>Pombos</v>
          </cell>
        </row>
        <row r="3897">
          <cell r="C3897" t="str">
            <v>Pomerode</v>
          </cell>
        </row>
        <row r="3898">
          <cell r="C3898" t="str">
            <v>Pompeia</v>
          </cell>
        </row>
        <row r="3899">
          <cell r="C3899" t="str">
            <v>Pompeu</v>
          </cell>
        </row>
        <row r="3900">
          <cell r="C3900" t="str">
            <v>Pongai</v>
          </cell>
        </row>
        <row r="3901">
          <cell r="C3901" t="str">
            <v>Ponta de Pedras</v>
          </cell>
        </row>
        <row r="3902">
          <cell r="C3902" t="str">
            <v>Ponta Grossa</v>
          </cell>
        </row>
        <row r="3903">
          <cell r="C3903" t="str">
            <v>Ponta Pora</v>
          </cell>
        </row>
        <row r="3904">
          <cell r="C3904" t="str">
            <v>Pontal</v>
          </cell>
        </row>
        <row r="3905">
          <cell r="C3905" t="str">
            <v>Pontal do Araguaia</v>
          </cell>
        </row>
        <row r="3906">
          <cell r="C3906" t="str">
            <v>Pontal do Parana</v>
          </cell>
        </row>
        <row r="3907">
          <cell r="C3907" t="str">
            <v>Pontalina</v>
          </cell>
        </row>
        <row r="3908">
          <cell r="C3908" t="str">
            <v>Pontalinda</v>
          </cell>
        </row>
        <row r="3909">
          <cell r="C3909" t="str">
            <v>Pontao</v>
          </cell>
        </row>
        <row r="3910">
          <cell r="C3910" t="str">
            <v>Ponte Alta</v>
          </cell>
        </row>
        <row r="3911">
          <cell r="C3911" t="str">
            <v>Ponte Alta do Bom Jesus</v>
          </cell>
        </row>
        <row r="3912">
          <cell r="C3912" t="str">
            <v>Ponte Alta do Norte</v>
          </cell>
        </row>
        <row r="3913">
          <cell r="C3913" t="str">
            <v>Ponte Alta do Tocantins</v>
          </cell>
        </row>
        <row r="3914">
          <cell r="C3914" t="str">
            <v>Ponte Branca</v>
          </cell>
        </row>
        <row r="3915">
          <cell r="C3915" t="str">
            <v>Ponte Nova</v>
          </cell>
        </row>
        <row r="3916">
          <cell r="C3916" t="str">
            <v>Ponte Preta</v>
          </cell>
        </row>
        <row r="3917">
          <cell r="C3917" t="str">
            <v>Ponte Serrada</v>
          </cell>
        </row>
        <row r="3918">
          <cell r="C3918" t="str">
            <v>Pontes e Lacerda</v>
          </cell>
        </row>
        <row r="3919">
          <cell r="C3919" t="str">
            <v>Pontes Gestal</v>
          </cell>
        </row>
        <row r="3920">
          <cell r="C3920" t="str">
            <v>Ponto Belo</v>
          </cell>
        </row>
        <row r="3921">
          <cell r="C3921" t="str">
            <v>Ponto Chique</v>
          </cell>
        </row>
        <row r="3922">
          <cell r="C3922" t="str">
            <v>Ponto dos Volantes</v>
          </cell>
        </row>
        <row r="3923">
          <cell r="C3923" t="str">
            <v>Ponto Novo</v>
          </cell>
        </row>
        <row r="3924">
          <cell r="C3924" t="str">
            <v>Populina</v>
          </cell>
        </row>
        <row r="3925">
          <cell r="C3925" t="str">
            <v>Poranga</v>
          </cell>
        </row>
        <row r="3926">
          <cell r="C3926" t="str">
            <v>Porangaba</v>
          </cell>
        </row>
        <row r="3927">
          <cell r="C3927" t="str">
            <v>Porangatu</v>
          </cell>
        </row>
        <row r="3928">
          <cell r="C3928" t="str">
            <v>Porciuncula</v>
          </cell>
        </row>
        <row r="3929">
          <cell r="C3929" t="str">
            <v>Porecatu</v>
          </cell>
        </row>
        <row r="3930">
          <cell r="C3930" t="str">
            <v>Portalegre</v>
          </cell>
        </row>
        <row r="3931">
          <cell r="C3931" t="str">
            <v>Portao</v>
          </cell>
        </row>
        <row r="3932">
          <cell r="C3932" t="str">
            <v>Porteirao</v>
          </cell>
        </row>
        <row r="3933">
          <cell r="C3933" t="str">
            <v>Porteiras</v>
          </cell>
        </row>
        <row r="3934">
          <cell r="C3934" t="str">
            <v>Porteirinha</v>
          </cell>
        </row>
        <row r="3935">
          <cell r="C3935" t="str">
            <v>Portel</v>
          </cell>
        </row>
        <row r="3936">
          <cell r="C3936" t="str">
            <v>Portelandia</v>
          </cell>
        </row>
        <row r="3937">
          <cell r="C3937" t="str">
            <v>Porto</v>
          </cell>
        </row>
        <row r="3938">
          <cell r="C3938" t="str">
            <v>Porto Acre</v>
          </cell>
        </row>
        <row r="3939">
          <cell r="C3939" t="str">
            <v>Porto Alegre</v>
          </cell>
        </row>
        <row r="3940">
          <cell r="C3940" t="str">
            <v>Porto Alegre do Norte</v>
          </cell>
        </row>
        <row r="3941">
          <cell r="C3941" t="str">
            <v>Porto Alegre do Piaui</v>
          </cell>
        </row>
        <row r="3942">
          <cell r="C3942" t="str">
            <v>Porto Alegre do Tocantins</v>
          </cell>
        </row>
        <row r="3943">
          <cell r="C3943" t="str">
            <v>Porto Amazonas</v>
          </cell>
        </row>
        <row r="3944">
          <cell r="C3944" t="str">
            <v>Porto Barreiro</v>
          </cell>
        </row>
        <row r="3945">
          <cell r="C3945" t="str">
            <v>Porto Belo</v>
          </cell>
        </row>
        <row r="3946">
          <cell r="C3946" t="str">
            <v>Porto Calvo</v>
          </cell>
        </row>
        <row r="3947">
          <cell r="C3947" t="str">
            <v>Porto da Folha</v>
          </cell>
        </row>
        <row r="3948">
          <cell r="C3948" t="str">
            <v>Porto de Moz</v>
          </cell>
        </row>
        <row r="3949">
          <cell r="C3949" t="str">
            <v>Porto de Pedras</v>
          </cell>
        </row>
        <row r="3950">
          <cell r="C3950" t="str">
            <v>Porto do Mangue</v>
          </cell>
        </row>
        <row r="3951">
          <cell r="C3951" t="str">
            <v>Porto dos Gauchos</v>
          </cell>
        </row>
        <row r="3952">
          <cell r="C3952" t="str">
            <v>Porto Esperidiao</v>
          </cell>
        </row>
        <row r="3953">
          <cell r="C3953" t="str">
            <v>Porto Estrela</v>
          </cell>
        </row>
        <row r="3954">
          <cell r="C3954" t="str">
            <v>Porto Feliz</v>
          </cell>
        </row>
        <row r="3955">
          <cell r="C3955" t="str">
            <v>Porto Ferreira</v>
          </cell>
        </row>
        <row r="3956">
          <cell r="C3956" t="str">
            <v>Porto Firme</v>
          </cell>
        </row>
        <row r="3957">
          <cell r="C3957" t="str">
            <v>Porto Franco</v>
          </cell>
        </row>
        <row r="3958">
          <cell r="C3958" t="str">
            <v>Porto Grande</v>
          </cell>
        </row>
        <row r="3959">
          <cell r="C3959" t="str">
            <v>Porto Lucena</v>
          </cell>
        </row>
        <row r="3960">
          <cell r="C3960" t="str">
            <v>Porto Maua</v>
          </cell>
        </row>
        <row r="3961">
          <cell r="C3961" t="str">
            <v>Porto Murtinho</v>
          </cell>
        </row>
        <row r="3962">
          <cell r="C3962" t="str">
            <v>Porto Nacional</v>
          </cell>
        </row>
        <row r="3963">
          <cell r="C3963" t="str">
            <v>Porto Real</v>
          </cell>
        </row>
        <row r="3964">
          <cell r="C3964" t="str">
            <v>Porto Real do Colegio</v>
          </cell>
        </row>
        <row r="3965">
          <cell r="C3965" t="str">
            <v>Porto Rico</v>
          </cell>
        </row>
        <row r="3966">
          <cell r="C3966" t="str">
            <v>Porto Rico do Maranhao</v>
          </cell>
        </row>
        <row r="3967">
          <cell r="C3967" t="str">
            <v>Porto Seguro</v>
          </cell>
        </row>
        <row r="3968">
          <cell r="C3968" t="str">
            <v>Porto Uniao</v>
          </cell>
        </row>
        <row r="3969">
          <cell r="C3969" t="str">
            <v>Porto Velho</v>
          </cell>
        </row>
        <row r="3970">
          <cell r="C3970" t="str">
            <v>Porto Vera Cruz</v>
          </cell>
        </row>
        <row r="3971">
          <cell r="C3971" t="str">
            <v>Porto Vitoria</v>
          </cell>
        </row>
        <row r="3972">
          <cell r="C3972" t="str">
            <v>Porto Walter</v>
          </cell>
        </row>
        <row r="3973">
          <cell r="C3973" t="str">
            <v>Porto Xavier</v>
          </cell>
        </row>
        <row r="3974">
          <cell r="C3974" t="str">
            <v>Posse</v>
          </cell>
        </row>
        <row r="3975">
          <cell r="C3975" t="str">
            <v>Pote</v>
          </cell>
        </row>
        <row r="3976">
          <cell r="C3976" t="str">
            <v>Potengi</v>
          </cell>
        </row>
        <row r="3977">
          <cell r="C3977" t="str">
            <v>Potim</v>
          </cell>
        </row>
        <row r="3978">
          <cell r="C3978" t="str">
            <v>Potiragua</v>
          </cell>
        </row>
        <row r="3979">
          <cell r="C3979" t="str">
            <v>Potirendaba</v>
          </cell>
        </row>
        <row r="3980">
          <cell r="C3980" t="str">
            <v>Potiretama</v>
          </cell>
        </row>
        <row r="3981">
          <cell r="C3981" t="str">
            <v>Pouso Alegre</v>
          </cell>
        </row>
        <row r="3982">
          <cell r="C3982" t="str">
            <v>Pouso Alto</v>
          </cell>
        </row>
        <row r="3983">
          <cell r="C3983" t="str">
            <v>Pouso Novo</v>
          </cell>
        </row>
        <row r="3984">
          <cell r="C3984" t="str">
            <v>Pouso Redondo</v>
          </cell>
        </row>
        <row r="3985">
          <cell r="C3985" t="str">
            <v>Poxoreo</v>
          </cell>
        </row>
        <row r="3986">
          <cell r="C3986" t="str">
            <v>Pracinha</v>
          </cell>
        </row>
        <row r="3987">
          <cell r="C3987" t="str">
            <v>Pracuuba</v>
          </cell>
        </row>
        <row r="3988">
          <cell r="C3988" t="str">
            <v>Prado</v>
          </cell>
        </row>
        <row r="3989">
          <cell r="C3989" t="str">
            <v>Prado Ferreira</v>
          </cell>
        </row>
        <row r="3990">
          <cell r="C3990" t="str">
            <v>Pradopolis</v>
          </cell>
        </row>
        <row r="3991">
          <cell r="C3991" t="str">
            <v>Prados</v>
          </cell>
        </row>
        <row r="3992">
          <cell r="C3992" t="str">
            <v>Praia Grande</v>
          </cell>
        </row>
        <row r="3993">
          <cell r="C3993" t="str">
            <v>Praia Grande</v>
          </cell>
        </row>
        <row r="3994">
          <cell r="C3994" t="str">
            <v>Praia Norte</v>
          </cell>
        </row>
        <row r="3995">
          <cell r="C3995" t="str">
            <v>Prainha</v>
          </cell>
        </row>
        <row r="3996">
          <cell r="C3996" t="str">
            <v>Pranchita</v>
          </cell>
        </row>
        <row r="3997">
          <cell r="C3997" t="str">
            <v>Prata</v>
          </cell>
        </row>
        <row r="3998">
          <cell r="C3998" t="str">
            <v>Prata</v>
          </cell>
        </row>
        <row r="3999">
          <cell r="C3999" t="str">
            <v>Prata do Piaui</v>
          </cell>
        </row>
        <row r="4000">
          <cell r="C4000" t="str">
            <v>Pratania</v>
          </cell>
        </row>
        <row r="4001">
          <cell r="C4001" t="str">
            <v>Pratapolis</v>
          </cell>
        </row>
        <row r="4002">
          <cell r="C4002" t="str">
            <v>Pratinha</v>
          </cell>
        </row>
        <row r="4003">
          <cell r="C4003" t="str">
            <v>Presidente Alves</v>
          </cell>
        </row>
        <row r="4004">
          <cell r="C4004" t="str">
            <v>Presidente Bernardes</v>
          </cell>
        </row>
        <row r="4005">
          <cell r="C4005" t="str">
            <v>Presidente Bernardes</v>
          </cell>
        </row>
        <row r="4006">
          <cell r="C4006" t="str">
            <v>Presidente Castelo Branco</v>
          </cell>
        </row>
        <row r="4007">
          <cell r="C4007" t="str">
            <v>Presidente Castelo Branco</v>
          </cell>
        </row>
        <row r="4008">
          <cell r="C4008" t="str">
            <v>Presidente Dutra</v>
          </cell>
        </row>
        <row r="4009">
          <cell r="C4009" t="str">
            <v>Presidente Dutra</v>
          </cell>
        </row>
        <row r="4010">
          <cell r="C4010" t="str">
            <v>Presidente Epitacio</v>
          </cell>
        </row>
        <row r="4011">
          <cell r="C4011" t="str">
            <v>Presidente Figueiredo</v>
          </cell>
        </row>
        <row r="4012">
          <cell r="C4012" t="str">
            <v>Presidente Getulio</v>
          </cell>
        </row>
        <row r="4013">
          <cell r="C4013" t="str">
            <v>Presidente Janio Quadros</v>
          </cell>
        </row>
        <row r="4014">
          <cell r="C4014" t="str">
            <v>Presidente Juscelino</v>
          </cell>
        </row>
        <row r="4015">
          <cell r="C4015" t="str">
            <v>Presidente Juscelino</v>
          </cell>
        </row>
        <row r="4016">
          <cell r="C4016" t="str">
            <v>Presidente Juscelino</v>
          </cell>
        </row>
        <row r="4017">
          <cell r="C4017" t="str">
            <v>Presidente Kennedy</v>
          </cell>
        </row>
        <row r="4018">
          <cell r="C4018" t="str">
            <v>Presidente Kennedy</v>
          </cell>
        </row>
        <row r="4019">
          <cell r="C4019" t="str">
            <v>Presidente Kubitschek</v>
          </cell>
        </row>
        <row r="4020">
          <cell r="C4020" t="str">
            <v>Presidente Lucena</v>
          </cell>
        </row>
        <row r="4021">
          <cell r="C4021" t="str">
            <v>Presidente Medici</v>
          </cell>
        </row>
        <row r="4022">
          <cell r="C4022" t="str">
            <v>Presidente Medici</v>
          </cell>
        </row>
        <row r="4023">
          <cell r="C4023" t="str">
            <v>Presidente Nereu</v>
          </cell>
        </row>
        <row r="4024">
          <cell r="C4024" t="str">
            <v>Presidente Olegario</v>
          </cell>
        </row>
        <row r="4025">
          <cell r="C4025" t="str">
            <v>Presidente Prudente</v>
          </cell>
        </row>
        <row r="4026">
          <cell r="C4026" t="str">
            <v>Presidente Sarney</v>
          </cell>
        </row>
        <row r="4027">
          <cell r="C4027" t="str">
            <v>Presidente Tancredo Neves</v>
          </cell>
        </row>
        <row r="4028">
          <cell r="C4028" t="str">
            <v>Presidente Vargas</v>
          </cell>
        </row>
        <row r="4029">
          <cell r="C4029" t="str">
            <v>Presidente Venceslau</v>
          </cell>
        </row>
        <row r="4030">
          <cell r="C4030" t="str">
            <v>Primavera</v>
          </cell>
        </row>
        <row r="4031">
          <cell r="C4031" t="str">
            <v>Primavera</v>
          </cell>
        </row>
        <row r="4032">
          <cell r="C4032" t="str">
            <v>Primavera de Rondonia</v>
          </cell>
        </row>
        <row r="4033">
          <cell r="C4033" t="str">
            <v>Primavera do Leste</v>
          </cell>
        </row>
        <row r="4034">
          <cell r="C4034" t="str">
            <v>Primeira Cruz</v>
          </cell>
        </row>
        <row r="4035">
          <cell r="C4035" t="str">
            <v>Primeiro de Maio</v>
          </cell>
        </row>
        <row r="4036">
          <cell r="C4036" t="str">
            <v>Princesa</v>
          </cell>
        </row>
        <row r="4037">
          <cell r="C4037" t="str">
            <v>Princesa Isabel</v>
          </cell>
        </row>
        <row r="4038">
          <cell r="C4038" t="str">
            <v>Professor Jamil</v>
          </cell>
        </row>
        <row r="4039">
          <cell r="C4039" t="str">
            <v>Progresso</v>
          </cell>
        </row>
        <row r="4040">
          <cell r="C4040" t="str">
            <v>Promissao</v>
          </cell>
        </row>
        <row r="4041">
          <cell r="C4041" t="str">
            <v>Propria</v>
          </cell>
        </row>
        <row r="4042">
          <cell r="C4042" t="str">
            <v>Protasio Alves</v>
          </cell>
        </row>
        <row r="4043">
          <cell r="C4043" t="str">
            <v>Prudente de Morais</v>
          </cell>
        </row>
        <row r="4044">
          <cell r="C4044" t="str">
            <v>Prudentopolis</v>
          </cell>
        </row>
        <row r="4045">
          <cell r="C4045" t="str">
            <v>Pugmil</v>
          </cell>
        </row>
        <row r="4046">
          <cell r="C4046" t="str">
            <v>Pureza</v>
          </cell>
        </row>
        <row r="4047">
          <cell r="C4047" t="str">
            <v>Putinga</v>
          </cell>
        </row>
        <row r="4048">
          <cell r="C4048" t="str">
            <v>Puxinana</v>
          </cell>
        </row>
        <row r="4049">
          <cell r="C4049" t="str">
            <v>Quadra</v>
          </cell>
        </row>
        <row r="4050">
          <cell r="C4050" t="str">
            <v>Quarai</v>
          </cell>
        </row>
        <row r="4051">
          <cell r="C4051" t="str">
            <v>Quartel Geral</v>
          </cell>
        </row>
        <row r="4052">
          <cell r="C4052" t="str">
            <v>Quarto Centenario</v>
          </cell>
        </row>
        <row r="4053">
          <cell r="C4053" t="str">
            <v>Quata</v>
          </cell>
        </row>
        <row r="4054">
          <cell r="C4054" t="str">
            <v>Quatigua</v>
          </cell>
        </row>
        <row r="4055">
          <cell r="C4055" t="str">
            <v>Quatipuru</v>
          </cell>
        </row>
        <row r="4056">
          <cell r="C4056" t="str">
            <v>Quatis</v>
          </cell>
        </row>
        <row r="4057">
          <cell r="C4057" t="str">
            <v>Quatro Barras</v>
          </cell>
        </row>
        <row r="4058">
          <cell r="C4058" t="str">
            <v>Quatro Irmaos</v>
          </cell>
        </row>
        <row r="4059">
          <cell r="C4059" t="str">
            <v>Quatro Pontes</v>
          </cell>
        </row>
        <row r="4060">
          <cell r="C4060" t="str">
            <v>Quebrangulo</v>
          </cell>
        </row>
        <row r="4061">
          <cell r="C4061" t="str">
            <v>Quedas do Iguacu</v>
          </cell>
        </row>
        <row r="4062">
          <cell r="C4062" t="str">
            <v>Queimada Nova</v>
          </cell>
        </row>
        <row r="4063">
          <cell r="C4063" t="str">
            <v>Queimadas</v>
          </cell>
        </row>
        <row r="4064">
          <cell r="C4064" t="str">
            <v>Queimadas</v>
          </cell>
        </row>
        <row r="4065">
          <cell r="C4065" t="str">
            <v>Queimados</v>
          </cell>
        </row>
        <row r="4066">
          <cell r="C4066" t="str">
            <v>Queiroz</v>
          </cell>
        </row>
        <row r="4067">
          <cell r="C4067" t="str">
            <v>Queluz</v>
          </cell>
        </row>
        <row r="4068">
          <cell r="C4068" t="str">
            <v>Queluzito</v>
          </cell>
        </row>
        <row r="4069">
          <cell r="C4069" t="str">
            <v>Querencia</v>
          </cell>
        </row>
        <row r="4070">
          <cell r="C4070" t="str">
            <v>Querencia do Norte</v>
          </cell>
        </row>
        <row r="4071">
          <cell r="C4071" t="str">
            <v>Quevedos</v>
          </cell>
        </row>
        <row r="4072">
          <cell r="C4072" t="str">
            <v>Quijingue</v>
          </cell>
        </row>
        <row r="4073">
          <cell r="C4073" t="str">
            <v>Quilombo</v>
          </cell>
        </row>
        <row r="4074">
          <cell r="C4074" t="str">
            <v>Quinta do Sol</v>
          </cell>
        </row>
        <row r="4075">
          <cell r="C4075" t="str">
            <v>Quintana</v>
          </cell>
        </row>
        <row r="4076">
          <cell r="C4076" t="str">
            <v>Quinze de Novembro</v>
          </cell>
        </row>
        <row r="4077">
          <cell r="C4077" t="str">
            <v>Quipapa</v>
          </cell>
        </row>
        <row r="4078">
          <cell r="C4078" t="str">
            <v>Quirinopolis</v>
          </cell>
        </row>
        <row r="4079">
          <cell r="C4079" t="str">
            <v>Quissama</v>
          </cell>
        </row>
        <row r="4080">
          <cell r="C4080" t="str">
            <v>Quitandinha</v>
          </cell>
        </row>
        <row r="4081">
          <cell r="C4081" t="str">
            <v>Quiterianopolis</v>
          </cell>
        </row>
        <row r="4082">
          <cell r="C4082" t="str">
            <v>Quixaba</v>
          </cell>
        </row>
        <row r="4083">
          <cell r="C4083" t="str">
            <v>Quixaba</v>
          </cell>
        </row>
        <row r="4084">
          <cell r="C4084" t="str">
            <v>Quixabeira</v>
          </cell>
        </row>
        <row r="4085">
          <cell r="C4085" t="str">
            <v>Quixada</v>
          </cell>
        </row>
        <row r="4086">
          <cell r="C4086" t="str">
            <v>Quixelo</v>
          </cell>
        </row>
        <row r="4087">
          <cell r="C4087" t="str">
            <v>Quixeramobim</v>
          </cell>
        </row>
        <row r="4088">
          <cell r="C4088" t="str">
            <v>Quixere</v>
          </cell>
        </row>
        <row r="4089">
          <cell r="C4089" t="str">
            <v>Rafael Fernandes</v>
          </cell>
        </row>
        <row r="4090">
          <cell r="C4090" t="str">
            <v>Rafael Godeiro</v>
          </cell>
        </row>
        <row r="4091">
          <cell r="C4091" t="str">
            <v>Rafael Jambeiro</v>
          </cell>
        </row>
        <row r="4092">
          <cell r="C4092" t="str">
            <v>Rafard</v>
          </cell>
        </row>
        <row r="4093">
          <cell r="C4093" t="str">
            <v>Ramilandia</v>
          </cell>
        </row>
        <row r="4094">
          <cell r="C4094" t="str">
            <v>Rancharia</v>
          </cell>
        </row>
        <row r="4095">
          <cell r="C4095" t="str">
            <v>Rancho Alegre</v>
          </cell>
        </row>
        <row r="4096">
          <cell r="C4096" t="str">
            <v>Rancho Alegre D'Oeste</v>
          </cell>
        </row>
        <row r="4097">
          <cell r="C4097" t="str">
            <v>Rancho Queimado</v>
          </cell>
        </row>
        <row r="4098">
          <cell r="C4098" t="str">
            <v>Raposa</v>
          </cell>
        </row>
        <row r="4099">
          <cell r="C4099" t="str">
            <v>Raposos</v>
          </cell>
        </row>
        <row r="4100">
          <cell r="C4100" t="str">
            <v>Raul Soares</v>
          </cell>
        </row>
        <row r="4101">
          <cell r="C4101" t="str">
            <v>Realeza</v>
          </cell>
        </row>
        <row r="4102">
          <cell r="C4102" t="str">
            <v>Reboucas</v>
          </cell>
        </row>
        <row r="4103">
          <cell r="C4103" t="str">
            <v>Recife</v>
          </cell>
        </row>
        <row r="4104">
          <cell r="C4104" t="str">
            <v>Recreio</v>
          </cell>
        </row>
        <row r="4105">
          <cell r="C4105" t="str">
            <v>Recursolandia</v>
          </cell>
        </row>
        <row r="4106">
          <cell r="C4106" t="str">
            <v>Redencao</v>
          </cell>
        </row>
        <row r="4107">
          <cell r="C4107" t="str">
            <v>Redencao</v>
          </cell>
        </row>
        <row r="4108">
          <cell r="C4108" t="str">
            <v>Redencao da Serra</v>
          </cell>
        </row>
        <row r="4109">
          <cell r="C4109" t="str">
            <v>Redencao do Gurgueia</v>
          </cell>
        </row>
        <row r="4110">
          <cell r="C4110" t="str">
            <v>Redentora</v>
          </cell>
        </row>
        <row r="4111">
          <cell r="C4111" t="str">
            <v>Reduto</v>
          </cell>
        </row>
        <row r="4112">
          <cell r="C4112" t="str">
            <v>Regeneracao</v>
          </cell>
        </row>
        <row r="4113">
          <cell r="C4113" t="str">
            <v>Regente Feijo</v>
          </cell>
        </row>
        <row r="4114">
          <cell r="C4114" t="str">
            <v>Reginopolis</v>
          </cell>
        </row>
        <row r="4115">
          <cell r="C4115" t="str">
            <v>Registro</v>
          </cell>
        </row>
        <row r="4116">
          <cell r="C4116" t="str">
            <v>Relvado</v>
          </cell>
        </row>
        <row r="4117">
          <cell r="C4117" t="str">
            <v>Remanso</v>
          </cell>
        </row>
        <row r="4118">
          <cell r="C4118" t="str">
            <v>Remigio</v>
          </cell>
        </row>
        <row r="4119">
          <cell r="C4119" t="str">
            <v>Renascenca</v>
          </cell>
        </row>
        <row r="4120">
          <cell r="C4120" t="str">
            <v>Reriutaba</v>
          </cell>
        </row>
        <row r="4121">
          <cell r="C4121" t="str">
            <v>Resende</v>
          </cell>
        </row>
        <row r="4122">
          <cell r="C4122" t="str">
            <v>Resende Costa</v>
          </cell>
        </row>
        <row r="4123">
          <cell r="C4123" t="str">
            <v>Reserva</v>
          </cell>
        </row>
        <row r="4124">
          <cell r="C4124" t="str">
            <v>Reserva do Cabacal</v>
          </cell>
        </row>
        <row r="4125">
          <cell r="C4125" t="str">
            <v>Reserva do Iguacu</v>
          </cell>
        </row>
        <row r="4126">
          <cell r="C4126" t="str">
            <v>Resplendor</v>
          </cell>
        </row>
        <row r="4127">
          <cell r="C4127" t="str">
            <v>Ressaquinha</v>
          </cell>
        </row>
        <row r="4128">
          <cell r="C4128" t="str">
            <v>Restinga</v>
          </cell>
        </row>
        <row r="4129">
          <cell r="C4129" t="str">
            <v>Restinga Seca</v>
          </cell>
        </row>
        <row r="4130">
          <cell r="C4130" t="str">
            <v>Retirolandia</v>
          </cell>
        </row>
        <row r="4131">
          <cell r="C4131" t="str">
            <v>Riachao</v>
          </cell>
        </row>
        <row r="4132">
          <cell r="C4132" t="str">
            <v>Riachao</v>
          </cell>
        </row>
        <row r="4133">
          <cell r="C4133" t="str">
            <v>Riachao das Neves</v>
          </cell>
        </row>
        <row r="4134">
          <cell r="C4134" t="str">
            <v>Riachao do Bacamarte</v>
          </cell>
        </row>
        <row r="4135">
          <cell r="C4135" t="str">
            <v>Riachao do Dantas</v>
          </cell>
        </row>
        <row r="4136">
          <cell r="C4136" t="str">
            <v>Riachao do Jacuipe</v>
          </cell>
        </row>
        <row r="4137">
          <cell r="C4137" t="str">
            <v>Riachao do Poco</v>
          </cell>
        </row>
        <row r="4138">
          <cell r="C4138" t="str">
            <v>Riachinho</v>
          </cell>
        </row>
        <row r="4139">
          <cell r="C4139" t="str">
            <v>Riachinho</v>
          </cell>
        </row>
        <row r="4140">
          <cell r="C4140" t="str">
            <v>Riacho da Cruz</v>
          </cell>
        </row>
        <row r="4141">
          <cell r="C4141" t="str">
            <v>Riacho das Almas</v>
          </cell>
        </row>
        <row r="4142">
          <cell r="C4142" t="str">
            <v>Riacho de Santana</v>
          </cell>
        </row>
        <row r="4143">
          <cell r="C4143" t="str">
            <v>Riacho de Santana</v>
          </cell>
        </row>
        <row r="4144">
          <cell r="C4144" t="str">
            <v>Riacho de Santo Antonio</v>
          </cell>
        </row>
        <row r="4145">
          <cell r="C4145" t="str">
            <v>Riacho dos Cavalos</v>
          </cell>
        </row>
        <row r="4146">
          <cell r="C4146" t="str">
            <v>Riacho dos Machados</v>
          </cell>
        </row>
        <row r="4147">
          <cell r="C4147" t="str">
            <v>Riacho Frio</v>
          </cell>
        </row>
        <row r="4148">
          <cell r="C4148" t="str">
            <v>Riachuelo</v>
          </cell>
        </row>
        <row r="4149">
          <cell r="C4149" t="str">
            <v>Riachuelo</v>
          </cell>
        </row>
        <row r="4150">
          <cell r="C4150" t="str">
            <v>Rialma</v>
          </cell>
        </row>
        <row r="4151">
          <cell r="C4151" t="str">
            <v>Rianapolis</v>
          </cell>
        </row>
        <row r="4152">
          <cell r="C4152" t="str">
            <v>Ribamar Fiquene</v>
          </cell>
        </row>
        <row r="4153">
          <cell r="C4153" t="str">
            <v>Ribas do Rio Pardo</v>
          </cell>
        </row>
        <row r="4154">
          <cell r="C4154" t="str">
            <v>Ribeira</v>
          </cell>
        </row>
        <row r="4155">
          <cell r="C4155" t="str">
            <v>Ribeira do Amparo</v>
          </cell>
        </row>
        <row r="4156">
          <cell r="C4156" t="str">
            <v>Ribeira do Piaui</v>
          </cell>
        </row>
        <row r="4157">
          <cell r="C4157" t="str">
            <v>Ribeira do Pombal</v>
          </cell>
        </row>
        <row r="4158">
          <cell r="C4158" t="str">
            <v>Ribeirao</v>
          </cell>
        </row>
        <row r="4159">
          <cell r="C4159" t="str">
            <v>Ribeirao Bonito</v>
          </cell>
        </row>
        <row r="4160">
          <cell r="C4160" t="str">
            <v>Ribeirao Branco</v>
          </cell>
        </row>
        <row r="4161">
          <cell r="C4161" t="str">
            <v>Ribeirao Cascalheira</v>
          </cell>
        </row>
        <row r="4162">
          <cell r="C4162" t="str">
            <v>Ribeirao Claro</v>
          </cell>
        </row>
        <row r="4163">
          <cell r="C4163" t="str">
            <v>Ribeirao Corrente</v>
          </cell>
        </row>
        <row r="4164">
          <cell r="C4164" t="str">
            <v>Ribeirao das Neves</v>
          </cell>
        </row>
        <row r="4165">
          <cell r="C4165" t="str">
            <v>Ribeirao do Largo</v>
          </cell>
        </row>
        <row r="4166">
          <cell r="C4166" t="str">
            <v>Ribeirao do Pinhal</v>
          </cell>
        </row>
        <row r="4167">
          <cell r="C4167" t="str">
            <v>Ribeirao do Sul</v>
          </cell>
        </row>
        <row r="4168">
          <cell r="C4168" t="str">
            <v>Ribeirao dos indios</v>
          </cell>
        </row>
        <row r="4169">
          <cell r="C4169" t="str">
            <v>Ribeirao Grande</v>
          </cell>
        </row>
        <row r="4170">
          <cell r="C4170" t="str">
            <v>Ribeirao Pires</v>
          </cell>
        </row>
        <row r="4171">
          <cell r="C4171" t="str">
            <v>Ribeirao Preto</v>
          </cell>
        </row>
        <row r="4172">
          <cell r="C4172" t="str">
            <v>Ribeirao Vermelho</v>
          </cell>
        </row>
        <row r="4173">
          <cell r="C4173" t="str">
            <v>Ribeiraozinho</v>
          </cell>
        </row>
        <row r="4174">
          <cell r="C4174" t="str">
            <v>Ribeiro Goncalves</v>
          </cell>
        </row>
        <row r="4175">
          <cell r="C4175" t="str">
            <v>Ribeiropolis</v>
          </cell>
        </row>
        <row r="4176">
          <cell r="C4176" t="str">
            <v>Rifaina</v>
          </cell>
        </row>
        <row r="4177">
          <cell r="C4177" t="str">
            <v>Rincao</v>
          </cell>
        </row>
        <row r="4178">
          <cell r="C4178" t="str">
            <v>Rinopolis</v>
          </cell>
        </row>
        <row r="4179">
          <cell r="C4179" t="str">
            <v>Rio Acima</v>
          </cell>
        </row>
        <row r="4180">
          <cell r="C4180" t="str">
            <v>Rio Azul</v>
          </cell>
        </row>
        <row r="4181">
          <cell r="C4181" t="str">
            <v>Rio Bananal</v>
          </cell>
        </row>
        <row r="4182">
          <cell r="C4182" t="str">
            <v>Rio Bom</v>
          </cell>
        </row>
        <row r="4183">
          <cell r="C4183" t="str">
            <v>Rio Bonito</v>
          </cell>
        </row>
        <row r="4184">
          <cell r="C4184" t="str">
            <v>Rio Bonito do Iguacu</v>
          </cell>
        </row>
        <row r="4185">
          <cell r="C4185" t="str">
            <v>Rio Branco</v>
          </cell>
        </row>
        <row r="4186">
          <cell r="C4186" t="str">
            <v>Rio Branco</v>
          </cell>
        </row>
        <row r="4187">
          <cell r="C4187" t="str">
            <v>Rio Branco do Ivai</v>
          </cell>
        </row>
        <row r="4188">
          <cell r="C4188" t="str">
            <v>Rio Branco do Sul</v>
          </cell>
        </row>
        <row r="4189">
          <cell r="C4189" t="str">
            <v>Rio Brilhante</v>
          </cell>
        </row>
        <row r="4190">
          <cell r="C4190" t="str">
            <v>Rio Casca</v>
          </cell>
        </row>
        <row r="4191">
          <cell r="C4191" t="str">
            <v>Rio Claro</v>
          </cell>
        </row>
        <row r="4192">
          <cell r="C4192" t="str">
            <v>Rio Claro</v>
          </cell>
        </row>
        <row r="4193">
          <cell r="C4193" t="str">
            <v>Rio Crespo</v>
          </cell>
        </row>
        <row r="4194">
          <cell r="C4194" t="str">
            <v>Rio da Conceicao</v>
          </cell>
        </row>
        <row r="4195">
          <cell r="C4195" t="str">
            <v>Rio das Antas</v>
          </cell>
        </row>
        <row r="4196">
          <cell r="C4196" t="str">
            <v>Rio das Flores</v>
          </cell>
        </row>
        <row r="4197">
          <cell r="C4197" t="str">
            <v>Rio das Ostras</v>
          </cell>
        </row>
        <row r="4198">
          <cell r="C4198" t="str">
            <v>Rio das Pedras</v>
          </cell>
        </row>
        <row r="4199">
          <cell r="C4199" t="str">
            <v>Rio de Contas</v>
          </cell>
        </row>
        <row r="4200">
          <cell r="C4200" t="str">
            <v>Rio de Janeiro</v>
          </cell>
        </row>
        <row r="4201">
          <cell r="C4201" t="str">
            <v>Rio do Antonio</v>
          </cell>
        </row>
        <row r="4202">
          <cell r="C4202" t="str">
            <v>Rio do Campo</v>
          </cell>
        </row>
        <row r="4203">
          <cell r="C4203" t="str">
            <v>Rio do Fogo</v>
          </cell>
        </row>
        <row r="4204">
          <cell r="C4204" t="str">
            <v>Rio do Oeste</v>
          </cell>
        </row>
        <row r="4205">
          <cell r="C4205" t="str">
            <v>Rio do Pires</v>
          </cell>
        </row>
        <row r="4206">
          <cell r="C4206" t="str">
            <v>Rio do Prado</v>
          </cell>
        </row>
        <row r="4207">
          <cell r="C4207" t="str">
            <v>Rio do Sul</v>
          </cell>
        </row>
        <row r="4208">
          <cell r="C4208" t="str">
            <v>Rio Doce</v>
          </cell>
        </row>
        <row r="4209">
          <cell r="C4209" t="str">
            <v>Rio dos Bois</v>
          </cell>
        </row>
        <row r="4210">
          <cell r="C4210" t="str">
            <v>Rio dos Cedros</v>
          </cell>
        </row>
        <row r="4211">
          <cell r="C4211" t="str">
            <v>Rio dos indios</v>
          </cell>
        </row>
        <row r="4212">
          <cell r="C4212" t="str">
            <v>Rio Espera</v>
          </cell>
        </row>
        <row r="4213">
          <cell r="C4213" t="str">
            <v>Rio Formoso</v>
          </cell>
        </row>
        <row r="4214">
          <cell r="C4214" t="str">
            <v>Rio Fortuna</v>
          </cell>
        </row>
        <row r="4215">
          <cell r="C4215" t="str">
            <v>Rio Grande</v>
          </cell>
        </row>
        <row r="4216">
          <cell r="C4216" t="str">
            <v>Rio Grande da Serra</v>
          </cell>
        </row>
        <row r="4217">
          <cell r="C4217" t="str">
            <v>Rio Grande do Piaui</v>
          </cell>
        </row>
        <row r="4218">
          <cell r="C4218" t="str">
            <v>Rio Largo</v>
          </cell>
        </row>
        <row r="4219">
          <cell r="C4219" t="str">
            <v>Rio Manso</v>
          </cell>
        </row>
        <row r="4220">
          <cell r="C4220" t="str">
            <v>Rio Maria</v>
          </cell>
        </row>
        <row r="4221">
          <cell r="C4221" t="str">
            <v>Rio Negrinho</v>
          </cell>
        </row>
        <row r="4222">
          <cell r="C4222" t="str">
            <v>Rio Negro</v>
          </cell>
        </row>
        <row r="4223">
          <cell r="C4223" t="str">
            <v>Rio Negro</v>
          </cell>
        </row>
        <row r="4224">
          <cell r="C4224" t="str">
            <v>Rio Novo</v>
          </cell>
        </row>
        <row r="4225">
          <cell r="C4225" t="str">
            <v>Rio Novo do Sul</v>
          </cell>
        </row>
        <row r="4226">
          <cell r="C4226" t="str">
            <v>Rio Paranaiba</v>
          </cell>
        </row>
        <row r="4227">
          <cell r="C4227" t="str">
            <v>Rio Pardo</v>
          </cell>
        </row>
        <row r="4228">
          <cell r="C4228" t="str">
            <v>Rio Pardo de Minas</v>
          </cell>
        </row>
        <row r="4229">
          <cell r="C4229" t="str">
            <v>Rio Piracicaba</v>
          </cell>
        </row>
        <row r="4230">
          <cell r="C4230" t="str">
            <v>Rio Pomba</v>
          </cell>
        </row>
        <row r="4231">
          <cell r="C4231" t="str">
            <v>Rio Preto</v>
          </cell>
        </row>
        <row r="4232">
          <cell r="C4232" t="str">
            <v>Rio Preto da Eva</v>
          </cell>
        </row>
        <row r="4233">
          <cell r="C4233" t="str">
            <v>Rio Quente</v>
          </cell>
        </row>
        <row r="4234">
          <cell r="C4234" t="str">
            <v>Rio Real</v>
          </cell>
        </row>
        <row r="4235">
          <cell r="C4235" t="str">
            <v>Rio Rufino</v>
          </cell>
        </row>
        <row r="4236">
          <cell r="C4236" t="str">
            <v>Rio Sono</v>
          </cell>
        </row>
        <row r="4237">
          <cell r="C4237" t="str">
            <v>Rio Tinto</v>
          </cell>
        </row>
        <row r="4238">
          <cell r="C4238" t="str">
            <v>Rio Verde</v>
          </cell>
        </row>
        <row r="4239">
          <cell r="C4239" t="str">
            <v>Rio Verde de Mato Grosso</v>
          </cell>
        </row>
        <row r="4240">
          <cell r="C4240" t="str">
            <v>Rio Vermelho</v>
          </cell>
        </row>
        <row r="4241">
          <cell r="C4241" t="str">
            <v>Riolandia</v>
          </cell>
        </row>
        <row r="4242">
          <cell r="C4242" t="str">
            <v>Riozinho</v>
          </cell>
        </row>
        <row r="4243">
          <cell r="C4243" t="str">
            <v>Riqueza</v>
          </cell>
        </row>
        <row r="4244">
          <cell r="C4244" t="str">
            <v>Ritapolis</v>
          </cell>
        </row>
        <row r="4245">
          <cell r="C4245" t="str">
            <v>Riversul</v>
          </cell>
        </row>
        <row r="4246">
          <cell r="C4246" t="str">
            <v>Roca Sales</v>
          </cell>
        </row>
        <row r="4247">
          <cell r="C4247" t="str">
            <v>Rochedo</v>
          </cell>
        </row>
        <row r="4248">
          <cell r="C4248" t="str">
            <v>Rochedo de Minas</v>
          </cell>
        </row>
        <row r="4249">
          <cell r="C4249" t="str">
            <v>Rodeio</v>
          </cell>
        </row>
        <row r="4250">
          <cell r="C4250" t="str">
            <v>Rodeio Bonito</v>
          </cell>
        </row>
        <row r="4251">
          <cell r="C4251" t="str">
            <v>Rodeiro</v>
          </cell>
        </row>
        <row r="4252">
          <cell r="C4252" t="str">
            <v>Rodelas</v>
          </cell>
        </row>
        <row r="4253">
          <cell r="C4253" t="str">
            <v>Rodolfo Fernandes</v>
          </cell>
        </row>
        <row r="4254">
          <cell r="C4254" t="str">
            <v>Rodrigues Alves</v>
          </cell>
        </row>
        <row r="4255">
          <cell r="C4255" t="str">
            <v>Rolador</v>
          </cell>
        </row>
        <row r="4256">
          <cell r="C4256" t="str">
            <v>Rolandia</v>
          </cell>
        </row>
        <row r="4257">
          <cell r="C4257" t="str">
            <v>Rolante</v>
          </cell>
        </row>
        <row r="4258">
          <cell r="C4258" t="str">
            <v>Rolim de Moura</v>
          </cell>
        </row>
        <row r="4259">
          <cell r="C4259" t="str">
            <v>Romaria</v>
          </cell>
        </row>
        <row r="4260">
          <cell r="C4260" t="str">
            <v>Romelandia</v>
          </cell>
        </row>
        <row r="4261">
          <cell r="C4261" t="str">
            <v>Roncador</v>
          </cell>
        </row>
        <row r="4262">
          <cell r="C4262" t="str">
            <v>Ronda Alta</v>
          </cell>
        </row>
        <row r="4263">
          <cell r="C4263" t="str">
            <v>Rondinha</v>
          </cell>
        </row>
        <row r="4264">
          <cell r="C4264" t="str">
            <v>Rondolandia</v>
          </cell>
        </row>
        <row r="4265">
          <cell r="C4265" t="str">
            <v>Rondon</v>
          </cell>
        </row>
        <row r="4266">
          <cell r="C4266" t="str">
            <v>Rondon do Para</v>
          </cell>
        </row>
        <row r="4267">
          <cell r="C4267" t="str">
            <v>Rondonopolis</v>
          </cell>
        </row>
        <row r="4268">
          <cell r="C4268" t="str">
            <v>Roque Gonzales</v>
          </cell>
        </row>
        <row r="4269">
          <cell r="C4269" t="str">
            <v>Rorainopolis</v>
          </cell>
        </row>
        <row r="4270">
          <cell r="C4270" t="str">
            <v>Rosana</v>
          </cell>
        </row>
        <row r="4271">
          <cell r="C4271" t="str">
            <v>Rosario</v>
          </cell>
        </row>
        <row r="4272">
          <cell r="C4272" t="str">
            <v>Rosario da Limeira</v>
          </cell>
        </row>
        <row r="4273">
          <cell r="C4273" t="str">
            <v>Rosario do Catete</v>
          </cell>
        </row>
        <row r="4274">
          <cell r="C4274" t="str">
            <v>Rosario do Ivai</v>
          </cell>
        </row>
        <row r="4275">
          <cell r="C4275" t="str">
            <v>Rosario do Sul</v>
          </cell>
        </row>
        <row r="4276">
          <cell r="C4276" t="str">
            <v>Rosario Oeste</v>
          </cell>
        </row>
        <row r="4277">
          <cell r="C4277" t="str">
            <v>Roseira</v>
          </cell>
        </row>
        <row r="4278">
          <cell r="C4278" t="str">
            <v>Roteiro</v>
          </cell>
        </row>
        <row r="4279">
          <cell r="C4279" t="str">
            <v>Rubelita</v>
          </cell>
        </row>
        <row r="4280">
          <cell r="C4280" t="str">
            <v>Rubiacea</v>
          </cell>
        </row>
        <row r="4281">
          <cell r="C4281" t="str">
            <v>Rubiataba</v>
          </cell>
        </row>
        <row r="4282">
          <cell r="C4282" t="str">
            <v>Rubim</v>
          </cell>
        </row>
        <row r="4283">
          <cell r="C4283" t="str">
            <v>Rubineia</v>
          </cell>
        </row>
        <row r="4284">
          <cell r="C4284" t="str">
            <v>Ruropolis</v>
          </cell>
        </row>
        <row r="4285">
          <cell r="C4285" t="str">
            <v>Russas</v>
          </cell>
        </row>
        <row r="4286">
          <cell r="C4286" t="str">
            <v>Ruy Barbosa</v>
          </cell>
        </row>
        <row r="4287">
          <cell r="C4287" t="str">
            <v>Ruy Barbosa</v>
          </cell>
        </row>
        <row r="4288">
          <cell r="C4288" t="str">
            <v>Sabara</v>
          </cell>
        </row>
        <row r="4289">
          <cell r="C4289" t="str">
            <v>Sabaudia</v>
          </cell>
        </row>
        <row r="4290">
          <cell r="C4290" t="str">
            <v>Sabino</v>
          </cell>
        </row>
        <row r="4291">
          <cell r="C4291" t="str">
            <v>Sabinopolis</v>
          </cell>
        </row>
        <row r="4292">
          <cell r="C4292" t="str">
            <v>Saboeiro</v>
          </cell>
        </row>
        <row r="4293">
          <cell r="C4293" t="str">
            <v>Sacramento</v>
          </cell>
        </row>
        <row r="4294">
          <cell r="C4294" t="str">
            <v>Sagrada Familia</v>
          </cell>
        </row>
        <row r="4295">
          <cell r="C4295" t="str">
            <v>Sagres</v>
          </cell>
        </row>
        <row r="4296">
          <cell r="C4296" t="str">
            <v>Saire</v>
          </cell>
        </row>
        <row r="4297">
          <cell r="C4297" t="str">
            <v>Saldanha Marinho</v>
          </cell>
        </row>
        <row r="4298">
          <cell r="C4298" t="str">
            <v>Sales</v>
          </cell>
        </row>
        <row r="4299">
          <cell r="C4299" t="str">
            <v>Sales Oliveira</v>
          </cell>
        </row>
        <row r="4300">
          <cell r="C4300" t="str">
            <v>Salesopolis</v>
          </cell>
        </row>
        <row r="4301">
          <cell r="C4301" t="str">
            <v>Salete</v>
          </cell>
        </row>
        <row r="4302">
          <cell r="C4302" t="str">
            <v>Salgadinho</v>
          </cell>
        </row>
        <row r="4303">
          <cell r="C4303" t="str">
            <v>Salgadinho</v>
          </cell>
        </row>
        <row r="4304">
          <cell r="C4304" t="str">
            <v>Salgado</v>
          </cell>
        </row>
        <row r="4305">
          <cell r="C4305" t="str">
            <v>Salgado de Sao Felix</v>
          </cell>
        </row>
        <row r="4306">
          <cell r="C4306" t="str">
            <v>Salgado Filho</v>
          </cell>
        </row>
        <row r="4307">
          <cell r="C4307" t="str">
            <v>Salgueiro</v>
          </cell>
        </row>
        <row r="4308">
          <cell r="C4308" t="str">
            <v>Salinas</v>
          </cell>
        </row>
        <row r="4309">
          <cell r="C4309" t="str">
            <v>Salinas da Margarida</v>
          </cell>
        </row>
        <row r="4310">
          <cell r="C4310" t="str">
            <v>Salinopolis</v>
          </cell>
        </row>
        <row r="4311">
          <cell r="C4311" t="str">
            <v>Salitre</v>
          </cell>
        </row>
        <row r="4312">
          <cell r="C4312" t="str">
            <v>Salmourao</v>
          </cell>
        </row>
        <row r="4313">
          <cell r="C4313" t="str">
            <v>Saloa</v>
          </cell>
        </row>
        <row r="4314">
          <cell r="C4314" t="str">
            <v>Saltinho</v>
          </cell>
        </row>
        <row r="4315">
          <cell r="C4315" t="str">
            <v>Saltinho</v>
          </cell>
        </row>
        <row r="4316">
          <cell r="C4316" t="str">
            <v>Salto</v>
          </cell>
        </row>
        <row r="4317">
          <cell r="C4317" t="str">
            <v>Salto da Divisa</v>
          </cell>
        </row>
        <row r="4318">
          <cell r="C4318" t="str">
            <v>Salto de Pirapora</v>
          </cell>
        </row>
        <row r="4319">
          <cell r="C4319" t="str">
            <v>Salto do Ceu</v>
          </cell>
        </row>
        <row r="4320">
          <cell r="C4320" t="str">
            <v>Salto do Itarare</v>
          </cell>
        </row>
        <row r="4321">
          <cell r="C4321" t="str">
            <v>Salto do Jacui</v>
          </cell>
        </row>
        <row r="4322">
          <cell r="C4322" t="str">
            <v>Salto do Lontra</v>
          </cell>
        </row>
        <row r="4323">
          <cell r="C4323" t="str">
            <v>Salto Grande</v>
          </cell>
        </row>
        <row r="4324">
          <cell r="C4324" t="str">
            <v>Salto Veloso</v>
          </cell>
        </row>
        <row r="4325">
          <cell r="C4325" t="str">
            <v>Salvador</v>
          </cell>
        </row>
        <row r="4326">
          <cell r="C4326" t="str">
            <v>Salvador das Missoes</v>
          </cell>
        </row>
        <row r="4327">
          <cell r="C4327" t="str">
            <v>Salvador do Sul</v>
          </cell>
        </row>
        <row r="4328">
          <cell r="C4328" t="str">
            <v>Salvaterra</v>
          </cell>
        </row>
        <row r="4329">
          <cell r="C4329" t="str">
            <v>Sambaiba</v>
          </cell>
        </row>
        <row r="4330">
          <cell r="C4330" t="str">
            <v>Sampaio</v>
          </cell>
        </row>
        <row r="4331">
          <cell r="C4331" t="str">
            <v>Sananduva</v>
          </cell>
        </row>
        <row r="4332">
          <cell r="C4332" t="str">
            <v>Sanclerlandia</v>
          </cell>
        </row>
        <row r="4333">
          <cell r="C4333" t="str">
            <v>Sandolandia</v>
          </cell>
        </row>
        <row r="4334">
          <cell r="C4334" t="str">
            <v>Sandovalina</v>
          </cell>
        </row>
        <row r="4335">
          <cell r="C4335" t="str">
            <v>Sangao</v>
          </cell>
        </row>
        <row r="4336">
          <cell r="C4336" t="str">
            <v>Sanharo</v>
          </cell>
        </row>
        <row r="4337">
          <cell r="C4337" t="str">
            <v>Santa Adelia</v>
          </cell>
        </row>
        <row r="4338">
          <cell r="C4338" t="str">
            <v>Santa Albertina</v>
          </cell>
        </row>
        <row r="4339">
          <cell r="C4339" t="str">
            <v>Santa Amelia</v>
          </cell>
        </row>
        <row r="4340">
          <cell r="C4340" t="str">
            <v>Santa Barbara</v>
          </cell>
        </row>
        <row r="4341">
          <cell r="C4341" t="str">
            <v>Santa Barbara</v>
          </cell>
        </row>
        <row r="4342">
          <cell r="C4342" t="str">
            <v>Santa Barbara de Goias</v>
          </cell>
        </row>
        <row r="4343">
          <cell r="C4343" t="str">
            <v>Santa Barbara do Leste</v>
          </cell>
        </row>
        <row r="4344">
          <cell r="C4344" t="str">
            <v>Santa Barbara do Monte Verde</v>
          </cell>
        </row>
        <row r="4345">
          <cell r="C4345" t="str">
            <v>Santa Barbara do Para</v>
          </cell>
        </row>
        <row r="4346">
          <cell r="C4346" t="str">
            <v>Santa Barbara do Sul</v>
          </cell>
        </row>
        <row r="4347">
          <cell r="C4347" t="str">
            <v>Santa Barbara do Tugurio</v>
          </cell>
        </row>
        <row r="4348">
          <cell r="C4348" t="str">
            <v>Santa Barbara d'Oeste</v>
          </cell>
        </row>
        <row r="4349">
          <cell r="C4349" t="str">
            <v>Santa Branca</v>
          </cell>
        </row>
        <row r="4350">
          <cell r="C4350" t="str">
            <v>Santa Brigida</v>
          </cell>
        </row>
        <row r="4351">
          <cell r="C4351" t="str">
            <v>Santa Carmem</v>
          </cell>
        </row>
        <row r="4352">
          <cell r="C4352" t="str">
            <v>Santa Cecilia</v>
          </cell>
        </row>
        <row r="4353">
          <cell r="C4353" t="str">
            <v>Santa Cecilia</v>
          </cell>
        </row>
        <row r="4354">
          <cell r="C4354" t="str">
            <v>Santa Cecilia do Pavao</v>
          </cell>
        </row>
        <row r="4355">
          <cell r="C4355" t="str">
            <v>Santa Cecilia do Sul</v>
          </cell>
        </row>
        <row r="4356">
          <cell r="C4356" t="str">
            <v>Santa Clara do Sul</v>
          </cell>
        </row>
        <row r="4357">
          <cell r="C4357" t="str">
            <v>Santa Clara d'Oeste</v>
          </cell>
        </row>
        <row r="4358">
          <cell r="C4358" t="str">
            <v>Santa Cruz</v>
          </cell>
        </row>
        <row r="4359">
          <cell r="C4359" t="str">
            <v>Santa Cruz</v>
          </cell>
        </row>
        <row r="4360">
          <cell r="C4360" t="str">
            <v>Santa Cruz</v>
          </cell>
        </row>
        <row r="4361">
          <cell r="C4361" t="str">
            <v>Santa Cruz Cabralia</v>
          </cell>
        </row>
        <row r="4362">
          <cell r="C4362" t="str">
            <v>Santa Cruz da Baixa Verde</v>
          </cell>
        </row>
        <row r="4363">
          <cell r="C4363" t="str">
            <v>Santa Cruz da Conceicao</v>
          </cell>
        </row>
        <row r="4364">
          <cell r="C4364" t="str">
            <v>Santa Cruz da Esperanca</v>
          </cell>
        </row>
        <row r="4365">
          <cell r="C4365" t="str">
            <v>Santa Cruz da Vitoria</v>
          </cell>
        </row>
        <row r="4366">
          <cell r="C4366" t="str">
            <v>Santa Cruz das Palmeiras</v>
          </cell>
        </row>
        <row r="4367">
          <cell r="C4367" t="str">
            <v>Santa Cruz de Goias</v>
          </cell>
        </row>
        <row r="4368">
          <cell r="C4368" t="str">
            <v>Santa Cruz de Minas</v>
          </cell>
        </row>
        <row r="4369">
          <cell r="C4369" t="str">
            <v>Santa Cruz de Monte Castelo</v>
          </cell>
        </row>
        <row r="4370">
          <cell r="C4370" t="str">
            <v>Santa Cruz de Salinas</v>
          </cell>
        </row>
        <row r="4371">
          <cell r="C4371" t="str">
            <v>Santa Cruz do Arari</v>
          </cell>
        </row>
        <row r="4372">
          <cell r="C4372" t="str">
            <v>Santa Cruz do Capibaribe</v>
          </cell>
        </row>
        <row r="4373">
          <cell r="C4373" t="str">
            <v>Santa Cruz do Escalvado</v>
          </cell>
        </row>
        <row r="4374">
          <cell r="C4374" t="str">
            <v>Santa Cruz do Piaui</v>
          </cell>
        </row>
        <row r="4375">
          <cell r="C4375" t="str">
            <v>Santa Cruz do Rio Pardo</v>
          </cell>
        </row>
        <row r="4376">
          <cell r="C4376" t="str">
            <v>Santa Cruz do Sul</v>
          </cell>
        </row>
        <row r="4377">
          <cell r="C4377" t="str">
            <v>Santa Cruz do Xingu</v>
          </cell>
        </row>
        <row r="4378">
          <cell r="C4378" t="str">
            <v>Santa Cruz dos Milagres</v>
          </cell>
        </row>
        <row r="4379">
          <cell r="C4379" t="str">
            <v>Santa Efigenia de Minas</v>
          </cell>
        </row>
        <row r="4380">
          <cell r="C4380" t="str">
            <v>Santa Ernestina</v>
          </cell>
        </row>
        <row r="4381">
          <cell r="C4381" t="str">
            <v>Santa Fe</v>
          </cell>
        </row>
        <row r="4382">
          <cell r="C4382" t="str">
            <v>Santa Fe de Goias</v>
          </cell>
        </row>
        <row r="4383">
          <cell r="C4383" t="str">
            <v>Santa Fe de Minas</v>
          </cell>
        </row>
        <row r="4384">
          <cell r="C4384" t="str">
            <v>Santa Fe do Araguaia</v>
          </cell>
        </row>
        <row r="4385">
          <cell r="C4385" t="str">
            <v>Santa Fe do Sul</v>
          </cell>
        </row>
        <row r="4386">
          <cell r="C4386" t="str">
            <v>Santa Filomena</v>
          </cell>
        </row>
        <row r="4387">
          <cell r="C4387" t="str">
            <v>Santa Filomena</v>
          </cell>
        </row>
        <row r="4388">
          <cell r="C4388" t="str">
            <v>Santa Filomena do Maranhao</v>
          </cell>
        </row>
        <row r="4389">
          <cell r="C4389" t="str">
            <v>Santa Gertrudes</v>
          </cell>
        </row>
        <row r="4390">
          <cell r="C4390" t="str">
            <v>Santa Helena</v>
          </cell>
        </row>
        <row r="4391">
          <cell r="C4391" t="str">
            <v>Santa Helena</v>
          </cell>
        </row>
        <row r="4392">
          <cell r="C4392" t="str">
            <v>Santa Helena</v>
          </cell>
        </row>
        <row r="4393">
          <cell r="C4393" t="str">
            <v>Santa Helena</v>
          </cell>
        </row>
        <row r="4394">
          <cell r="C4394" t="str">
            <v>Santa Helena de Goias</v>
          </cell>
        </row>
        <row r="4395">
          <cell r="C4395" t="str">
            <v>Santa Helena de Minas</v>
          </cell>
        </row>
        <row r="4396">
          <cell r="C4396" t="str">
            <v>Santa Ines</v>
          </cell>
        </row>
        <row r="4397">
          <cell r="C4397" t="str">
            <v>Santa Ines</v>
          </cell>
        </row>
        <row r="4398">
          <cell r="C4398" t="str">
            <v>Santa Ines</v>
          </cell>
        </row>
        <row r="4399">
          <cell r="C4399" t="str">
            <v>Santa Ines</v>
          </cell>
        </row>
        <row r="4400">
          <cell r="C4400" t="str">
            <v>Santa Isabel</v>
          </cell>
        </row>
        <row r="4401">
          <cell r="C4401" t="str">
            <v>Santa Isabel</v>
          </cell>
        </row>
        <row r="4402">
          <cell r="C4402" t="str">
            <v>Santa Isabel do Ivai</v>
          </cell>
        </row>
        <row r="4403">
          <cell r="C4403" t="str">
            <v>Santa Isabel do Para</v>
          </cell>
        </row>
        <row r="4404">
          <cell r="C4404" t="str">
            <v>Santa Isabel do Rio Negro</v>
          </cell>
        </row>
        <row r="4405">
          <cell r="C4405" t="str">
            <v>Santa Izabel do Oeste</v>
          </cell>
        </row>
        <row r="4406">
          <cell r="C4406" t="str">
            <v>Santa Juliana</v>
          </cell>
        </row>
        <row r="4407">
          <cell r="C4407" t="str">
            <v>Santa Leopoldina</v>
          </cell>
        </row>
        <row r="4408">
          <cell r="C4408" t="str">
            <v>Santa Lucia</v>
          </cell>
        </row>
        <row r="4409">
          <cell r="C4409" t="str">
            <v>Santa Lucia</v>
          </cell>
        </row>
        <row r="4410">
          <cell r="C4410" t="str">
            <v>Santa Luz</v>
          </cell>
        </row>
        <row r="4411">
          <cell r="C4411" t="str">
            <v>Santa Luzia</v>
          </cell>
        </row>
        <row r="4412">
          <cell r="C4412" t="str">
            <v>Santa Luzia</v>
          </cell>
        </row>
        <row r="4413">
          <cell r="C4413" t="str">
            <v>Santa Luzia</v>
          </cell>
        </row>
        <row r="4414">
          <cell r="C4414" t="str">
            <v>Santa Luzia</v>
          </cell>
        </row>
        <row r="4415">
          <cell r="C4415" t="str">
            <v>Santa Luzia do Itanhy</v>
          </cell>
        </row>
        <row r="4416">
          <cell r="C4416" t="str">
            <v>Santa Luzia do Norte</v>
          </cell>
        </row>
        <row r="4417">
          <cell r="C4417" t="str">
            <v>Santa Luzia do Para</v>
          </cell>
        </row>
        <row r="4418">
          <cell r="C4418" t="str">
            <v>Santa Luzia do Parua</v>
          </cell>
        </row>
        <row r="4419">
          <cell r="C4419" t="str">
            <v>Santa Luzia D'Oeste</v>
          </cell>
        </row>
        <row r="4420">
          <cell r="C4420" t="str">
            <v>Santa Margarida</v>
          </cell>
        </row>
        <row r="4421">
          <cell r="C4421" t="str">
            <v>Santa Margarida do Sul</v>
          </cell>
        </row>
        <row r="4422">
          <cell r="C4422" t="str">
            <v>Santa Maria</v>
          </cell>
        </row>
        <row r="4423">
          <cell r="C4423" t="str">
            <v>Santa Maria</v>
          </cell>
        </row>
        <row r="4424">
          <cell r="C4424" t="str">
            <v>Santa Maria da Boa Vista</v>
          </cell>
        </row>
        <row r="4425">
          <cell r="C4425" t="str">
            <v>Santa Maria da Serra</v>
          </cell>
        </row>
        <row r="4426">
          <cell r="C4426" t="str">
            <v>Santa Maria da Vitoria</v>
          </cell>
        </row>
        <row r="4427">
          <cell r="C4427" t="str">
            <v>Santa Maria das Barreiras</v>
          </cell>
        </row>
        <row r="4428">
          <cell r="C4428" t="str">
            <v>Santa Maria de Itabira</v>
          </cell>
        </row>
        <row r="4429">
          <cell r="C4429" t="str">
            <v>Santa Maria de Jetiba</v>
          </cell>
        </row>
        <row r="4430">
          <cell r="C4430" t="str">
            <v>Santa Maria do Cambuca</v>
          </cell>
        </row>
        <row r="4431">
          <cell r="C4431" t="str">
            <v>Santa Maria do Herval</v>
          </cell>
        </row>
        <row r="4432">
          <cell r="C4432" t="str">
            <v>Santa Maria do Oeste</v>
          </cell>
        </row>
        <row r="4433">
          <cell r="C4433" t="str">
            <v>Santa Maria do Para</v>
          </cell>
        </row>
        <row r="4434">
          <cell r="C4434" t="str">
            <v>Santa Maria do Salto</v>
          </cell>
        </row>
        <row r="4435">
          <cell r="C4435" t="str">
            <v>Santa Maria do Suacui</v>
          </cell>
        </row>
        <row r="4436">
          <cell r="C4436" t="str">
            <v>Santa Maria do Tocantins</v>
          </cell>
        </row>
        <row r="4437">
          <cell r="C4437" t="str">
            <v>Santa Maria Madalena</v>
          </cell>
        </row>
        <row r="4438">
          <cell r="C4438" t="str">
            <v>Santa Mariana</v>
          </cell>
        </row>
        <row r="4439">
          <cell r="C4439" t="str">
            <v>Santa Mercedes</v>
          </cell>
        </row>
        <row r="4440">
          <cell r="C4440" t="str">
            <v>Santa Monica</v>
          </cell>
        </row>
        <row r="4441">
          <cell r="C4441" t="str">
            <v>Santa Quiteria</v>
          </cell>
        </row>
        <row r="4442">
          <cell r="C4442" t="str">
            <v>Santa Quiteria do Maranhao</v>
          </cell>
        </row>
        <row r="4443">
          <cell r="C4443" t="str">
            <v>Santa Rita</v>
          </cell>
        </row>
        <row r="4444">
          <cell r="C4444" t="str">
            <v>Santa Rita</v>
          </cell>
        </row>
        <row r="4445">
          <cell r="C4445" t="str">
            <v>Santa Rita de Caldas</v>
          </cell>
        </row>
        <row r="4446">
          <cell r="C4446" t="str">
            <v>Santa Rita de Cassia</v>
          </cell>
        </row>
        <row r="4447">
          <cell r="C4447" t="str">
            <v>Santa Rita de Ibitipoca</v>
          </cell>
        </row>
        <row r="4448">
          <cell r="C4448" t="str">
            <v>Santa Rita de Jacutinga</v>
          </cell>
        </row>
        <row r="4449">
          <cell r="C4449" t="str">
            <v>Santa Rita de Minas</v>
          </cell>
        </row>
        <row r="4450">
          <cell r="C4450" t="str">
            <v>Santa Rita do Araguaia</v>
          </cell>
        </row>
        <row r="4451">
          <cell r="C4451" t="str">
            <v>Santa Rita do Itueto</v>
          </cell>
        </row>
        <row r="4452">
          <cell r="C4452" t="str">
            <v>Santa Rita do Novo Destino</v>
          </cell>
        </row>
        <row r="4453">
          <cell r="C4453" t="str">
            <v>Santa Rita do Pardo</v>
          </cell>
        </row>
        <row r="4454">
          <cell r="C4454" t="str">
            <v>Santa Rita do Passa Quatro</v>
          </cell>
        </row>
        <row r="4455">
          <cell r="C4455" t="str">
            <v>Santa Rita do Sapucai</v>
          </cell>
        </row>
        <row r="4456">
          <cell r="C4456" t="str">
            <v>Santa Rita do Tocantins</v>
          </cell>
        </row>
        <row r="4457">
          <cell r="C4457" t="str">
            <v>Santa Rita do Trivelato</v>
          </cell>
        </row>
        <row r="4458">
          <cell r="C4458" t="str">
            <v>Santa Rita d'Oeste</v>
          </cell>
        </row>
        <row r="4459">
          <cell r="C4459" t="str">
            <v>Santa Rosa</v>
          </cell>
        </row>
        <row r="4460">
          <cell r="C4460" t="str">
            <v>Santa Rosa da Serra</v>
          </cell>
        </row>
        <row r="4461">
          <cell r="C4461" t="str">
            <v>Santa Rosa de Goias</v>
          </cell>
        </row>
        <row r="4462">
          <cell r="C4462" t="str">
            <v>Santa Rosa de Lima</v>
          </cell>
        </row>
        <row r="4463">
          <cell r="C4463" t="str">
            <v>Santa Rosa de Lima</v>
          </cell>
        </row>
        <row r="4464">
          <cell r="C4464" t="str">
            <v>Santa Rosa de Viterbo</v>
          </cell>
        </row>
        <row r="4465">
          <cell r="C4465" t="str">
            <v>Santa Rosa do Piaui</v>
          </cell>
        </row>
        <row r="4466">
          <cell r="C4466" t="str">
            <v>Santa Rosa do Purus</v>
          </cell>
        </row>
        <row r="4467">
          <cell r="C4467" t="str">
            <v>Santa Rosa do Sul</v>
          </cell>
        </row>
        <row r="4468">
          <cell r="C4468" t="str">
            <v>Santa Rosa do Tocantins</v>
          </cell>
        </row>
        <row r="4469">
          <cell r="C4469" t="str">
            <v>Santa Salete</v>
          </cell>
        </row>
        <row r="4470">
          <cell r="C4470" t="str">
            <v>Santa Teresa</v>
          </cell>
        </row>
        <row r="4471">
          <cell r="C4471" t="str">
            <v>Santa Teresinha</v>
          </cell>
        </row>
        <row r="4472">
          <cell r="C4472" t="str">
            <v>Santa Teresinha</v>
          </cell>
        </row>
        <row r="4473">
          <cell r="C4473" t="str">
            <v>Santa Tereza</v>
          </cell>
        </row>
        <row r="4474">
          <cell r="C4474" t="str">
            <v>Santa Tereza de Goias</v>
          </cell>
        </row>
        <row r="4475">
          <cell r="C4475" t="str">
            <v>Santa Tereza do Oeste</v>
          </cell>
        </row>
        <row r="4476">
          <cell r="C4476" t="str">
            <v>Santa Tereza do Tocantins</v>
          </cell>
        </row>
        <row r="4477">
          <cell r="C4477" t="str">
            <v>Santa Terezinha</v>
          </cell>
        </row>
        <row r="4478">
          <cell r="C4478" t="str">
            <v>Santa Terezinha</v>
          </cell>
        </row>
        <row r="4479">
          <cell r="C4479" t="str">
            <v>Santa Terezinha</v>
          </cell>
        </row>
        <row r="4480">
          <cell r="C4480" t="str">
            <v>Santa Terezinha de Goias</v>
          </cell>
        </row>
        <row r="4481">
          <cell r="C4481" t="str">
            <v>Santa Terezinha de Itaipu</v>
          </cell>
        </row>
        <row r="4482">
          <cell r="C4482" t="str">
            <v>Santa Terezinha do Progresso</v>
          </cell>
        </row>
        <row r="4483">
          <cell r="C4483" t="str">
            <v>Santa Terezinha do Tocantins</v>
          </cell>
        </row>
        <row r="4484">
          <cell r="C4484" t="str">
            <v>Santa Vitoria</v>
          </cell>
        </row>
        <row r="4485">
          <cell r="C4485" t="str">
            <v>Santa Vitoria do Palmar</v>
          </cell>
        </row>
        <row r="4486">
          <cell r="C4486" t="str">
            <v>Santaluz</v>
          </cell>
        </row>
        <row r="4487">
          <cell r="C4487" t="str">
            <v>Santana</v>
          </cell>
        </row>
        <row r="4488">
          <cell r="C4488" t="str">
            <v>Santana</v>
          </cell>
        </row>
        <row r="4489">
          <cell r="C4489" t="str">
            <v>Santana da Boa Vista</v>
          </cell>
        </row>
        <row r="4490">
          <cell r="C4490" t="str">
            <v>Santana da Ponte Pensa</v>
          </cell>
        </row>
        <row r="4491">
          <cell r="C4491" t="str">
            <v>Santana da Vargem</v>
          </cell>
        </row>
        <row r="4492">
          <cell r="C4492" t="str">
            <v>Santana de Cataguases</v>
          </cell>
        </row>
        <row r="4493">
          <cell r="C4493" t="str">
            <v>Santana de Mangueira</v>
          </cell>
        </row>
        <row r="4494">
          <cell r="C4494" t="str">
            <v>Santana de Parnaiba</v>
          </cell>
        </row>
        <row r="4495">
          <cell r="C4495" t="str">
            <v>Santana de Pirapama</v>
          </cell>
        </row>
        <row r="4496">
          <cell r="C4496" t="str">
            <v>Santana do Acarau</v>
          </cell>
        </row>
        <row r="4497">
          <cell r="C4497" t="str">
            <v>Santana do Araguaia</v>
          </cell>
        </row>
        <row r="4498">
          <cell r="C4498" t="str">
            <v>Santana do Cariri</v>
          </cell>
        </row>
        <row r="4499">
          <cell r="C4499" t="str">
            <v>Santana do Deserto</v>
          </cell>
        </row>
        <row r="4500">
          <cell r="C4500" t="str">
            <v>Santana do Garambeu</v>
          </cell>
        </row>
        <row r="4501">
          <cell r="C4501" t="str">
            <v>Santana do Ipanema</v>
          </cell>
        </row>
        <row r="4502">
          <cell r="C4502" t="str">
            <v>Santana do Itarare</v>
          </cell>
        </row>
        <row r="4503">
          <cell r="C4503" t="str">
            <v>Santana do Jacare</v>
          </cell>
        </row>
        <row r="4504">
          <cell r="C4504" t="str">
            <v>Santana do Livramento</v>
          </cell>
        </row>
        <row r="4505">
          <cell r="C4505" t="str">
            <v>Santana do Manhuacu</v>
          </cell>
        </row>
        <row r="4506">
          <cell r="C4506" t="str">
            <v>Santana do Maranhao</v>
          </cell>
        </row>
        <row r="4507">
          <cell r="C4507" t="str">
            <v>Santana do Matos</v>
          </cell>
        </row>
        <row r="4508">
          <cell r="C4508" t="str">
            <v>Santana do Mundau</v>
          </cell>
        </row>
        <row r="4509">
          <cell r="C4509" t="str">
            <v>Santana do Paraiso</v>
          </cell>
        </row>
        <row r="4510">
          <cell r="C4510" t="str">
            <v>Santana do Piaui</v>
          </cell>
        </row>
        <row r="4511">
          <cell r="C4511" t="str">
            <v>Santana do Riacho</v>
          </cell>
        </row>
        <row r="4512">
          <cell r="C4512" t="str">
            <v>Santana do Sao Francisco</v>
          </cell>
        </row>
        <row r="4513">
          <cell r="C4513" t="str">
            <v>Santana do Serido</v>
          </cell>
        </row>
        <row r="4514">
          <cell r="C4514" t="str">
            <v>Santana dos Garrotes</v>
          </cell>
        </row>
        <row r="4515">
          <cell r="C4515" t="str">
            <v>Santana dos Montes</v>
          </cell>
        </row>
        <row r="4516">
          <cell r="C4516" t="str">
            <v>Santanopolis</v>
          </cell>
        </row>
        <row r="4517">
          <cell r="C4517" t="str">
            <v>Santarem</v>
          </cell>
        </row>
        <row r="4518">
          <cell r="C4518" t="str">
            <v>Santarem</v>
          </cell>
        </row>
        <row r="4519">
          <cell r="C4519" t="str">
            <v>Santarem Novo</v>
          </cell>
        </row>
        <row r="4520">
          <cell r="C4520" t="str">
            <v>Santiago</v>
          </cell>
        </row>
        <row r="4521">
          <cell r="C4521" t="str">
            <v>Santiago do Sul</v>
          </cell>
        </row>
        <row r="4522">
          <cell r="C4522" t="str">
            <v>Santo Afonso</v>
          </cell>
        </row>
        <row r="4523">
          <cell r="C4523" t="str">
            <v>Santo Amaro</v>
          </cell>
        </row>
        <row r="4524">
          <cell r="C4524" t="str">
            <v>Santo Amaro da Imperatriz</v>
          </cell>
        </row>
        <row r="4525">
          <cell r="C4525" t="str">
            <v>Santo Amaro das Brotas</v>
          </cell>
        </row>
        <row r="4526">
          <cell r="C4526" t="str">
            <v>Santo Amaro do Maranhao</v>
          </cell>
        </row>
        <row r="4527">
          <cell r="C4527" t="str">
            <v>Santo Anastacio</v>
          </cell>
        </row>
        <row r="4528">
          <cell r="C4528" t="str">
            <v>Santo Andre</v>
          </cell>
        </row>
        <row r="4529">
          <cell r="C4529" t="str">
            <v>Santo Andre</v>
          </cell>
        </row>
        <row r="4530">
          <cell r="C4530" t="str">
            <v>Santo angelo</v>
          </cell>
        </row>
        <row r="4531">
          <cell r="C4531" t="str">
            <v>Santo Antonio</v>
          </cell>
        </row>
        <row r="4532">
          <cell r="C4532" t="str">
            <v>Santo Antonio da Alegria</v>
          </cell>
        </row>
        <row r="4533">
          <cell r="C4533" t="str">
            <v>Santo Antonio da Barra</v>
          </cell>
        </row>
        <row r="4534">
          <cell r="C4534" t="str">
            <v>Santo Antonio da Patrulha</v>
          </cell>
        </row>
        <row r="4535">
          <cell r="C4535" t="str">
            <v>Santo Antonio da Platina</v>
          </cell>
        </row>
        <row r="4536">
          <cell r="C4536" t="str">
            <v>Santo Antonio das Missoes</v>
          </cell>
        </row>
        <row r="4537">
          <cell r="C4537" t="str">
            <v>Santo Antonio de Goias</v>
          </cell>
        </row>
        <row r="4538">
          <cell r="C4538" t="str">
            <v>Santo Antonio de Jesus</v>
          </cell>
        </row>
        <row r="4539">
          <cell r="C4539" t="str">
            <v>Santo Antonio de Lisboa</v>
          </cell>
        </row>
        <row r="4540">
          <cell r="C4540" t="str">
            <v>Santo Antonio de Padua</v>
          </cell>
        </row>
        <row r="4541">
          <cell r="C4541" t="str">
            <v>Santo Antonio de Posse</v>
          </cell>
        </row>
        <row r="4542">
          <cell r="C4542" t="str">
            <v>Santo Antonio do Amparo</v>
          </cell>
        </row>
        <row r="4543">
          <cell r="C4543" t="str">
            <v>Santo Antonio do Aracangua</v>
          </cell>
        </row>
        <row r="4544">
          <cell r="C4544" t="str">
            <v>Santo Antonio do Aventureiro</v>
          </cell>
        </row>
        <row r="4545">
          <cell r="C4545" t="str">
            <v>Santo Antonio do Caiua</v>
          </cell>
        </row>
        <row r="4546">
          <cell r="C4546" t="str">
            <v>Santo Antonio do Descoberto</v>
          </cell>
        </row>
        <row r="4547">
          <cell r="C4547" t="str">
            <v>Santo Antonio do Grama</v>
          </cell>
        </row>
        <row r="4548">
          <cell r="C4548" t="str">
            <v>Santo Antonio do Ica</v>
          </cell>
        </row>
        <row r="4549">
          <cell r="C4549" t="str">
            <v>Santo Antonio do Itambe</v>
          </cell>
        </row>
        <row r="4550">
          <cell r="C4550" t="str">
            <v>Santo Antonio do Jacinto</v>
          </cell>
        </row>
        <row r="4551">
          <cell r="C4551" t="str">
            <v>Santo Antonio do Jardim</v>
          </cell>
        </row>
        <row r="4552">
          <cell r="C4552" t="str">
            <v>Santo Antonio do Leste</v>
          </cell>
        </row>
        <row r="4553">
          <cell r="C4553" t="str">
            <v>Santo Antonio do Leverger</v>
          </cell>
        </row>
        <row r="4554">
          <cell r="C4554" t="str">
            <v>Santo Antonio do Monte</v>
          </cell>
        </row>
        <row r="4555">
          <cell r="C4555" t="str">
            <v>Santo Antonio do Palma</v>
          </cell>
        </row>
        <row r="4556">
          <cell r="C4556" t="str">
            <v>Santo Antonio do Paraiso</v>
          </cell>
        </row>
        <row r="4557">
          <cell r="C4557" t="str">
            <v>Santo Antonio do Pinhal</v>
          </cell>
        </row>
        <row r="4558">
          <cell r="C4558" t="str">
            <v>Santo Antonio do Planalto</v>
          </cell>
        </row>
        <row r="4559">
          <cell r="C4559" t="str">
            <v>Santo Antonio do Retiro</v>
          </cell>
        </row>
        <row r="4560">
          <cell r="C4560" t="str">
            <v>Santo Antonio do Rio Abaixo</v>
          </cell>
        </row>
        <row r="4561">
          <cell r="C4561" t="str">
            <v>Santo Antonio do Sudoeste</v>
          </cell>
        </row>
        <row r="4562">
          <cell r="C4562" t="str">
            <v>Santo Antonio do Taua</v>
          </cell>
        </row>
        <row r="4563">
          <cell r="C4563" t="str">
            <v>Santo Antonio dos Lopes</v>
          </cell>
        </row>
        <row r="4564">
          <cell r="C4564" t="str">
            <v>Santo Antonio dos Milagres</v>
          </cell>
        </row>
        <row r="4565">
          <cell r="C4565" t="str">
            <v>Santo Augusto</v>
          </cell>
        </row>
        <row r="4566">
          <cell r="C4566" t="str">
            <v>Santo Cristo</v>
          </cell>
        </row>
        <row r="4567">
          <cell r="C4567" t="str">
            <v>Santo Estevao</v>
          </cell>
        </row>
        <row r="4568">
          <cell r="C4568" t="str">
            <v>Santo Expedito</v>
          </cell>
        </row>
        <row r="4569">
          <cell r="C4569" t="str">
            <v>Santo Expedito do Sul</v>
          </cell>
        </row>
        <row r="4570">
          <cell r="C4570" t="str">
            <v>Santo Hipolito</v>
          </cell>
        </row>
        <row r="4571">
          <cell r="C4571" t="str">
            <v>Santo Inacio</v>
          </cell>
        </row>
        <row r="4572">
          <cell r="C4572" t="str">
            <v>Santo Inacio do Piaui</v>
          </cell>
        </row>
        <row r="4573">
          <cell r="C4573" t="str">
            <v>Santopolis do Aguapei</v>
          </cell>
        </row>
        <row r="4574">
          <cell r="C4574" t="str">
            <v>Santos</v>
          </cell>
        </row>
        <row r="4575">
          <cell r="C4575" t="str">
            <v>Santos Dumont</v>
          </cell>
        </row>
        <row r="4576">
          <cell r="C4576" t="str">
            <v>Sao Benedito</v>
          </cell>
        </row>
        <row r="4577">
          <cell r="C4577" t="str">
            <v>Sao Benedito do Rio Preto</v>
          </cell>
        </row>
        <row r="4578">
          <cell r="C4578" t="str">
            <v>Sao Benedito do Sul</v>
          </cell>
        </row>
        <row r="4579">
          <cell r="C4579" t="str">
            <v>Sao Bentinho</v>
          </cell>
        </row>
        <row r="4580">
          <cell r="C4580" t="str">
            <v>Sao Bento</v>
          </cell>
        </row>
        <row r="4581">
          <cell r="C4581" t="str">
            <v>Sao Bento</v>
          </cell>
        </row>
        <row r="4582">
          <cell r="C4582" t="str">
            <v>Sao Bento Abade</v>
          </cell>
        </row>
        <row r="4583">
          <cell r="C4583" t="str">
            <v>Sao Bento do Norte</v>
          </cell>
        </row>
        <row r="4584">
          <cell r="C4584" t="str">
            <v>Sao Bento do Sapucai</v>
          </cell>
        </row>
        <row r="4585">
          <cell r="C4585" t="str">
            <v>Sao Bento do Sul</v>
          </cell>
        </row>
        <row r="4586">
          <cell r="C4586" t="str">
            <v>Sao Bento do Tocantins</v>
          </cell>
        </row>
        <row r="4587">
          <cell r="C4587" t="str">
            <v>Sao Bento do Trairi</v>
          </cell>
        </row>
        <row r="4588">
          <cell r="C4588" t="str">
            <v>Sao Bento do Una</v>
          </cell>
        </row>
        <row r="4589">
          <cell r="C4589" t="str">
            <v>Sao Bernardino</v>
          </cell>
        </row>
        <row r="4590">
          <cell r="C4590" t="str">
            <v>Sao Bernardo</v>
          </cell>
        </row>
        <row r="4591">
          <cell r="C4591" t="str">
            <v>Sao Bernardo do Campo</v>
          </cell>
        </row>
        <row r="4592">
          <cell r="C4592" t="str">
            <v>Sao Bonifacio</v>
          </cell>
        </row>
        <row r="4593">
          <cell r="C4593" t="str">
            <v>Sao Borja</v>
          </cell>
        </row>
        <row r="4594">
          <cell r="C4594" t="str">
            <v>Sao Bras</v>
          </cell>
        </row>
        <row r="4595">
          <cell r="C4595" t="str">
            <v>Sao Bras do Suacui</v>
          </cell>
        </row>
        <row r="4596">
          <cell r="C4596" t="str">
            <v>Sao Braz do Piaui</v>
          </cell>
        </row>
        <row r="4597">
          <cell r="C4597" t="str">
            <v>Sao Caetano de Odivelas</v>
          </cell>
        </row>
        <row r="4598">
          <cell r="C4598" t="str">
            <v>Sao Caetano do Sul</v>
          </cell>
        </row>
        <row r="4599">
          <cell r="C4599" t="str">
            <v>Sao Caitano</v>
          </cell>
        </row>
        <row r="4600">
          <cell r="C4600" t="str">
            <v>Sao Carlos</v>
          </cell>
        </row>
        <row r="4601">
          <cell r="C4601" t="str">
            <v>Sao Carlos</v>
          </cell>
        </row>
        <row r="4602">
          <cell r="C4602" t="str">
            <v>Sao Carlos do Ivai</v>
          </cell>
        </row>
        <row r="4603">
          <cell r="C4603" t="str">
            <v>Sao Cristovao</v>
          </cell>
        </row>
        <row r="4604">
          <cell r="C4604" t="str">
            <v>Sao Cristovao do Sul</v>
          </cell>
        </row>
        <row r="4605">
          <cell r="C4605" t="str">
            <v>Sao Desiderio</v>
          </cell>
        </row>
        <row r="4606">
          <cell r="C4606" t="str">
            <v>Sao Domingos</v>
          </cell>
        </row>
        <row r="4607">
          <cell r="C4607" t="str">
            <v>Sao Domingos</v>
          </cell>
        </row>
        <row r="4608">
          <cell r="C4608" t="str">
            <v>Sao Domingos</v>
          </cell>
        </row>
        <row r="4609">
          <cell r="C4609" t="str">
            <v>Sao Domingos</v>
          </cell>
        </row>
        <row r="4610">
          <cell r="C4610" t="str">
            <v>Sao Domingos das Dores</v>
          </cell>
        </row>
        <row r="4611">
          <cell r="C4611" t="str">
            <v>Sao Domingos de Pombal</v>
          </cell>
        </row>
        <row r="4612">
          <cell r="C4612" t="str">
            <v>Sao Domingos do Araguaia</v>
          </cell>
        </row>
        <row r="4613">
          <cell r="C4613" t="str">
            <v>Sao Domingos do Azeitao</v>
          </cell>
        </row>
        <row r="4614">
          <cell r="C4614" t="str">
            <v>Sao Domingos do Capim</v>
          </cell>
        </row>
        <row r="4615">
          <cell r="C4615" t="str">
            <v>Sao Domingos do Cariri</v>
          </cell>
        </row>
        <row r="4616">
          <cell r="C4616" t="str">
            <v>Sao Domingos do Maranhao</v>
          </cell>
        </row>
        <row r="4617">
          <cell r="C4617" t="str">
            <v>Sao Domingos do Norte</v>
          </cell>
        </row>
        <row r="4618">
          <cell r="C4618" t="str">
            <v>Sao Domingos do Prata</v>
          </cell>
        </row>
        <row r="4619">
          <cell r="C4619" t="str">
            <v>Sao Domingos do Sul</v>
          </cell>
        </row>
        <row r="4620">
          <cell r="C4620" t="str">
            <v>Sao Felipe</v>
          </cell>
        </row>
        <row r="4621">
          <cell r="C4621" t="str">
            <v>Sao Felipe D'Oeste</v>
          </cell>
        </row>
        <row r="4622">
          <cell r="C4622" t="str">
            <v>Sao Felix</v>
          </cell>
        </row>
        <row r="4623">
          <cell r="C4623" t="str">
            <v>Sao Felix de Balsas</v>
          </cell>
        </row>
        <row r="4624">
          <cell r="C4624" t="str">
            <v>Sao Felix de Minas</v>
          </cell>
        </row>
        <row r="4625">
          <cell r="C4625" t="str">
            <v>Sao Felix do Araguaia</v>
          </cell>
        </row>
        <row r="4626">
          <cell r="C4626" t="str">
            <v>Sao Felix do Coribe</v>
          </cell>
        </row>
        <row r="4627">
          <cell r="C4627" t="str">
            <v>Sao Felix do Piaui</v>
          </cell>
        </row>
        <row r="4628">
          <cell r="C4628" t="str">
            <v>Sao Felix do Tocantins</v>
          </cell>
        </row>
        <row r="4629">
          <cell r="C4629" t="str">
            <v>Sao Felix do Xingu</v>
          </cell>
        </row>
        <row r="4630">
          <cell r="C4630" t="str">
            <v>Sao Fernando</v>
          </cell>
        </row>
        <row r="4631">
          <cell r="C4631" t="str">
            <v>Sao Fidelis</v>
          </cell>
        </row>
        <row r="4632">
          <cell r="C4632" t="str">
            <v>Sao Francisco</v>
          </cell>
        </row>
        <row r="4633">
          <cell r="C4633" t="str">
            <v>Sao Francisco</v>
          </cell>
        </row>
        <row r="4634">
          <cell r="C4634" t="str">
            <v>Sao Francisco</v>
          </cell>
        </row>
        <row r="4635">
          <cell r="C4635" t="str">
            <v>Sao Francisco</v>
          </cell>
        </row>
        <row r="4636">
          <cell r="C4636" t="str">
            <v>Sao Francisco de Assis</v>
          </cell>
        </row>
        <row r="4637">
          <cell r="C4637" t="str">
            <v>Sao Francisco de Assis do Piaui</v>
          </cell>
        </row>
        <row r="4638">
          <cell r="C4638" t="str">
            <v>Sao Francisco de Goias</v>
          </cell>
        </row>
        <row r="4639">
          <cell r="C4639" t="str">
            <v>Sao Francisco de Itabapoana</v>
          </cell>
        </row>
        <row r="4640">
          <cell r="C4640" t="str">
            <v>Sao Francisco de Paula</v>
          </cell>
        </row>
        <row r="4641">
          <cell r="C4641" t="str">
            <v>Sao Francisco de Paula</v>
          </cell>
        </row>
        <row r="4642">
          <cell r="C4642" t="str">
            <v>Sao Francisco de Sales</v>
          </cell>
        </row>
        <row r="4643">
          <cell r="C4643" t="str">
            <v>Sao Francisco do Brejao</v>
          </cell>
        </row>
        <row r="4644">
          <cell r="C4644" t="str">
            <v>Sao Francisco do Conde</v>
          </cell>
        </row>
        <row r="4645">
          <cell r="C4645" t="str">
            <v>Sao Francisco do Gloria</v>
          </cell>
        </row>
        <row r="4646">
          <cell r="C4646" t="str">
            <v>Sao Francisco do Guapore</v>
          </cell>
        </row>
        <row r="4647">
          <cell r="C4647" t="str">
            <v>Sao Francisco do Maranhao</v>
          </cell>
        </row>
        <row r="4648">
          <cell r="C4648" t="str">
            <v>Sao Francisco do Oeste</v>
          </cell>
        </row>
        <row r="4649">
          <cell r="C4649" t="str">
            <v>Sao Francisco do Para</v>
          </cell>
        </row>
        <row r="4650">
          <cell r="C4650" t="str">
            <v>Sao Francisco do Piaui</v>
          </cell>
        </row>
        <row r="4651">
          <cell r="C4651" t="str">
            <v>Sao Francisco do Sul</v>
          </cell>
        </row>
        <row r="4652">
          <cell r="C4652" t="str">
            <v>Sao Gabriel</v>
          </cell>
        </row>
        <row r="4653">
          <cell r="C4653" t="str">
            <v>Sao Gabriel</v>
          </cell>
        </row>
        <row r="4654">
          <cell r="C4654" t="str">
            <v>Sao Gabriel da Cachoeira</v>
          </cell>
        </row>
        <row r="4655">
          <cell r="C4655" t="str">
            <v>Sao Gabriel da Palha</v>
          </cell>
        </row>
        <row r="4656">
          <cell r="C4656" t="str">
            <v>Sao Gabriel do Oeste</v>
          </cell>
        </row>
        <row r="4657">
          <cell r="C4657" t="str">
            <v>Sao Geraldo</v>
          </cell>
        </row>
        <row r="4658">
          <cell r="C4658" t="str">
            <v>Sao Geraldo da Piedade</v>
          </cell>
        </row>
        <row r="4659">
          <cell r="C4659" t="str">
            <v>Sao Geraldo do Araguaia</v>
          </cell>
        </row>
        <row r="4660">
          <cell r="C4660" t="str">
            <v>Sao Geraldo do Baixio</v>
          </cell>
        </row>
        <row r="4661">
          <cell r="C4661" t="str">
            <v>Sao Goncalo</v>
          </cell>
        </row>
        <row r="4662">
          <cell r="C4662" t="str">
            <v>Sao Goncalo do Abaete</v>
          </cell>
        </row>
        <row r="4663">
          <cell r="C4663" t="str">
            <v>Sao Goncalo do Amarante</v>
          </cell>
        </row>
        <row r="4664">
          <cell r="C4664" t="str">
            <v>Sao Goncalo do Amarante</v>
          </cell>
        </row>
        <row r="4665">
          <cell r="C4665" t="str">
            <v>Sao Goncalo do Gurgueia</v>
          </cell>
        </row>
        <row r="4666">
          <cell r="C4666" t="str">
            <v>Sao Goncalo do Para</v>
          </cell>
        </row>
        <row r="4667">
          <cell r="C4667" t="str">
            <v>Sao Goncalo do Piaui</v>
          </cell>
        </row>
        <row r="4668">
          <cell r="C4668" t="str">
            <v>Sao Goncalo do Rio Abaixo</v>
          </cell>
        </row>
        <row r="4669">
          <cell r="C4669" t="str">
            <v>Sao Goncalo do Rio Preto</v>
          </cell>
        </row>
        <row r="4670">
          <cell r="C4670" t="str">
            <v>Sao Goncalo do Sapucai</v>
          </cell>
        </row>
        <row r="4671">
          <cell r="C4671" t="str">
            <v>Sao Goncalo dos Campos</v>
          </cell>
        </row>
        <row r="4672">
          <cell r="C4672" t="str">
            <v>Sao Gotardo</v>
          </cell>
        </row>
        <row r="4673">
          <cell r="C4673" t="str">
            <v>Sao Jeronimo</v>
          </cell>
        </row>
        <row r="4674">
          <cell r="C4674" t="str">
            <v>Sao Jeronimo da Serra</v>
          </cell>
        </row>
        <row r="4675">
          <cell r="C4675" t="str">
            <v>Sao Joao</v>
          </cell>
        </row>
        <row r="4676">
          <cell r="C4676" t="str">
            <v>Sao Joao</v>
          </cell>
        </row>
        <row r="4677">
          <cell r="C4677" t="str">
            <v>Sao Joao Batista</v>
          </cell>
        </row>
        <row r="4678">
          <cell r="C4678" t="str">
            <v>Sao Joao Batista</v>
          </cell>
        </row>
        <row r="4679">
          <cell r="C4679" t="str">
            <v>Sao Joao Batista do Gloria</v>
          </cell>
        </row>
        <row r="4680">
          <cell r="C4680" t="str">
            <v>Sao Joao da Baliza</v>
          </cell>
        </row>
        <row r="4681">
          <cell r="C4681" t="str">
            <v>Sao Joao da Barra</v>
          </cell>
        </row>
        <row r="4682">
          <cell r="C4682" t="str">
            <v>Sao Joao da Boa Vista</v>
          </cell>
        </row>
        <row r="4683">
          <cell r="C4683" t="str">
            <v>Sao Joao da Canabrava</v>
          </cell>
        </row>
        <row r="4684">
          <cell r="C4684" t="str">
            <v>Sao Joao da Fronteira</v>
          </cell>
        </row>
        <row r="4685">
          <cell r="C4685" t="str">
            <v>Sao Joao da Lagoa</v>
          </cell>
        </row>
        <row r="4686">
          <cell r="C4686" t="str">
            <v>Sao Joao da Mata</v>
          </cell>
        </row>
        <row r="4687">
          <cell r="C4687" t="str">
            <v>Sao Joao da Parauna</v>
          </cell>
        </row>
        <row r="4688">
          <cell r="C4688" t="str">
            <v>Sao Joao da Ponta</v>
          </cell>
        </row>
        <row r="4689">
          <cell r="C4689" t="str">
            <v>Sao Joao da Ponte</v>
          </cell>
        </row>
        <row r="4690">
          <cell r="C4690" t="str">
            <v>Sao Joao da Serra</v>
          </cell>
        </row>
        <row r="4691">
          <cell r="C4691" t="str">
            <v>Sao Joao da Urtiga</v>
          </cell>
        </row>
        <row r="4692">
          <cell r="C4692" t="str">
            <v>Sao Joao da Varjota</v>
          </cell>
        </row>
        <row r="4693">
          <cell r="C4693" t="str">
            <v>Sao Joao d'Alianca</v>
          </cell>
        </row>
        <row r="4694">
          <cell r="C4694" t="str">
            <v>Sao Joao das Duas Pontes</v>
          </cell>
        </row>
        <row r="4695">
          <cell r="C4695" t="str">
            <v>Sao Joao das Missoes</v>
          </cell>
        </row>
        <row r="4696">
          <cell r="C4696" t="str">
            <v>Sao Joao de Iracema</v>
          </cell>
        </row>
        <row r="4697">
          <cell r="C4697" t="str">
            <v>Sao Joao de Meriti</v>
          </cell>
        </row>
        <row r="4698">
          <cell r="C4698" t="str">
            <v>Sao Joao de Pirabas</v>
          </cell>
        </row>
        <row r="4699">
          <cell r="C4699" t="str">
            <v>Sao Joao del Rei</v>
          </cell>
        </row>
        <row r="4700">
          <cell r="C4700" t="str">
            <v>Sao Joao do Araguaia</v>
          </cell>
        </row>
        <row r="4701">
          <cell r="C4701" t="str">
            <v>Sao Joao do Arraial</v>
          </cell>
        </row>
        <row r="4702">
          <cell r="C4702" t="str">
            <v>Sao Joao do Caiua</v>
          </cell>
        </row>
        <row r="4703">
          <cell r="C4703" t="str">
            <v>Sao Joao do Cariri</v>
          </cell>
        </row>
        <row r="4704">
          <cell r="C4704" t="str">
            <v>Sao Joao do Caru</v>
          </cell>
        </row>
        <row r="4705">
          <cell r="C4705" t="str">
            <v>Sao Joao do Itaperiu</v>
          </cell>
        </row>
        <row r="4706">
          <cell r="C4706" t="str">
            <v>Sao Joao do Ivai</v>
          </cell>
        </row>
        <row r="4707">
          <cell r="C4707" t="str">
            <v>Sao Joao do Jaguaribe</v>
          </cell>
        </row>
        <row r="4708">
          <cell r="C4708" t="str">
            <v>Sao Joao do Manhuacu</v>
          </cell>
        </row>
        <row r="4709">
          <cell r="C4709" t="str">
            <v>Sao Joao do Manteninha</v>
          </cell>
        </row>
        <row r="4710">
          <cell r="C4710" t="str">
            <v>Sao Joao do Oeste</v>
          </cell>
        </row>
        <row r="4711">
          <cell r="C4711" t="str">
            <v>Sao Joao do Oriente</v>
          </cell>
        </row>
        <row r="4712">
          <cell r="C4712" t="str">
            <v>Sao Joao do Pacui</v>
          </cell>
        </row>
        <row r="4713">
          <cell r="C4713" t="str">
            <v>Sao Joao do Paraiso</v>
          </cell>
        </row>
        <row r="4714">
          <cell r="C4714" t="str">
            <v>Sao Joao do Paraiso</v>
          </cell>
        </row>
        <row r="4715">
          <cell r="C4715" t="str">
            <v>Sao Joao do Pau d'Alho</v>
          </cell>
        </row>
        <row r="4716">
          <cell r="C4716" t="str">
            <v>Sao Joao do Piaui</v>
          </cell>
        </row>
        <row r="4717">
          <cell r="C4717" t="str">
            <v>Sao Joao do Polesine</v>
          </cell>
        </row>
        <row r="4718">
          <cell r="C4718" t="str">
            <v>Sao Joao do Rio do Peixe</v>
          </cell>
        </row>
        <row r="4719">
          <cell r="C4719" t="str">
            <v>Sao Joao do Sabugi</v>
          </cell>
        </row>
        <row r="4720">
          <cell r="C4720" t="str">
            <v>Sao Joao do Soter</v>
          </cell>
        </row>
        <row r="4721">
          <cell r="C4721" t="str">
            <v>Sao Joao do Sul</v>
          </cell>
        </row>
        <row r="4722">
          <cell r="C4722" t="str">
            <v>Sao Joao do Tigre</v>
          </cell>
        </row>
        <row r="4723">
          <cell r="C4723" t="str">
            <v>Sao Joao do Triunfo</v>
          </cell>
        </row>
        <row r="4724">
          <cell r="C4724" t="str">
            <v>Sao Joao dos Patos</v>
          </cell>
        </row>
        <row r="4725">
          <cell r="C4725" t="str">
            <v>Sao Joao Evangelista</v>
          </cell>
        </row>
        <row r="4726">
          <cell r="C4726" t="str">
            <v>Sao Joao Nepomuceno</v>
          </cell>
        </row>
        <row r="4727">
          <cell r="C4727" t="str">
            <v>Sao Joaquim</v>
          </cell>
        </row>
        <row r="4728">
          <cell r="C4728" t="str">
            <v>Sao Joaquim da Barra</v>
          </cell>
        </row>
        <row r="4729">
          <cell r="C4729" t="str">
            <v>Sao Joaquim de Bicas</v>
          </cell>
        </row>
        <row r="4730">
          <cell r="C4730" t="str">
            <v>Sao Joaquim do Monte</v>
          </cell>
        </row>
        <row r="4731">
          <cell r="C4731" t="str">
            <v>Sao Jorge</v>
          </cell>
        </row>
        <row r="4732">
          <cell r="C4732" t="str">
            <v>Sao Jorge do Ivai</v>
          </cell>
        </row>
        <row r="4733">
          <cell r="C4733" t="str">
            <v>Sao Jorge do Patrocinio</v>
          </cell>
        </row>
        <row r="4734">
          <cell r="C4734" t="str">
            <v>Sao Jorge d'Oeste</v>
          </cell>
        </row>
        <row r="4735">
          <cell r="C4735" t="str">
            <v>Sao Jose</v>
          </cell>
        </row>
        <row r="4736">
          <cell r="C4736" t="str">
            <v>Sao Jose da Barra</v>
          </cell>
        </row>
        <row r="4737">
          <cell r="C4737" t="str">
            <v>Sao Jose da Bela Vista</v>
          </cell>
        </row>
        <row r="4738">
          <cell r="C4738" t="str">
            <v>Sao Jose da Boa Vista</v>
          </cell>
        </row>
        <row r="4739">
          <cell r="C4739" t="str">
            <v>Sao Jose da Coroa Grande</v>
          </cell>
        </row>
        <row r="4740">
          <cell r="C4740" t="str">
            <v>Sao Jose da Lagoa Tapada</v>
          </cell>
        </row>
        <row r="4741">
          <cell r="C4741" t="str">
            <v>Sao Jose da Laje</v>
          </cell>
        </row>
        <row r="4742">
          <cell r="C4742" t="str">
            <v>Sao Jose da Lapa</v>
          </cell>
        </row>
        <row r="4743">
          <cell r="C4743" t="str">
            <v>Sao Jose da Safira</v>
          </cell>
        </row>
        <row r="4744">
          <cell r="C4744" t="str">
            <v>Sao Jose da Tapera</v>
          </cell>
        </row>
        <row r="4745">
          <cell r="C4745" t="str">
            <v>Sao Jose da Varginha</v>
          </cell>
        </row>
        <row r="4746">
          <cell r="C4746" t="str">
            <v>Sao Jose da Vitoria</v>
          </cell>
        </row>
        <row r="4747">
          <cell r="C4747" t="str">
            <v>Sao Jose das Missoes</v>
          </cell>
        </row>
        <row r="4748">
          <cell r="C4748" t="str">
            <v>Sao Jose das Palmeiras</v>
          </cell>
        </row>
        <row r="4749">
          <cell r="C4749" t="str">
            <v>Sao Jose de Caiana</v>
          </cell>
        </row>
        <row r="4750">
          <cell r="C4750" t="str">
            <v>Sao Jose de Espinharas</v>
          </cell>
        </row>
        <row r="4751">
          <cell r="C4751" t="str">
            <v>Sao Jose de Mipibu</v>
          </cell>
        </row>
        <row r="4752">
          <cell r="C4752" t="str">
            <v>Sao Jose de Piranhas</v>
          </cell>
        </row>
        <row r="4753">
          <cell r="C4753" t="str">
            <v>Sao Jose de Princesa</v>
          </cell>
        </row>
        <row r="4754">
          <cell r="C4754" t="str">
            <v>Sao Jose de Ribamar</v>
          </cell>
        </row>
        <row r="4755">
          <cell r="C4755" t="str">
            <v>Sao Jose de Uba</v>
          </cell>
        </row>
        <row r="4756">
          <cell r="C4756" t="str">
            <v>Sao Jose do Alegre</v>
          </cell>
        </row>
        <row r="4757">
          <cell r="C4757" t="str">
            <v>Sao Jose do Barreiro</v>
          </cell>
        </row>
        <row r="4758">
          <cell r="C4758" t="str">
            <v>Sao Jose do Belmonte</v>
          </cell>
        </row>
        <row r="4759">
          <cell r="C4759" t="str">
            <v>Sao Jose do Bonfim</v>
          </cell>
        </row>
        <row r="4760">
          <cell r="C4760" t="str">
            <v>Sao Jose do Brejo do Cruz</v>
          </cell>
        </row>
        <row r="4761">
          <cell r="C4761" t="str">
            <v>Sao Jose do Calcado</v>
          </cell>
        </row>
        <row r="4762">
          <cell r="C4762" t="str">
            <v>Sao Jose do Campestre</v>
          </cell>
        </row>
        <row r="4763">
          <cell r="C4763" t="str">
            <v>Sao Jose do Cedro</v>
          </cell>
        </row>
        <row r="4764">
          <cell r="C4764" t="str">
            <v>Sao Jose do Cerrito</v>
          </cell>
        </row>
        <row r="4765">
          <cell r="C4765" t="str">
            <v>Sao Jose do Divino</v>
          </cell>
        </row>
        <row r="4766">
          <cell r="C4766" t="str">
            <v>Sao Jose do Divino</v>
          </cell>
        </row>
        <row r="4767">
          <cell r="C4767" t="str">
            <v>Sao Jose do Egito</v>
          </cell>
        </row>
        <row r="4768">
          <cell r="C4768" t="str">
            <v>Sao Jose do Goiabal</v>
          </cell>
        </row>
        <row r="4769">
          <cell r="C4769" t="str">
            <v>Sao Jose do Herval</v>
          </cell>
        </row>
        <row r="4770">
          <cell r="C4770" t="str">
            <v>Sao Jose do Hortencio</v>
          </cell>
        </row>
        <row r="4771">
          <cell r="C4771" t="str">
            <v>Sao Jose do Inhacora</v>
          </cell>
        </row>
        <row r="4772">
          <cell r="C4772" t="str">
            <v>Sao Jose do Jacuipe</v>
          </cell>
        </row>
        <row r="4773">
          <cell r="C4773" t="str">
            <v>Sao Jose do Jacuri</v>
          </cell>
        </row>
        <row r="4774">
          <cell r="C4774" t="str">
            <v>Sao Jose do Mantimento</v>
          </cell>
        </row>
        <row r="4775">
          <cell r="C4775" t="str">
            <v>Sao Jose do Norte</v>
          </cell>
        </row>
        <row r="4776">
          <cell r="C4776" t="str">
            <v>Sao Jose do Ouro</v>
          </cell>
        </row>
        <row r="4777">
          <cell r="C4777" t="str">
            <v>Sao Jose do Peixe</v>
          </cell>
        </row>
        <row r="4778">
          <cell r="C4778" t="str">
            <v>Sao Jose do Piaui</v>
          </cell>
        </row>
        <row r="4779">
          <cell r="C4779" t="str">
            <v>Sao Jose do Povo</v>
          </cell>
        </row>
        <row r="4780">
          <cell r="C4780" t="str">
            <v>Sao Jose do Rio Claro</v>
          </cell>
        </row>
        <row r="4781">
          <cell r="C4781" t="str">
            <v>Sao Jose do Rio Pardo</v>
          </cell>
        </row>
        <row r="4782">
          <cell r="C4782" t="str">
            <v>Sao Jose do Rio Preto</v>
          </cell>
        </row>
        <row r="4783">
          <cell r="C4783" t="str">
            <v>Sao Jose do Sabugi</v>
          </cell>
        </row>
        <row r="4784">
          <cell r="C4784" t="str">
            <v>Sao Jose do Serido</v>
          </cell>
        </row>
        <row r="4785">
          <cell r="C4785" t="str">
            <v>Sao Jose do Sul</v>
          </cell>
        </row>
        <row r="4786">
          <cell r="C4786" t="str">
            <v>Sao Jose do Vale do Rio Preto</v>
          </cell>
        </row>
        <row r="4787">
          <cell r="C4787" t="str">
            <v>Sao Jose do Xingu</v>
          </cell>
        </row>
        <row r="4788">
          <cell r="C4788" t="str">
            <v>Sao Jose dos Ausentes</v>
          </cell>
        </row>
        <row r="4789">
          <cell r="C4789" t="str">
            <v>Sao Jose dos Basilios</v>
          </cell>
        </row>
        <row r="4790">
          <cell r="C4790" t="str">
            <v>Sao Jose dos Campos</v>
          </cell>
        </row>
        <row r="4791">
          <cell r="C4791" t="str">
            <v>Sao Jose dos Cordeiros</v>
          </cell>
        </row>
        <row r="4792">
          <cell r="C4792" t="str">
            <v>Sao Jose dos Pinhais</v>
          </cell>
        </row>
        <row r="4793">
          <cell r="C4793" t="str">
            <v>Sao Jose dos Quatro Marcos</v>
          </cell>
        </row>
        <row r="4794">
          <cell r="C4794" t="str">
            <v>Sao Jose dos Ramos</v>
          </cell>
        </row>
        <row r="4795">
          <cell r="C4795" t="str">
            <v>Sao Juliao</v>
          </cell>
        </row>
        <row r="4796">
          <cell r="C4796" t="str">
            <v>Sao Leopoldo</v>
          </cell>
        </row>
        <row r="4797">
          <cell r="C4797" t="str">
            <v>Sao Lourenco</v>
          </cell>
        </row>
        <row r="4798">
          <cell r="C4798" t="str">
            <v>Sao Lourenco da Mata</v>
          </cell>
        </row>
        <row r="4799">
          <cell r="C4799" t="str">
            <v>Sao Lourenco da Serra</v>
          </cell>
        </row>
        <row r="4800">
          <cell r="C4800" t="str">
            <v>Sao Lourenco do Oeste</v>
          </cell>
        </row>
        <row r="4801">
          <cell r="C4801" t="str">
            <v>Sao Lourenco do Piaui</v>
          </cell>
        </row>
        <row r="4802">
          <cell r="C4802" t="str">
            <v>Sao Lourenco do Sul</v>
          </cell>
        </row>
        <row r="4803">
          <cell r="C4803" t="str">
            <v>Sao Ludgero</v>
          </cell>
        </row>
        <row r="4804">
          <cell r="C4804" t="str">
            <v>Sao Luis</v>
          </cell>
        </row>
        <row r="4805">
          <cell r="C4805" t="str">
            <v>Sao Luis de Montes Belos</v>
          </cell>
        </row>
        <row r="4806">
          <cell r="C4806" t="str">
            <v>Sao Luis do Curu</v>
          </cell>
        </row>
        <row r="4807">
          <cell r="C4807" t="str">
            <v>Sao Luis do Paraitinga</v>
          </cell>
        </row>
        <row r="4808">
          <cell r="C4808" t="str">
            <v>Sao Luis do Piaui</v>
          </cell>
        </row>
        <row r="4809">
          <cell r="C4809" t="str">
            <v>Sao Luis do Quitunde</v>
          </cell>
        </row>
        <row r="4810">
          <cell r="C4810" t="str">
            <v>Sao Luis Gonzaga do Maranhao</v>
          </cell>
        </row>
        <row r="4811">
          <cell r="C4811" t="str">
            <v>Sao Luiz</v>
          </cell>
        </row>
        <row r="4812">
          <cell r="C4812" t="str">
            <v>Sao Luiz do Norte</v>
          </cell>
        </row>
        <row r="4813">
          <cell r="C4813" t="str">
            <v>Sao Luiz Gonzaga</v>
          </cell>
        </row>
        <row r="4814">
          <cell r="C4814" t="str">
            <v>Sao Mamede</v>
          </cell>
        </row>
        <row r="4815">
          <cell r="C4815" t="str">
            <v>Sao Manoel do Parana</v>
          </cell>
        </row>
        <row r="4816">
          <cell r="C4816" t="str">
            <v>Sao Manuel</v>
          </cell>
        </row>
        <row r="4817">
          <cell r="C4817" t="str">
            <v>Sao Marcos</v>
          </cell>
        </row>
        <row r="4818">
          <cell r="C4818" t="str">
            <v>Sao Martinho</v>
          </cell>
        </row>
        <row r="4819">
          <cell r="C4819" t="str">
            <v>Sao Martinho</v>
          </cell>
        </row>
        <row r="4820">
          <cell r="C4820" t="str">
            <v>Sao Martinho da Serra</v>
          </cell>
        </row>
        <row r="4821">
          <cell r="C4821" t="str">
            <v>Sao Mateus</v>
          </cell>
        </row>
        <row r="4822">
          <cell r="C4822" t="str">
            <v>Sao Mateus do Maranhao</v>
          </cell>
        </row>
        <row r="4823">
          <cell r="C4823" t="str">
            <v>Sao Mateus do Sul</v>
          </cell>
        </row>
        <row r="4824">
          <cell r="C4824" t="str">
            <v>Sao Miguel</v>
          </cell>
        </row>
        <row r="4825">
          <cell r="C4825" t="str">
            <v>Sao Miguel Arcanjo</v>
          </cell>
        </row>
        <row r="4826">
          <cell r="C4826" t="str">
            <v>Sao Miguel da Baixa Grande</v>
          </cell>
        </row>
        <row r="4827">
          <cell r="C4827" t="str">
            <v>Sao Miguel da Boa Vista</v>
          </cell>
        </row>
        <row r="4828">
          <cell r="C4828" t="str">
            <v>Sao Miguel das Matas</v>
          </cell>
        </row>
        <row r="4829">
          <cell r="C4829" t="str">
            <v>Sao Miguel das Missoes</v>
          </cell>
        </row>
        <row r="4830">
          <cell r="C4830" t="str">
            <v>Sao Miguel de Taipu</v>
          </cell>
        </row>
        <row r="4831">
          <cell r="C4831" t="str">
            <v>Sao Miguel do Aleixo</v>
          </cell>
        </row>
        <row r="4832">
          <cell r="C4832" t="str">
            <v>Sao Miguel do Anta</v>
          </cell>
        </row>
        <row r="4833">
          <cell r="C4833" t="str">
            <v>Sao Miguel do Araguaia</v>
          </cell>
        </row>
        <row r="4834">
          <cell r="C4834" t="str">
            <v>Sao Miguel do Fidalgo</v>
          </cell>
        </row>
        <row r="4835">
          <cell r="C4835" t="str">
            <v>Sao Miguel do Gostoso</v>
          </cell>
        </row>
        <row r="4836">
          <cell r="C4836" t="str">
            <v>Sao Miguel do Guama</v>
          </cell>
        </row>
        <row r="4837">
          <cell r="C4837" t="str">
            <v>Sao Miguel do Guapore</v>
          </cell>
        </row>
        <row r="4838">
          <cell r="C4838" t="str">
            <v>Sao Miguel do Iguacu</v>
          </cell>
        </row>
        <row r="4839">
          <cell r="C4839" t="str">
            <v>Sao Miguel do Oeste</v>
          </cell>
        </row>
        <row r="4840">
          <cell r="C4840" t="str">
            <v>Sao Miguel do Passa Quatro</v>
          </cell>
        </row>
        <row r="4841">
          <cell r="C4841" t="str">
            <v>Sao Miguel do Tapuio</v>
          </cell>
        </row>
        <row r="4842">
          <cell r="C4842" t="str">
            <v>Sao Miguel do Tocantins</v>
          </cell>
        </row>
        <row r="4843">
          <cell r="C4843" t="str">
            <v>Sao Miguel dos Campos</v>
          </cell>
        </row>
        <row r="4844">
          <cell r="C4844" t="str">
            <v>Sao Miguel dos Milagres</v>
          </cell>
        </row>
        <row r="4845">
          <cell r="C4845" t="str">
            <v>Sao Nicolau</v>
          </cell>
        </row>
        <row r="4846">
          <cell r="C4846" t="str">
            <v>Sao Patricio</v>
          </cell>
        </row>
        <row r="4847">
          <cell r="C4847" t="str">
            <v>Sao Paulo</v>
          </cell>
        </row>
        <row r="4848">
          <cell r="C4848" t="str">
            <v>Sao Paulo das Missoes</v>
          </cell>
        </row>
        <row r="4849">
          <cell r="C4849" t="str">
            <v>Sao Paulo de Olivenca</v>
          </cell>
        </row>
        <row r="4850">
          <cell r="C4850" t="str">
            <v>Sao Paulo do Potengi</v>
          </cell>
        </row>
        <row r="4851">
          <cell r="C4851" t="str">
            <v>Sao Pedro</v>
          </cell>
        </row>
        <row r="4852">
          <cell r="C4852" t="str">
            <v>Sao Pedro</v>
          </cell>
        </row>
        <row r="4853">
          <cell r="C4853" t="str">
            <v>Sao Pedro da agua Branca</v>
          </cell>
        </row>
        <row r="4854">
          <cell r="C4854" t="str">
            <v>Sao Pedro da Aldeia</v>
          </cell>
        </row>
        <row r="4855">
          <cell r="C4855" t="str">
            <v>Sao Pedro da Cipa</v>
          </cell>
        </row>
        <row r="4856">
          <cell r="C4856" t="str">
            <v>Sao Pedro da Serra</v>
          </cell>
        </row>
        <row r="4857">
          <cell r="C4857" t="str">
            <v>Sao Pedro da Uniao</v>
          </cell>
        </row>
        <row r="4858">
          <cell r="C4858" t="str">
            <v>Sao Pedro das Missoes</v>
          </cell>
        </row>
        <row r="4859">
          <cell r="C4859" t="str">
            <v>Sao Pedro de Alcantara</v>
          </cell>
        </row>
        <row r="4860">
          <cell r="C4860" t="str">
            <v>Sao Pedro do Butia</v>
          </cell>
        </row>
        <row r="4861">
          <cell r="C4861" t="str">
            <v>Sao Pedro do Iguacu</v>
          </cell>
        </row>
        <row r="4862">
          <cell r="C4862" t="str">
            <v>Sao Pedro do Ivai</v>
          </cell>
        </row>
        <row r="4863">
          <cell r="C4863" t="str">
            <v>Sao Pedro do Parana</v>
          </cell>
        </row>
        <row r="4864">
          <cell r="C4864" t="str">
            <v>Sao Pedro do Piaui</v>
          </cell>
        </row>
        <row r="4865">
          <cell r="C4865" t="str">
            <v>Sao Pedro do Suacui</v>
          </cell>
        </row>
        <row r="4866">
          <cell r="C4866" t="str">
            <v>Sao Pedro do Sul</v>
          </cell>
        </row>
        <row r="4867">
          <cell r="C4867" t="str">
            <v>Sao Pedro do Turvo</v>
          </cell>
        </row>
        <row r="4868">
          <cell r="C4868" t="str">
            <v>Sao Pedro dos Crentes</v>
          </cell>
        </row>
        <row r="4869">
          <cell r="C4869" t="str">
            <v>Sao Pedro dos Ferros</v>
          </cell>
        </row>
        <row r="4870">
          <cell r="C4870" t="str">
            <v>Sao Rafael</v>
          </cell>
        </row>
        <row r="4871">
          <cell r="C4871" t="str">
            <v>Sao Raimundo das Mangabeiras</v>
          </cell>
        </row>
        <row r="4872">
          <cell r="C4872" t="str">
            <v>Sao Raimundo do Doca Bezerra</v>
          </cell>
        </row>
        <row r="4873">
          <cell r="C4873" t="str">
            <v>Sao Raimundo Nonato</v>
          </cell>
        </row>
        <row r="4874">
          <cell r="C4874" t="str">
            <v>Sao Roberto</v>
          </cell>
        </row>
        <row r="4875">
          <cell r="C4875" t="str">
            <v>Sao Romao</v>
          </cell>
        </row>
        <row r="4876">
          <cell r="C4876" t="str">
            <v>Sao Roque</v>
          </cell>
        </row>
        <row r="4877">
          <cell r="C4877" t="str">
            <v>Sao Roque de Minas</v>
          </cell>
        </row>
        <row r="4878">
          <cell r="C4878" t="str">
            <v>Sao Roque do Canaa</v>
          </cell>
        </row>
        <row r="4879">
          <cell r="C4879" t="str">
            <v>Sao Salvador do Tocantins</v>
          </cell>
        </row>
        <row r="4880">
          <cell r="C4880" t="str">
            <v>Sao Sebastiao</v>
          </cell>
        </row>
        <row r="4881">
          <cell r="C4881" t="str">
            <v>Sao Sebastiao</v>
          </cell>
        </row>
        <row r="4882">
          <cell r="C4882" t="str">
            <v>Sao Sebastiao da Amoreira</v>
          </cell>
        </row>
        <row r="4883">
          <cell r="C4883" t="str">
            <v>Sao Sebastiao da Bela Vista</v>
          </cell>
        </row>
        <row r="4884">
          <cell r="C4884" t="str">
            <v>Sao Sebastiao da Boa Vista</v>
          </cell>
        </row>
        <row r="4885">
          <cell r="C4885" t="str">
            <v>Sao Sebastiao da Grama</v>
          </cell>
        </row>
        <row r="4886">
          <cell r="C4886" t="str">
            <v>Sao Sebastiao da Vargem Alegre</v>
          </cell>
        </row>
        <row r="4887">
          <cell r="C4887" t="str">
            <v>Sao Sebastiao de Lagoa de Roca</v>
          </cell>
        </row>
        <row r="4888">
          <cell r="C4888" t="str">
            <v>Sao Sebastiao do Alto</v>
          </cell>
        </row>
        <row r="4889">
          <cell r="C4889" t="str">
            <v>Sao Sebastiao do Anta</v>
          </cell>
        </row>
        <row r="4890">
          <cell r="C4890" t="str">
            <v>Sao Sebastiao do Cai</v>
          </cell>
        </row>
        <row r="4891">
          <cell r="C4891" t="str">
            <v>Sao Sebastiao do Maranhao</v>
          </cell>
        </row>
        <row r="4892">
          <cell r="C4892" t="str">
            <v>Sao Sebastiao do Oeste</v>
          </cell>
        </row>
        <row r="4893">
          <cell r="C4893" t="str">
            <v>Sao Sebastiao do Paraiso</v>
          </cell>
        </row>
        <row r="4894">
          <cell r="C4894" t="str">
            <v>Sao Sebastiao do Passe</v>
          </cell>
        </row>
        <row r="4895">
          <cell r="C4895" t="str">
            <v>Sao Sebastiao do Rio Preto</v>
          </cell>
        </row>
        <row r="4896">
          <cell r="C4896" t="str">
            <v>Sao Sebastiao do Rio Verde</v>
          </cell>
        </row>
        <row r="4897">
          <cell r="C4897" t="str">
            <v>Sao Sebastiao do Tocantins</v>
          </cell>
        </row>
        <row r="4898">
          <cell r="C4898" t="str">
            <v>Sao Sebastiao do Uatuma</v>
          </cell>
        </row>
        <row r="4899">
          <cell r="C4899" t="str">
            <v>Sao Sebastiao do Umbuzeiro</v>
          </cell>
        </row>
        <row r="4900">
          <cell r="C4900" t="str">
            <v>Sao Sepe</v>
          </cell>
        </row>
        <row r="4901">
          <cell r="C4901" t="str">
            <v>Sao Simao</v>
          </cell>
        </row>
        <row r="4902">
          <cell r="C4902" t="str">
            <v>Sao Simao</v>
          </cell>
        </row>
        <row r="4903">
          <cell r="C4903" t="str">
            <v>Sao Thome das Letras</v>
          </cell>
        </row>
        <row r="4904">
          <cell r="C4904" t="str">
            <v>Sao Tiago</v>
          </cell>
        </row>
        <row r="4905">
          <cell r="C4905" t="str">
            <v>Sao Tomas de Aquino</v>
          </cell>
        </row>
        <row r="4906">
          <cell r="C4906" t="str">
            <v>Sao Tome</v>
          </cell>
        </row>
        <row r="4907">
          <cell r="C4907" t="str">
            <v>Sao Tome</v>
          </cell>
        </row>
        <row r="4908">
          <cell r="C4908" t="str">
            <v>Sao Valentim</v>
          </cell>
        </row>
        <row r="4909">
          <cell r="C4909" t="str">
            <v>Sao Valentim do Sul</v>
          </cell>
        </row>
        <row r="4910">
          <cell r="C4910" t="str">
            <v>Sao Valerio da Natividade</v>
          </cell>
        </row>
        <row r="4911">
          <cell r="C4911" t="str">
            <v>Sao Valerio do Sul</v>
          </cell>
        </row>
        <row r="4912">
          <cell r="C4912" t="str">
            <v>Sao Vendelino</v>
          </cell>
        </row>
        <row r="4913">
          <cell r="C4913" t="str">
            <v>Sao Vicente</v>
          </cell>
        </row>
        <row r="4914">
          <cell r="C4914" t="str">
            <v>Sao Vicente</v>
          </cell>
        </row>
        <row r="4915">
          <cell r="C4915" t="str">
            <v>Sao Vicente de Minas</v>
          </cell>
        </row>
        <row r="4916">
          <cell r="C4916" t="str">
            <v>Sao Vicente do Sul</v>
          </cell>
        </row>
        <row r="4917">
          <cell r="C4917" t="str">
            <v>Sao Vicente Ferrer</v>
          </cell>
        </row>
        <row r="4918">
          <cell r="C4918" t="str">
            <v>Sao Vicente Ferrer</v>
          </cell>
        </row>
        <row r="4919">
          <cell r="C4919" t="str">
            <v>Sape</v>
          </cell>
        </row>
        <row r="4920">
          <cell r="C4920" t="str">
            <v>Sapeacu</v>
          </cell>
        </row>
        <row r="4921">
          <cell r="C4921" t="str">
            <v>Sapezal</v>
          </cell>
        </row>
        <row r="4922">
          <cell r="C4922" t="str">
            <v>Sapiranga</v>
          </cell>
        </row>
        <row r="4923">
          <cell r="C4923" t="str">
            <v>Sapopema</v>
          </cell>
        </row>
        <row r="4924">
          <cell r="C4924" t="str">
            <v>Sapucaia</v>
          </cell>
        </row>
        <row r="4925">
          <cell r="C4925" t="str">
            <v>Sapucaia</v>
          </cell>
        </row>
        <row r="4926">
          <cell r="C4926" t="str">
            <v>Sapucaia do Sul</v>
          </cell>
        </row>
        <row r="4927">
          <cell r="C4927" t="str">
            <v>Sapucai-Mirim</v>
          </cell>
        </row>
        <row r="4928">
          <cell r="C4928" t="str">
            <v>Saquarema</v>
          </cell>
        </row>
        <row r="4929">
          <cell r="C4929" t="str">
            <v>Sarandi</v>
          </cell>
        </row>
        <row r="4930">
          <cell r="C4930" t="str">
            <v>Sarandi</v>
          </cell>
        </row>
        <row r="4931">
          <cell r="C4931" t="str">
            <v>Sarapui</v>
          </cell>
        </row>
        <row r="4932">
          <cell r="C4932" t="str">
            <v>Sardoa</v>
          </cell>
        </row>
        <row r="4933">
          <cell r="C4933" t="str">
            <v>Sarutaia</v>
          </cell>
        </row>
        <row r="4934">
          <cell r="C4934" t="str">
            <v>Sarzedo</v>
          </cell>
        </row>
        <row r="4935">
          <cell r="C4935" t="str">
            <v>Satiro Dias</v>
          </cell>
        </row>
        <row r="4936">
          <cell r="C4936" t="str">
            <v>Satuba</v>
          </cell>
        </row>
        <row r="4937">
          <cell r="C4937" t="str">
            <v>Satubinha</v>
          </cell>
        </row>
        <row r="4938">
          <cell r="C4938" t="str">
            <v>Saubara</v>
          </cell>
        </row>
        <row r="4939">
          <cell r="C4939" t="str">
            <v>Saudade do Iguacu</v>
          </cell>
        </row>
        <row r="4940">
          <cell r="C4940" t="str">
            <v>Saudades</v>
          </cell>
        </row>
        <row r="4941">
          <cell r="C4941" t="str">
            <v>Saude</v>
          </cell>
        </row>
        <row r="4942">
          <cell r="C4942" t="str">
            <v>Schroeder</v>
          </cell>
        </row>
        <row r="4943">
          <cell r="C4943" t="str">
            <v>Seabra</v>
          </cell>
        </row>
        <row r="4944">
          <cell r="C4944" t="str">
            <v>Seara</v>
          </cell>
        </row>
        <row r="4945">
          <cell r="C4945" t="str">
            <v>Sebastianopolis do Sul</v>
          </cell>
        </row>
        <row r="4946">
          <cell r="C4946" t="str">
            <v>Sebastiao Barros</v>
          </cell>
        </row>
        <row r="4947">
          <cell r="C4947" t="str">
            <v>Sebastiao Laranjeiras</v>
          </cell>
        </row>
        <row r="4948">
          <cell r="C4948" t="str">
            <v>Sebastiao Leal</v>
          </cell>
        </row>
        <row r="4949">
          <cell r="C4949" t="str">
            <v>Seberi</v>
          </cell>
        </row>
        <row r="4950">
          <cell r="C4950" t="str">
            <v>Sede Nova</v>
          </cell>
        </row>
        <row r="4951">
          <cell r="C4951" t="str">
            <v>Segredo</v>
          </cell>
        </row>
        <row r="4952">
          <cell r="C4952" t="str">
            <v>Selbach</v>
          </cell>
        </row>
        <row r="4953">
          <cell r="C4953" t="str">
            <v>Selviria</v>
          </cell>
        </row>
        <row r="4954">
          <cell r="C4954" t="str">
            <v>Sem-Peixe</v>
          </cell>
        </row>
        <row r="4955">
          <cell r="C4955" t="str">
            <v>Sena Madureira</v>
          </cell>
        </row>
        <row r="4956">
          <cell r="C4956" t="str">
            <v>Senador Alexandre Costa</v>
          </cell>
        </row>
        <row r="4957">
          <cell r="C4957" t="str">
            <v>Senador Amaral</v>
          </cell>
        </row>
        <row r="4958">
          <cell r="C4958" t="str">
            <v>Senador Canedo</v>
          </cell>
        </row>
        <row r="4959">
          <cell r="C4959" t="str">
            <v>Senador Cortes</v>
          </cell>
        </row>
        <row r="4960">
          <cell r="C4960" t="str">
            <v>Senador Eloi de Souza</v>
          </cell>
        </row>
        <row r="4961">
          <cell r="C4961" t="str">
            <v>Senador Firmino</v>
          </cell>
        </row>
        <row r="4962">
          <cell r="C4962" t="str">
            <v>Senador Georgino Avelino</v>
          </cell>
        </row>
        <row r="4963">
          <cell r="C4963" t="str">
            <v>Senador Guiomard</v>
          </cell>
        </row>
        <row r="4964">
          <cell r="C4964" t="str">
            <v>Senador Jose Bento</v>
          </cell>
        </row>
        <row r="4965">
          <cell r="C4965" t="str">
            <v>Senador Jose Porfirio</v>
          </cell>
        </row>
        <row r="4966">
          <cell r="C4966" t="str">
            <v>Senador La Rocque</v>
          </cell>
        </row>
        <row r="4967">
          <cell r="C4967" t="str">
            <v>Senador Modestino Goncalves</v>
          </cell>
        </row>
        <row r="4968">
          <cell r="C4968" t="str">
            <v>Senador Pompeu</v>
          </cell>
        </row>
        <row r="4969">
          <cell r="C4969" t="str">
            <v>Senador Rui Palmeira</v>
          </cell>
        </row>
        <row r="4970">
          <cell r="C4970" t="str">
            <v>Senador Sa</v>
          </cell>
        </row>
        <row r="4971">
          <cell r="C4971" t="str">
            <v>Senador Salgado Filho</v>
          </cell>
        </row>
        <row r="4972">
          <cell r="C4972" t="str">
            <v>Senges</v>
          </cell>
        </row>
        <row r="4973">
          <cell r="C4973" t="str">
            <v>Senhor do Bonfim</v>
          </cell>
        </row>
        <row r="4974">
          <cell r="C4974" t="str">
            <v>Senhora de Oliveira</v>
          </cell>
        </row>
        <row r="4975">
          <cell r="C4975" t="str">
            <v>Senhora do Porto</v>
          </cell>
        </row>
        <row r="4976">
          <cell r="C4976" t="str">
            <v>Senhora dos Remedios</v>
          </cell>
        </row>
        <row r="4977">
          <cell r="C4977" t="str">
            <v>Sentinela do Sul</v>
          </cell>
        </row>
        <row r="4978">
          <cell r="C4978" t="str">
            <v>Sento Se</v>
          </cell>
        </row>
        <row r="4979">
          <cell r="C4979" t="str">
            <v>Serafina Correa</v>
          </cell>
        </row>
        <row r="4980">
          <cell r="C4980" t="str">
            <v>Sericita</v>
          </cell>
        </row>
        <row r="4981">
          <cell r="C4981" t="str">
            <v>Serido</v>
          </cell>
        </row>
        <row r="4982">
          <cell r="C4982" t="str">
            <v>Seringueiras</v>
          </cell>
        </row>
        <row r="4983">
          <cell r="C4983" t="str">
            <v>Serio</v>
          </cell>
        </row>
        <row r="4984">
          <cell r="C4984" t="str">
            <v>Seritinga</v>
          </cell>
        </row>
        <row r="4985">
          <cell r="C4985" t="str">
            <v>Seropedica</v>
          </cell>
        </row>
        <row r="4986">
          <cell r="C4986" t="str">
            <v>Serra</v>
          </cell>
        </row>
        <row r="4987">
          <cell r="C4987" t="str">
            <v>Serra Alta</v>
          </cell>
        </row>
        <row r="4988">
          <cell r="C4988" t="str">
            <v>Serra Azul</v>
          </cell>
        </row>
        <row r="4989">
          <cell r="C4989" t="str">
            <v>Serra Azul de Minas</v>
          </cell>
        </row>
        <row r="4990">
          <cell r="C4990" t="str">
            <v>Serra Branca</v>
          </cell>
        </row>
        <row r="4991">
          <cell r="C4991" t="str">
            <v>Serra da Raiz</v>
          </cell>
        </row>
        <row r="4992">
          <cell r="C4992" t="str">
            <v>Serra da Saudade</v>
          </cell>
        </row>
        <row r="4993">
          <cell r="C4993" t="str">
            <v>Serra de Sao Bento</v>
          </cell>
        </row>
        <row r="4994">
          <cell r="C4994" t="str">
            <v>Serra do Mel</v>
          </cell>
        </row>
        <row r="4995">
          <cell r="C4995" t="str">
            <v>Serra do Navio</v>
          </cell>
        </row>
        <row r="4996">
          <cell r="C4996" t="str">
            <v>Serra do Ramalho</v>
          </cell>
        </row>
        <row r="4997">
          <cell r="C4997" t="str">
            <v>Serra do Salitre</v>
          </cell>
        </row>
        <row r="4998">
          <cell r="C4998" t="str">
            <v>Serra dos Aimores</v>
          </cell>
        </row>
        <row r="4999">
          <cell r="C4999" t="str">
            <v>Serra Dourada</v>
          </cell>
        </row>
        <row r="5000">
          <cell r="C5000" t="str">
            <v>Serra Grande</v>
          </cell>
        </row>
        <row r="5001">
          <cell r="C5001" t="str">
            <v>Serra Negra</v>
          </cell>
        </row>
        <row r="5002">
          <cell r="C5002" t="str">
            <v>Serra Negra do Norte</v>
          </cell>
        </row>
        <row r="5003">
          <cell r="C5003" t="str">
            <v>Serra Nova Dourada</v>
          </cell>
        </row>
        <row r="5004">
          <cell r="C5004" t="str">
            <v>Serra Preta</v>
          </cell>
        </row>
        <row r="5005">
          <cell r="C5005" t="str">
            <v>Serra Redonda</v>
          </cell>
        </row>
        <row r="5006">
          <cell r="C5006" t="str">
            <v>Serra Talhada</v>
          </cell>
        </row>
        <row r="5007">
          <cell r="C5007" t="str">
            <v>Serrana</v>
          </cell>
        </row>
        <row r="5008">
          <cell r="C5008" t="str">
            <v>Serrania</v>
          </cell>
        </row>
        <row r="5009">
          <cell r="C5009" t="str">
            <v>Serrano do Maranhao</v>
          </cell>
        </row>
        <row r="5010">
          <cell r="C5010" t="str">
            <v>Serranopolis</v>
          </cell>
        </row>
        <row r="5011">
          <cell r="C5011" t="str">
            <v>Serranopolis de Minas</v>
          </cell>
        </row>
        <row r="5012">
          <cell r="C5012" t="str">
            <v>Serranopolis do Iguacu</v>
          </cell>
        </row>
        <row r="5013">
          <cell r="C5013" t="str">
            <v>Serranos</v>
          </cell>
        </row>
        <row r="5014">
          <cell r="C5014" t="str">
            <v>Serraria</v>
          </cell>
        </row>
        <row r="5015">
          <cell r="C5015" t="str">
            <v>Serrinha</v>
          </cell>
        </row>
        <row r="5016">
          <cell r="C5016" t="str">
            <v>Serrinha</v>
          </cell>
        </row>
        <row r="5017">
          <cell r="C5017" t="str">
            <v>Serrinha dos Pintos</v>
          </cell>
        </row>
        <row r="5018">
          <cell r="C5018" t="str">
            <v>Serrita</v>
          </cell>
        </row>
        <row r="5019">
          <cell r="C5019" t="str">
            <v>Serro</v>
          </cell>
        </row>
        <row r="5020">
          <cell r="C5020" t="str">
            <v>Serrolandia</v>
          </cell>
        </row>
        <row r="5021">
          <cell r="C5021" t="str">
            <v>Sertaneja</v>
          </cell>
        </row>
        <row r="5022">
          <cell r="C5022" t="str">
            <v>Sertania</v>
          </cell>
        </row>
        <row r="5023">
          <cell r="C5023" t="str">
            <v>Sertanopolis</v>
          </cell>
        </row>
        <row r="5024">
          <cell r="C5024" t="str">
            <v>Sertao</v>
          </cell>
        </row>
        <row r="5025">
          <cell r="C5025" t="str">
            <v>Sertao Santana</v>
          </cell>
        </row>
        <row r="5026">
          <cell r="C5026" t="str">
            <v>Sertaozinho</v>
          </cell>
        </row>
        <row r="5027">
          <cell r="C5027" t="str">
            <v>Sertaozinho</v>
          </cell>
        </row>
        <row r="5028">
          <cell r="C5028" t="str">
            <v>Sete Barras</v>
          </cell>
        </row>
        <row r="5029">
          <cell r="C5029" t="str">
            <v>Sete de Setembro</v>
          </cell>
        </row>
        <row r="5030">
          <cell r="C5030" t="str">
            <v>Sete Lagoas</v>
          </cell>
        </row>
        <row r="5031">
          <cell r="C5031" t="str">
            <v>Sete Quedas</v>
          </cell>
        </row>
        <row r="5032">
          <cell r="C5032" t="str">
            <v>Setubinha</v>
          </cell>
        </row>
        <row r="5033">
          <cell r="C5033" t="str">
            <v>Severiano de Almeida</v>
          </cell>
        </row>
        <row r="5034">
          <cell r="C5034" t="str">
            <v>Severiano Melo</v>
          </cell>
        </row>
        <row r="5035">
          <cell r="C5035" t="str">
            <v>Severinia</v>
          </cell>
        </row>
        <row r="5036">
          <cell r="C5036" t="str">
            <v>Sideropolis</v>
          </cell>
        </row>
        <row r="5037">
          <cell r="C5037" t="str">
            <v>Sidrolandia</v>
          </cell>
        </row>
        <row r="5038">
          <cell r="C5038" t="str">
            <v>Sigefredo Pacheco</v>
          </cell>
        </row>
        <row r="5039">
          <cell r="C5039" t="str">
            <v>Silva Jardim</v>
          </cell>
        </row>
        <row r="5040">
          <cell r="C5040" t="str">
            <v>Silvania</v>
          </cell>
        </row>
        <row r="5041">
          <cell r="C5041" t="str">
            <v>Silvanopolis</v>
          </cell>
        </row>
        <row r="5042">
          <cell r="C5042" t="str">
            <v>Silveira Martins</v>
          </cell>
        </row>
        <row r="5043">
          <cell r="C5043" t="str">
            <v>Silveirania</v>
          </cell>
        </row>
        <row r="5044">
          <cell r="C5044" t="str">
            <v>Silveiras</v>
          </cell>
        </row>
        <row r="5045">
          <cell r="C5045" t="str">
            <v>Silves</v>
          </cell>
        </row>
        <row r="5046">
          <cell r="C5046" t="str">
            <v>Silvianopolis</v>
          </cell>
        </row>
        <row r="5047">
          <cell r="C5047" t="str">
            <v>Simao Dias</v>
          </cell>
        </row>
        <row r="5048">
          <cell r="C5048" t="str">
            <v>Simao Pereira</v>
          </cell>
        </row>
        <row r="5049">
          <cell r="C5049" t="str">
            <v>Simoes</v>
          </cell>
        </row>
        <row r="5050">
          <cell r="C5050" t="str">
            <v>Simoes Filho</v>
          </cell>
        </row>
        <row r="5051">
          <cell r="C5051" t="str">
            <v>Simolandia</v>
          </cell>
        </row>
        <row r="5052">
          <cell r="C5052" t="str">
            <v>Simonesia</v>
          </cell>
        </row>
        <row r="5053">
          <cell r="C5053" t="str">
            <v>Simplicio Mendes</v>
          </cell>
        </row>
        <row r="5054">
          <cell r="C5054" t="str">
            <v>Sinimbu</v>
          </cell>
        </row>
        <row r="5055">
          <cell r="C5055" t="str">
            <v>Sinop</v>
          </cell>
        </row>
        <row r="5056">
          <cell r="C5056" t="str">
            <v>Siqueira Campos</v>
          </cell>
        </row>
        <row r="5057">
          <cell r="C5057" t="str">
            <v>Sirinhaem</v>
          </cell>
        </row>
        <row r="5058">
          <cell r="C5058" t="str">
            <v>Siriri</v>
          </cell>
        </row>
        <row r="5059">
          <cell r="C5059" t="str">
            <v>Sitio d'Abadia</v>
          </cell>
        </row>
        <row r="5060">
          <cell r="C5060" t="str">
            <v>Sitio do Mato</v>
          </cell>
        </row>
        <row r="5061">
          <cell r="C5061" t="str">
            <v>Sitio do Quinto</v>
          </cell>
        </row>
        <row r="5062">
          <cell r="C5062" t="str">
            <v>Sitio Novo</v>
          </cell>
        </row>
        <row r="5063">
          <cell r="C5063" t="str">
            <v>Sitio Novo</v>
          </cell>
        </row>
        <row r="5064">
          <cell r="C5064" t="str">
            <v>Sitio Novo do Tocantins</v>
          </cell>
        </row>
        <row r="5065">
          <cell r="C5065" t="str">
            <v>Sobradinho</v>
          </cell>
        </row>
        <row r="5066">
          <cell r="C5066" t="str">
            <v>Sobradinho</v>
          </cell>
        </row>
        <row r="5067">
          <cell r="C5067" t="str">
            <v>Sobrado</v>
          </cell>
        </row>
        <row r="5068">
          <cell r="C5068" t="str">
            <v>Sobral</v>
          </cell>
        </row>
        <row r="5069">
          <cell r="C5069" t="str">
            <v>Sobralia</v>
          </cell>
        </row>
        <row r="5070">
          <cell r="C5070" t="str">
            <v>Socorro</v>
          </cell>
        </row>
        <row r="5071">
          <cell r="C5071" t="str">
            <v>Socorro do Piaui</v>
          </cell>
        </row>
        <row r="5072">
          <cell r="C5072" t="str">
            <v>Solanea</v>
          </cell>
        </row>
        <row r="5073">
          <cell r="C5073" t="str">
            <v>Soledade</v>
          </cell>
        </row>
        <row r="5074">
          <cell r="C5074" t="str">
            <v>Soledade</v>
          </cell>
        </row>
        <row r="5075">
          <cell r="C5075" t="str">
            <v>Soledade de Minas</v>
          </cell>
        </row>
        <row r="5076">
          <cell r="C5076" t="str">
            <v>Solidao</v>
          </cell>
        </row>
        <row r="5077">
          <cell r="C5077" t="str">
            <v>Solonopole</v>
          </cell>
        </row>
        <row r="5078">
          <cell r="C5078" t="str">
            <v>Sombrio</v>
          </cell>
        </row>
        <row r="5079">
          <cell r="C5079" t="str">
            <v>Sonora</v>
          </cell>
        </row>
        <row r="5080">
          <cell r="C5080" t="str">
            <v>Sooretama</v>
          </cell>
        </row>
        <row r="5081">
          <cell r="C5081" t="str">
            <v>Sorocaba</v>
          </cell>
        </row>
        <row r="5082">
          <cell r="C5082" t="str">
            <v>Sorriso</v>
          </cell>
        </row>
        <row r="5083">
          <cell r="C5083" t="str">
            <v>Sossego</v>
          </cell>
        </row>
        <row r="5084">
          <cell r="C5084" t="str">
            <v>Soure</v>
          </cell>
        </row>
        <row r="5085">
          <cell r="C5085" t="str">
            <v>Sousa</v>
          </cell>
        </row>
        <row r="5086">
          <cell r="C5086" t="str">
            <v>Souto Soares</v>
          </cell>
        </row>
        <row r="5087">
          <cell r="C5087" t="str">
            <v>Sucupira</v>
          </cell>
        </row>
        <row r="5088">
          <cell r="C5088" t="str">
            <v>Sucupira do Norte</v>
          </cell>
        </row>
        <row r="5089">
          <cell r="C5089" t="str">
            <v>Sucupira do Riachao</v>
          </cell>
        </row>
        <row r="5090">
          <cell r="C5090" t="str">
            <v>Sud Mennucci</v>
          </cell>
        </row>
        <row r="5091">
          <cell r="C5091" t="str">
            <v>Sul Brasil</v>
          </cell>
        </row>
        <row r="5092">
          <cell r="C5092" t="str">
            <v>Sulina</v>
          </cell>
        </row>
        <row r="5093">
          <cell r="C5093" t="str">
            <v>Sumare</v>
          </cell>
        </row>
        <row r="5094">
          <cell r="C5094" t="str">
            <v>Sume</v>
          </cell>
        </row>
        <row r="5095">
          <cell r="C5095" t="str">
            <v>Sumidouro</v>
          </cell>
        </row>
        <row r="5096">
          <cell r="C5096" t="str">
            <v>Surubim</v>
          </cell>
        </row>
        <row r="5097">
          <cell r="C5097" t="str">
            <v>Sussuapara</v>
          </cell>
        </row>
        <row r="5098">
          <cell r="C5098" t="str">
            <v>Suzanapolis</v>
          </cell>
        </row>
        <row r="5099">
          <cell r="C5099" t="str">
            <v>Suzano</v>
          </cell>
        </row>
        <row r="5100">
          <cell r="C5100" t="str">
            <v>Tabai</v>
          </cell>
        </row>
        <row r="5101">
          <cell r="C5101" t="str">
            <v>Tabapora</v>
          </cell>
        </row>
        <row r="5102">
          <cell r="C5102" t="str">
            <v>Tabapua</v>
          </cell>
        </row>
        <row r="5103">
          <cell r="C5103" t="str">
            <v>Tabatinga</v>
          </cell>
        </row>
        <row r="5104">
          <cell r="C5104" t="str">
            <v>Tabatinga</v>
          </cell>
        </row>
        <row r="5105">
          <cell r="C5105" t="str">
            <v>Tabira</v>
          </cell>
        </row>
        <row r="5106">
          <cell r="C5106" t="str">
            <v>Taboao da Serra</v>
          </cell>
        </row>
        <row r="5107">
          <cell r="C5107" t="str">
            <v>Tabocas do Brejo Velho</v>
          </cell>
        </row>
        <row r="5108">
          <cell r="C5108" t="str">
            <v>Taboleiro Grande</v>
          </cell>
        </row>
        <row r="5109">
          <cell r="C5109" t="str">
            <v>Tabuleiro</v>
          </cell>
        </row>
        <row r="5110">
          <cell r="C5110" t="str">
            <v>Tabuleiro do Norte</v>
          </cell>
        </row>
        <row r="5111">
          <cell r="C5111" t="str">
            <v>Tacaimbo</v>
          </cell>
        </row>
        <row r="5112">
          <cell r="C5112" t="str">
            <v>Tacaratu</v>
          </cell>
        </row>
        <row r="5113">
          <cell r="C5113" t="str">
            <v>Taciba</v>
          </cell>
        </row>
        <row r="5114">
          <cell r="C5114" t="str">
            <v>Tacuru</v>
          </cell>
        </row>
        <row r="5115">
          <cell r="C5115" t="str">
            <v>Taguai</v>
          </cell>
        </row>
        <row r="5116">
          <cell r="C5116" t="str">
            <v>Taguatinga</v>
          </cell>
        </row>
        <row r="5117">
          <cell r="C5117" t="str">
            <v>Taiacu</v>
          </cell>
        </row>
        <row r="5118">
          <cell r="C5118" t="str">
            <v>Tailandia</v>
          </cell>
        </row>
        <row r="5119">
          <cell r="C5119" t="str">
            <v>Taio</v>
          </cell>
        </row>
        <row r="5120">
          <cell r="C5120" t="str">
            <v>Taiobeiras</v>
          </cell>
        </row>
        <row r="5121">
          <cell r="C5121" t="str">
            <v>Taipas do Tocantins</v>
          </cell>
        </row>
        <row r="5122">
          <cell r="C5122" t="str">
            <v>Taipu</v>
          </cell>
        </row>
        <row r="5123">
          <cell r="C5123" t="str">
            <v>Taiuva</v>
          </cell>
        </row>
        <row r="5124">
          <cell r="C5124" t="str">
            <v>Talisma</v>
          </cell>
        </row>
        <row r="5125">
          <cell r="C5125" t="str">
            <v>Tamandare</v>
          </cell>
        </row>
        <row r="5126">
          <cell r="C5126" t="str">
            <v>Tamarana</v>
          </cell>
        </row>
        <row r="5127">
          <cell r="C5127" t="str">
            <v>Tambau</v>
          </cell>
        </row>
        <row r="5128">
          <cell r="C5128" t="str">
            <v>Tamboara</v>
          </cell>
        </row>
        <row r="5129">
          <cell r="C5129" t="str">
            <v>Tamboril</v>
          </cell>
        </row>
        <row r="5130">
          <cell r="C5130" t="str">
            <v>Tamboril do Piaui</v>
          </cell>
        </row>
        <row r="5131">
          <cell r="C5131" t="str">
            <v>Tanabi</v>
          </cell>
        </row>
        <row r="5132">
          <cell r="C5132" t="str">
            <v>Tangara</v>
          </cell>
        </row>
        <row r="5133">
          <cell r="C5133" t="str">
            <v>Tangara</v>
          </cell>
        </row>
        <row r="5134">
          <cell r="C5134" t="str">
            <v>Tangara da Serra</v>
          </cell>
        </row>
        <row r="5135">
          <cell r="C5135" t="str">
            <v>Tangua</v>
          </cell>
        </row>
        <row r="5136">
          <cell r="C5136" t="str">
            <v>Tanhacu</v>
          </cell>
        </row>
        <row r="5137">
          <cell r="C5137" t="str">
            <v>Tanque d'Arca</v>
          </cell>
        </row>
        <row r="5138">
          <cell r="C5138" t="str">
            <v>Tanque do Piaui</v>
          </cell>
        </row>
        <row r="5139">
          <cell r="C5139" t="str">
            <v>Tanque Novo</v>
          </cell>
        </row>
        <row r="5140">
          <cell r="C5140" t="str">
            <v>Tanquinho</v>
          </cell>
        </row>
        <row r="5141">
          <cell r="C5141" t="str">
            <v>Taparuba</v>
          </cell>
        </row>
        <row r="5142">
          <cell r="C5142" t="str">
            <v>Tapaua</v>
          </cell>
        </row>
        <row r="5143">
          <cell r="C5143" t="str">
            <v>Tapejara</v>
          </cell>
        </row>
        <row r="5144">
          <cell r="C5144" t="str">
            <v>Tapejara</v>
          </cell>
        </row>
        <row r="5145">
          <cell r="C5145" t="str">
            <v>Tapera</v>
          </cell>
        </row>
        <row r="5146">
          <cell r="C5146" t="str">
            <v>Taperoa</v>
          </cell>
        </row>
        <row r="5147">
          <cell r="C5147" t="str">
            <v>Taperoa</v>
          </cell>
        </row>
        <row r="5148">
          <cell r="C5148" t="str">
            <v>Tapes</v>
          </cell>
        </row>
        <row r="5149">
          <cell r="C5149" t="str">
            <v>Tapira</v>
          </cell>
        </row>
        <row r="5150">
          <cell r="C5150" t="str">
            <v>Tapira</v>
          </cell>
        </row>
        <row r="5151">
          <cell r="C5151" t="str">
            <v>Tapirai</v>
          </cell>
        </row>
        <row r="5152">
          <cell r="C5152" t="str">
            <v>Tapirai</v>
          </cell>
        </row>
        <row r="5153">
          <cell r="C5153" t="str">
            <v>Tapiramuta</v>
          </cell>
        </row>
        <row r="5154">
          <cell r="C5154" t="str">
            <v>Tapiratiba</v>
          </cell>
        </row>
        <row r="5155">
          <cell r="C5155" t="str">
            <v>Tapurah</v>
          </cell>
        </row>
        <row r="5156">
          <cell r="C5156" t="str">
            <v>Taquara</v>
          </cell>
        </row>
        <row r="5157">
          <cell r="C5157" t="str">
            <v>Taquaracu de Minas</v>
          </cell>
        </row>
        <row r="5158">
          <cell r="C5158" t="str">
            <v>Taquaral</v>
          </cell>
        </row>
        <row r="5159">
          <cell r="C5159" t="str">
            <v>Taquaral de Goias</v>
          </cell>
        </row>
        <row r="5160">
          <cell r="C5160" t="str">
            <v>Taquarana</v>
          </cell>
        </row>
        <row r="5161">
          <cell r="C5161" t="str">
            <v>Taquari</v>
          </cell>
        </row>
        <row r="5162">
          <cell r="C5162" t="str">
            <v>Taquaritinga</v>
          </cell>
        </row>
        <row r="5163">
          <cell r="C5163" t="str">
            <v>Taquaritinga do Norte</v>
          </cell>
        </row>
        <row r="5164">
          <cell r="C5164" t="str">
            <v>Taquarituba</v>
          </cell>
        </row>
        <row r="5165">
          <cell r="C5165" t="str">
            <v>Taquarivai</v>
          </cell>
        </row>
        <row r="5166">
          <cell r="C5166" t="str">
            <v>Taquarucu do Sul</v>
          </cell>
        </row>
        <row r="5167">
          <cell r="C5167" t="str">
            <v>Taquarussu</v>
          </cell>
        </row>
        <row r="5168">
          <cell r="C5168" t="str">
            <v>Tarabai</v>
          </cell>
        </row>
        <row r="5169">
          <cell r="C5169" t="str">
            <v>Tarauaca</v>
          </cell>
        </row>
        <row r="5170">
          <cell r="C5170" t="str">
            <v>Tarrafas</v>
          </cell>
        </row>
        <row r="5171">
          <cell r="C5171" t="str">
            <v>Tartarugalzinho</v>
          </cell>
        </row>
        <row r="5172">
          <cell r="C5172" t="str">
            <v>Taruma</v>
          </cell>
        </row>
        <row r="5173">
          <cell r="C5173" t="str">
            <v>Tarumirim</v>
          </cell>
        </row>
        <row r="5174">
          <cell r="C5174" t="str">
            <v>Tasso Fragoso</v>
          </cell>
        </row>
        <row r="5175">
          <cell r="C5175" t="str">
            <v>Tatui</v>
          </cell>
        </row>
        <row r="5176">
          <cell r="C5176" t="str">
            <v>Taua</v>
          </cell>
        </row>
        <row r="5177">
          <cell r="C5177" t="str">
            <v>Taubate</v>
          </cell>
        </row>
        <row r="5178">
          <cell r="C5178" t="str">
            <v>Tavares</v>
          </cell>
        </row>
        <row r="5179">
          <cell r="C5179" t="str">
            <v>Tavares</v>
          </cell>
        </row>
        <row r="5180">
          <cell r="C5180" t="str">
            <v>Tefe</v>
          </cell>
        </row>
        <row r="5181">
          <cell r="C5181" t="str">
            <v>Teixeira</v>
          </cell>
        </row>
        <row r="5182">
          <cell r="C5182" t="str">
            <v>Teixeira de Freitas</v>
          </cell>
        </row>
        <row r="5183">
          <cell r="C5183" t="str">
            <v>Teixeira Soares</v>
          </cell>
        </row>
        <row r="5184">
          <cell r="C5184" t="str">
            <v>Teixeiras</v>
          </cell>
        </row>
        <row r="5185">
          <cell r="C5185" t="str">
            <v>Teixeiropolis</v>
          </cell>
        </row>
        <row r="5186">
          <cell r="C5186" t="str">
            <v>Tejucuoca</v>
          </cell>
        </row>
        <row r="5187">
          <cell r="C5187" t="str">
            <v>Tejupa</v>
          </cell>
        </row>
        <row r="5188">
          <cell r="C5188" t="str">
            <v>Telemaco Borba</v>
          </cell>
        </row>
        <row r="5189">
          <cell r="C5189" t="str">
            <v>Telha</v>
          </cell>
        </row>
        <row r="5190">
          <cell r="C5190" t="str">
            <v>Tenente Ananias</v>
          </cell>
        </row>
        <row r="5191">
          <cell r="C5191" t="str">
            <v>Tenente Laurentino Cruz</v>
          </cell>
        </row>
        <row r="5192">
          <cell r="C5192" t="str">
            <v>Tenente Portela</v>
          </cell>
        </row>
        <row r="5193">
          <cell r="C5193" t="str">
            <v>Tenorio</v>
          </cell>
        </row>
        <row r="5194">
          <cell r="C5194" t="str">
            <v>Teodoro Sampaio</v>
          </cell>
        </row>
        <row r="5195">
          <cell r="C5195" t="str">
            <v>Teodoro Sampaio</v>
          </cell>
        </row>
        <row r="5196">
          <cell r="C5196" t="str">
            <v>Teofilandia</v>
          </cell>
        </row>
        <row r="5197">
          <cell r="C5197" t="str">
            <v>Teofilo Otoni</v>
          </cell>
        </row>
        <row r="5198">
          <cell r="C5198" t="str">
            <v>Teolandia</v>
          </cell>
        </row>
        <row r="5199">
          <cell r="C5199" t="str">
            <v>Teotonio Vilela</v>
          </cell>
        </row>
        <row r="5200">
          <cell r="C5200" t="str">
            <v>Terenos</v>
          </cell>
        </row>
        <row r="5201">
          <cell r="C5201" t="str">
            <v>Teresina</v>
          </cell>
        </row>
        <row r="5202">
          <cell r="C5202" t="str">
            <v>Teresina de Goias</v>
          </cell>
        </row>
        <row r="5203">
          <cell r="C5203" t="str">
            <v>Teresopolis</v>
          </cell>
        </row>
        <row r="5204">
          <cell r="C5204" t="str">
            <v>Terezinha</v>
          </cell>
        </row>
        <row r="5205">
          <cell r="C5205" t="str">
            <v>Terezopolis de Goias</v>
          </cell>
        </row>
        <row r="5206">
          <cell r="C5206" t="str">
            <v>Terra Alta</v>
          </cell>
        </row>
        <row r="5207">
          <cell r="C5207" t="str">
            <v>Terra Boa</v>
          </cell>
        </row>
        <row r="5208">
          <cell r="C5208" t="str">
            <v>Terra de Areia</v>
          </cell>
        </row>
        <row r="5209">
          <cell r="C5209" t="str">
            <v>Terra Nova</v>
          </cell>
        </row>
        <row r="5210">
          <cell r="C5210" t="str">
            <v>Terra Nova</v>
          </cell>
        </row>
        <row r="5211">
          <cell r="C5211" t="str">
            <v>Terra Nova do Norte</v>
          </cell>
        </row>
        <row r="5212">
          <cell r="C5212" t="str">
            <v>Terra Rica</v>
          </cell>
        </row>
        <row r="5213">
          <cell r="C5213" t="str">
            <v>Terra Roxa</v>
          </cell>
        </row>
        <row r="5214">
          <cell r="C5214" t="str">
            <v>Terra Roxa</v>
          </cell>
        </row>
        <row r="5215">
          <cell r="C5215" t="str">
            <v>Terra Santa</v>
          </cell>
        </row>
        <row r="5216">
          <cell r="C5216" t="str">
            <v>Tesouro</v>
          </cell>
        </row>
        <row r="5217">
          <cell r="C5217" t="str">
            <v>Teutonia</v>
          </cell>
        </row>
        <row r="5218">
          <cell r="C5218" t="str">
            <v>Theobroma</v>
          </cell>
        </row>
        <row r="5219">
          <cell r="C5219" t="str">
            <v>Tiangua</v>
          </cell>
        </row>
        <row r="5220">
          <cell r="C5220" t="str">
            <v>Tibagi</v>
          </cell>
        </row>
        <row r="5221">
          <cell r="C5221" t="str">
            <v>Tibau</v>
          </cell>
        </row>
        <row r="5222">
          <cell r="C5222" t="str">
            <v>Tibau do Sul</v>
          </cell>
        </row>
        <row r="5223">
          <cell r="C5223" t="str">
            <v>Tiete</v>
          </cell>
        </row>
        <row r="5224">
          <cell r="C5224" t="str">
            <v>Tigrinhos</v>
          </cell>
        </row>
        <row r="5225">
          <cell r="C5225" t="str">
            <v>Tijucas</v>
          </cell>
        </row>
        <row r="5226">
          <cell r="C5226" t="str">
            <v>Tijucas do Sul</v>
          </cell>
        </row>
        <row r="5227">
          <cell r="C5227" t="str">
            <v>Timbauba</v>
          </cell>
        </row>
        <row r="5228">
          <cell r="C5228" t="str">
            <v>Timbauba dos Batistas</v>
          </cell>
        </row>
        <row r="5229">
          <cell r="C5229" t="str">
            <v>Timbe do Sul</v>
          </cell>
        </row>
        <row r="5230">
          <cell r="C5230" t="str">
            <v>Timbiras</v>
          </cell>
        </row>
        <row r="5231">
          <cell r="C5231" t="str">
            <v>Timbo</v>
          </cell>
        </row>
        <row r="5232">
          <cell r="C5232" t="str">
            <v>Timbo Grande</v>
          </cell>
        </row>
        <row r="5233">
          <cell r="C5233" t="str">
            <v>Timburi</v>
          </cell>
        </row>
        <row r="5234">
          <cell r="C5234" t="str">
            <v>Timon</v>
          </cell>
        </row>
        <row r="5235">
          <cell r="C5235" t="str">
            <v>Timoteo</v>
          </cell>
        </row>
        <row r="5236">
          <cell r="C5236" t="str">
            <v>Tio Hugo</v>
          </cell>
        </row>
        <row r="5237">
          <cell r="C5237" t="str">
            <v>Tiradentes</v>
          </cell>
        </row>
        <row r="5238">
          <cell r="C5238" t="str">
            <v>Tiradentes do Sul</v>
          </cell>
        </row>
        <row r="5239">
          <cell r="C5239" t="str">
            <v>Tiros</v>
          </cell>
        </row>
        <row r="5240">
          <cell r="C5240" t="str">
            <v>Tobias Barreto</v>
          </cell>
        </row>
        <row r="5241">
          <cell r="C5241" t="str">
            <v>Tocantinia</v>
          </cell>
        </row>
        <row r="5242">
          <cell r="C5242" t="str">
            <v>Tocantinopolis</v>
          </cell>
        </row>
        <row r="5243">
          <cell r="C5243" t="str">
            <v>Tocantins</v>
          </cell>
        </row>
        <row r="5244">
          <cell r="C5244" t="str">
            <v>Tocos do Moji</v>
          </cell>
        </row>
        <row r="5245">
          <cell r="C5245" t="str">
            <v>Toledo</v>
          </cell>
        </row>
        <row r="5246">
          <cell r="C5246" t="str">
            <v>Toledo</v>
          </cell>
        </row>
        <row r="5247">
          <cell r="C5247" t="str">
            <v>Tomar do Geru</v>
          </cell>
        </row>
        <row r="5248">
          <cell r="C5248" t="str">
            <v>Tomazina</v>
          </cell>
        </row>
        <row r="5249">
          <cell r="C5249" t="str">
            <v>Tombos</v>
          </cell>
        </row>
        <row r="5250">
          <cell r="C5250" t="str">
            <v>Tome-Acu</v>
          </cell>
        </row>
        <row r="5251">
          <cell r="C5251" t="str">
            <v>Tonantins</v>
          </cell>
        </row>
        <row r="5252">
          <cell r="C5252" t="str">
            <v>Toritama</v>
          </cell>
        </row>
        <row r="5253">
          <cell r="C5253" t="str">
            <v>Torixoreu</v>
          </cell>
        </row>
        <row r="5254">
          <cell r="C5254" t="str">
            <v>Toropi</v>
          </cell>
        </row>
        <row r="5255">
          <cell r="C5255" t="str">
            <v>Torre de Pedra</v>
          </cell>
        </row>
        <row r="5256">
          <cell r="C5256" t="str">
            <v>Torres</v>
          </cell>
        </row>
        <row r="5257">
          <cell r="C5257" t="str">
            <v>Torrinha</v>
          </cell>
        </row>
        <row r="5258">
          <cell r="C5258" t="str">
            <v>Touros</v>
          </cell>
        </row>
        <row r="5259">
          <cell r="C5259" t="str">
            <v>Trabiju</v>
          </cell>
        </row>
        <row r="5260">
          <cell r="C5260" t="str">
            <v>Tracuateua</v>
          </cell>
        </row>
        <row r="5261">
          <cell r="C5261" t="str">
            <v>Tracunhaem</v>
          </cell>
        </row>
        <row r="5262">
          <cell r="C5262" t="str">
            <v>Traipu</v>
          </cell>
        </row>
        <row r="5263">
          <cell r="C5263" t="str">
            <v>Trairao</v>
          </cell>
        </row>
        <row r="5264">
          <cell r="C5264" t="str">
            <v>Trairi</v>
          </cell>
        </row>
        <row r="5265">
          <cell r="C5265" t="str">
            <v>Trajano de Morais</v>
          </cell>
        </row>
        <row r="5266">
          <cell r="C5266" t="str">
            <v>Tramandai</v>
          </cell>
        </row>
        <row r="5267">
          <cell r="C5267" t="str">
            <v>Travesseiro</v>
          </cell>
        </row>
        <row r="5268">
          <cell r="C5268" t="str">
            <v>Tremedal</v>
          </cell>
        </row>
        <row r="5269">
          <cell r="C5269" t="str">
            <v>Tremembe</v>
          </cell>
        </row>
        <row r="5270">
          <cell r="C5270" t="str">
            <v>Tres Arroios</v>
          </cell>
        </row>
        <row r="5271">
          <cell r="C5271" t="str">
            <v>Tres Barras</v>
          </cell>
        </row>
        <row r="5272">
          <cell r="C5272" t="str">
            <v>Tres Barras do Parana</v>
          </cell>
        </row>
        <row r="5273">
          <cell r="C5273" t="str">
            <v>Tres Cachoeiras</v>
          </cell>
        </row>
        <row r="5274">
          <cell r="C5274" t="str">
            <v>Tres Coracoes</v>
          </cell>
        </row>
        <row r="5275">
          <cell r="C5275" t="str">
            <v>Tres Coroas</v>
          </cell>
        </row>
        <row r="5276">
          <cell r="C5276" t="str">
            <v>Tres de Maio</v>
          </cell>
        </row>
        <row r="5277">
          <cell r="C5277" t="str">
            <v>Tres Forquilhas</v>
          </cell>
        </row>
        <row r="5278">
          <cell r="C5278" t="str">
            <v>Tres Fronteiras</v>
          </cell>
        </row>
        <row r="5279">
          <cell r="C5279" t="str">
            <v>Tres Lagoas</v>
          </cell>
        </row>
        <row r="5280">
          <cell r="C5280" t="str">
            <v>Tres Marias</v>
          </cell>
        </row>
        <row r="5281">
          <cell r="C5281" t="str">
            <v>Tres Palmeiras</v>
          </cell>
        </row>
        <row r="5282">
          <cell r="C5282" t="str">
            <v>Tres Passos</v>
          </cell>
        </row>
        <row r="5283">
          <cell r="C5283" t="str">
            <v>Tres Pontas</v>
          </cell>
        </row>
        <row r="5284">
          <cell r="C5284" t="str">
            <v>Tres Ranchos</v>
          </cell>
        </row>
        <row r="5285">
          <cell r="C5285" t="str">
            <v>Tres Rios</v>
          </cell>
        </row>
        <row r="5286">
          <cell r="C5286" t="str">
            <v>Treviso</v>
          </cell>
        </row>
        <row r="5287">
          <cell r="C5287" t="str">
            <v>Treze de Maio</v>
          </cell>
        </row>
        <row r="5288">
          <cell r="C5288" t="str">
            <v>Treze Tilias</v>
          </cell>
        </row>
        <row r="5289">
          <cell r="C5289" t="str">
            <v>Trindade</v>
          </cell>
        </row>
        <row r="5290">
          <cell r="C5290" t="str">
            <v>Trindade</v>
          </cell>
        </row>
        <row r="5291">
          <cell r="C5291" t="str">
            <v>Trindade do Sul</v>
          </cell>
        </row>
        <row r="5292">
          <cell r="C5292" t="str">
            <v>Triunfo</v>
          </cell>
        </row>
        <row r="5293">
          <cell r="C5293" t="str">
            <v>Triunfo</v>
          </cell>
        </row>
        <row r="5294">
          <cell r="C5294" t="str">
            <v>Triunfo</v>
          </cell>
        </row>
        <row r="5295">
          <cell r="C5295" t="str">
            <v>Triunfo Potiguar</v>
          </cell>
        </row>
        <row r="5296">
          <cell r="C5296" t="str">
            <v>Trizidela do Vale</v>
          </cell>
        </row>
        <row r="5297">
          <cell r="C5297" t="str">
            <v>Trombas</v>
          </cell>
        </row>
        <row r="5298">
          <cell r="C5298" t="str">
            <v>Trombudo Central</v>
          </cell>
        </row>
        <row r="5299">
          <cell r="C5299" t="str">
            <v>Tubarao</v>
          </cell>
        </row>
        <row r="5300">
          <cell r="C5300" t="str">
            <v>Tucano</v>
          </cell>
        </row>
        <row r="5301">
          <cell r="C5301" t="str">
            <v>Tucuma</v>
          </cell>
        </row>
        <row r="5302">
          <cell r="C5302" t="str">
            <v>Tucunduva</v>
          </cell>
        </row>
        <row r="5303">
          <cell r="C5303" t="str">
            <v>Tucurui</v>
          </cell>
        </row>
        <row r="5304">
          <cell r="C5304" t="str">
            <v>Tufilandia</v>
          </cell>
        </row>
        <row r="5305">
          <cell r="C5305" t="str">
            <v>Tuiuti</v>
          </cell>
        </row>
        <row r="5306">
          <cell r="C5306" t="str">
            <v>Tumiritinga</v>
          </cell>
        </row>
        <row r="5307">
          <cell r="C5307" t="str">
            <v>Tunapolis</v>
          </cell>
        </row>
        <row r="5308">
          <cell r="C5308" t="str">
            <v>Tunas</v>
          </cell>
        </row>
        <row r="5309">
          <cell r="C5309" t="str">
            <v>Tunas do Parana</v>
          </cell>
        </row>
        <row r="5310">
          <cell r="C5310" t="str">
            <v>Tuneiras do Oeste</v>
          </cell>
        </row>
        <row r="5311">
          <cell r="C5311" t="str">
            <v>Tuntum</v>
          </cell>
        </row>
        <row r="5312">
          <cell r="C5312" t="str">
            <v>Tupa</v>
          </cell>
        </row>
        <row r="5313">
          <cell r="C5313" t="str">
            <v>Tupaciguara</v>
          </cell>
        </row>
        <row r="5314">
          <cell r="C5314" t="str">
            <v>Tupanatinga</v>
          </cell>
        </row>
        <row r="5315">
          <cell r="C5315" t="str">
            <v>Tupanci do Sul</v>
          </cell>
        </row>
        <row r="5316">
          <cell r="C5316" t="str">
            <v>Tupancireta</v>
          </cell>
        </row>
        <row r="5317">
          <cell r="C5317" t="str">
            <v>Tupandi</v>
          </cell>
        </row>
        <row r="5318">
          <cell r="C5318" t="str">
            <v>Tuparendi</v>
          </cell>
        </row>
        <row r="5319">
          <cell r="C5319" t="str">
            <v>Tuparetama</v>
          </cell>
        </row>
        <row r="5320">
          <cell r="C5320" t="str">
            <v>Tupassi</v>
          </cell>
        </row>
        <row r="5321">
          <cell r="C5321" t="str">
            <v>Tupi Paulista</v>
          </cell>
        </row>
        <row r="5322">
          <cell r="C5322" t="str">
            <v>Tupirama</v>
          </cell>
        </row>
        <row r="5323">
          <cell r="C5323" t="str">
            <v>Tupiratins</v>
          </cell>
        </row>
        <row r="5324">
          <cell r="C5324" t="str">
            <v>Turiacu</v>
          </cell>
        </row>
        <row r="5325">
          <cell r="C5325" t="str">
            <v>Turilandia</v>
          </cell>
        </row>
        <row r="5326">
          <cell r="C5326" t="str">
            <v>Turiuba</v>
          </cell>
        </row>
        <row r="5327">
          <cell r="C5327" t="str">
            <v>Turmalina</v>
          </cell>
        </row>
        <row r="5328">
          <cell r="C5328" t="str">
            <v>Turmalina</v>
          </cell>
        </row>
        <row r="5329">
          <cell r="C5329" t="str">
            <v>Turucu</v>
          </cell>
        </row>
        <row r="5330">
          <cell r="C5330" t="str">
            <v>Tururu</v>
          </cell>
        </row>
        <row r="5331">
          <cell r="C5331" t="str">
            <v>Turvania</v>
          </cell>
        </row>
        <row r="5332">
          <cell r="C5332" t="str">
            <v>Turvelandia</v>
          </cell>
        </row>
        <row r="5333">
          <cell r="C5333" t="str">
            <v>Turvo</v>
          </cell>
        </row>
        <row r="5334">
          <cell r="C5334" t="str">
            <v>Turvo</v>
          </cell>
        </row>
        <row r="5335">
          <cell r="C5335" t="str">
            <v>Turvolandia</v>
          </cell>
        </row>
        <row r="5336">
          <cell r="C5336" t="str">
            <v>Tutoia</v>
          </cell>
        </row>
        <row r="5337">
          <cell r="C5337" t="str">
            <v>Uarini</v>
          </cell>
        </row>
        <row r="5338">
          <cell r="C5338" t="str">
            <v>Uaua</v>
          </cell>
        </row>
        <row r="5339">
          <cell r="C5339" t="str">
            <v>Uba</v>
          </cell>
        </row>
        <row r="5340">
          <cell r="C5340" t="str">
            <v>Ubai</v>
          </cell>
        </row>
        <row r="5341">
          <cell r="C5341" t="str">
            <v>Ubaira</v>
          </cell>
        </row>
        <row r="5342">
          <cell r="C5342" t="str">
            <v>Ubaitaba</v>
          </cell>
        </row>
        <row r="5343">
          <cell r="C5343" t="str">
            <v>Ubajara</v>
          </cell>
        </row>
        <row r="5344">
          <cell r="C5344" t="str">
            <v>Ubaporanga</v>
          </cell>
        </row>
        <row r="5345">
          <cell r="C5345" t="str">
            <v>Ubarana</v>
          </cell>
        </row>
        <row r="5346">
          <cell r="C5346" t="str">
            <v>Ubata</v>
          </cell>
        </row>
        <row r="5347">
          <cell r="C5347" t="str">
            <v>Ubatuba</v>
          </cell>
        </row>
        <row r="5348">
          <cell r="C5348" t="str">
            <v>Uberaba</v>
          </cell>
        </row>
        <row r="5349">
          <cell r="C5349" t="str">
            <v>Uberlandia</v>
          </cell>
        </row>
        <row r="5350">
          <cell r="C5350" t="str">
            <v>Ubirajara</v>
          </cell>
        </row>
        <row r="5351">
          <cell r="C5351" t="str">
            <v>Ubirata</v>
          </cell>
        </row>
        <row r="5352">
          <cell r="C5352" t="str">
            <v>Ubiretama</v>
          </cell>
        </row>
        <row r="5353">
          <cell r="C5353" t="str">
            <v>Uchoa</v>
          </cell>
        </row>
        <row r="5354">
          <cell r="C5354" t="str">
            <v>Uibai</v>
          </cell>
        </row>
        <row r="5355">
          <cell r="C5355" t="str">
            <v>Uiramuta</v>
          </cell>
        </row>
        <row r="5356">
          <cell r="C5356" t="str">
            <v>Uirapuru</v>
          </cell>
        </row>
        <row r="5357">
          <cell r="C5357" t="str">
            <v>Uirauna</v>
          </cell>
        </row>
        <row r="5358">
          <cell r="C5358" t="str">
            <v>Ulianopolis</v>
          </cell>
        </row>
        <row r="5359">
          <cell r="C5359" t="str">
            <v>Umari</v>
          </cell>
        </row>
        <row r="5360">
          <cell r="C5360" t="str">
            <v>Umarizal</v>
          </cell>
        </row>
        <row r="5361">
          <cell r="C5361" t="str">
            <v>Umbauba</v>
          </cell>
        </row>
        <row r="5362">
          <cell r="C5362" t="str">
            <v>Umburanas</v>
          </cell>
        </row>
        <row r="5363">
          <cell r="C5363" t="str">
            <v>Umburatiba</v>
          </cell>
        </row>
        <row r="5364">
          <cell r="C5364" t="str">
            <v>Umbuzeiro</v>
          </cell>
        </row>
        <row r="5365">
          <cell r="C5365" t="str">
            <v>Umirim</v>
          </cell>
        </row>
        <row r="5366">
          <cell r="C5366" t="str">
            <v>Umuarama</v>
          </cell>
        </row>
        <row r="5367">
          <cell r="C5367" t="str">
            <v>Una</v>
          </cell>
        </row>
        <row r="5368">
          <cell r="C5368" t="str">
            <v>Unai</v>
          </cell>
        </row>
        <row r="5369">
          <cell r="C5369" t="str">
            <v>Uniao</v>
          </cell>
        </row>
        <row r="5370">
          <cell r="C5370" t="str">
            <v>Uniao da Serra</v>
          </cell>
        </row>
        <row r="5371">
          <cell r="C5371" t="str">
            <v>Uniao da Vitoria</v>
          </cell>
        </row>
        <row r="5372">
          <cell r="C5372" t="str">
            <v>Uniao de Minas</v>
          </cell>
        </row>
        <row r="5373">
          <cell r="C5373" t="str">
            <v>Uniao do Oeste</v>
          </cell>
        </row>
        <row r="5374">
          <cell r="C5374" t="str">
            <v>Uniao do Sul</v>
          </cell>
        </row>
        <row r="5375">
          <cell r="C5375" t="str">
            <v>Uniao dos Palmares</v>
          </cell>
        </row>
        <row r="5376">
          <cell r="C5376" t="str">
            <v>Uniao Paulista</v>
          </cell>
        </row>
        <row r="5377">
          <cell r="C5377" t="str">
            <v>Uniflor</v>
          </cell>
        </row>
        <row r="5378">
          <cell r="C5378" t="str">
            <v>Unistalda</v>
          </cell>
        </row>
        <row r="5379">
          <cell r="C5379" t="str">
            <v>Upanema</v>
          </cell>
        </row>
        <row r="5380">
          <cell r="C5380" t="str">
            <v>Urai</v>
          </cell>
        </row>
        <row r="5381">
          <cell r="C5381" t="str">
            <v>Urandi</v>
          </cell>
        </row>
        <row r="5382">
          <cell r="C5382" t="str">
            <v>Urania</v>
          </cell>
        </row>
        <row r="5383">
          <cell r="C5383" t="str">
            <v>Urbano Santos</v>
          </cell>
        </row>
        <row r="5384">
          <cell r="C5384" t="str">
            <v>Uru</v>
          </cell>
        </row>
        <row r="5385">
          <cell r="C5385" t="str">
            <v>Uruacu</v>
          </cell>
        </row>
        <row r="5386">
          <cell r="C5386" t="str">
            <v>Uruana</v>
          </cell>
        </row>
        <row r="5387">
          <cell r="C5387" t="str">
            <v>Uruana de Minas</v>
          </cell>
        </row>
        <row r="5388">
          <cell r="C5388" t="str">
            <v>Uruara</v>
          </cell>
        </row>
        <row r="5389">
          <cell r="C5389" t="str">
            <v>Urubici</v>
          </cell>
        </row>
        <row r="5390">
          <cell r="C5390" t="str">
            <v>Uruburetama</v>
          </cell>
        </row>
        <row r="5391">
          <cell r="C5391" t="str">
            <v>Urucania</v>
          </cell>
        </row>
        <row r="5392">
          <cell r="C5392" t="str">
            <v>Urucara</v>
          </cell>
        </row>
        <row r="5393">
          <cell r="C5393" t="str">
            <v>Urucuca</v>
          </cell>
        </row>
        <row r="5394">
          <cell r="C5394" t="str">
            <v>Urucui</v>
          </cell>
        </row>
        <row r="5395">
          <cell r="C5395" t="str">
            <v>Urucuia</v>
          </cell>
        </row>
        <row r="5396">
          <cell r="C5396" t="str">
            <v>Urucurituba</v>
          </cell>
        </row>
        <row r="5397">
          <cell r="C5397" t="str">
            <v>Uruguaiana</v>
          </cell>
        </row>
        <row r="5398">
          <cell r="C5398" t="str">
            <v>Uruoca</v>
          </cell>
        </row>
        <row r="5399">
          <cell r="C5399" t="str">
            <v>Urupa</v>
          </cell>
        </row>
        <row r="5400">
          <cell r="C5400" t="str">
            <v>Urupema</v>
          </cell>
        </row>
        <row r="5401">
          <cell r="C5401" t="str">
            <v>Urupes</v>
          </cell>
        </row>
        <row r="5402">
          <cell r="C5402" t="str">
            <v>Urussanga</v>
          </cell>
        </row>
        <row r="5403">
          <cell r="C5403" t="str">
            <v>Urutai</v>
          </cell>
        </row>
        <row r="5404">
          <cell r="C5404" t="str">
            <v>Utinga</v>
          </cell>
        </row>
        <row r="5405">
          <cell r="C5405" t="str">
            <v>Vacaria</v>
          </cell>
        </row>
        <row r="5406">
          <cell r="C5406" t="str">
            <v>Vale de Sao Domingos</v>
          </cell>
        </row>
        <row r="5407">
          <cell r="C5407" t="str">
            <v>Vale do Anari</v>
          </cell>
        </row>
        <row r="5408">
          <cell r="C5408" t="str">
            <v>Vale do Paraiso</v>
          </cell>
        </row>
        <row r="5409">
          <cell r="C5409" t="str">
            <v>Vale do Sol</v>
          </cell>
        </row>
        <row r="5410">
          <cell r="C5410" t="str">
            <v>Vale Real</v>
          </cell>
        </row>
        <row r="5411">
          <cell r="C5411" t="str">
            <v>Vale Verde</v>
          </cell>
        </row>
        <row r="5412">
          <cell r="C5412" t="str">
            <v>Valenca</v>
          </cell>
        </row>
        <row r="5413">
          <cell r="C5413" t="str">
            <v>Valenca</v>
          </cell>
        </row>
        <row r="5414">
          <cell r="C5414" t="str">
            <v>Valenca do Piaui</v>
          </cell>
        </row>
        <row r="5415">
          <cell r="C5415" t="str">
            <v>Valente</v>
          </cell>
        </row>
        <row r="5416">
          <cell r="C5416" t="str">
            <v>Valentim Gentil</v>
          </cell>
        </row>
        <row r="5417">
          <cell r="C5417" t="str">
            <v>Valinhos</v>
          </cell>
        </row>
        <row r="5418">
          <cell r="C5418" t="str">
            <v>Valparaiso</v>
          </cell>
        </row>
        <row r="5419">
          <cell r="C5419" t="str">
            <v>Valparaiso de Goias</v>
          </cell>
        </row>
        <row r="5420">
          <cell r="C5420" t="str">
            <v>Vanini</v>
          </cell>
        </row>
        <row r="5421">
          <cell r="C5421" t="str">
            <v>Vargeao</v>
          </cell>
        </row>
        <row r="5422">
          <cell r="C5422" t="str">
            <v>Vargem</v>
          </cell>
        </row>
        <row r="5423">
          <cell r="C5423" t="str">
            <v>Vargem</v>
          </cell>
        </row>
        <row r="5424">
          <cell r="C5424" t="str">
            <v>Vargem Alegre</v>
          </cell>
        </row>
        <row r="5425">
          <cell r="C5425" t="str">
            <v>Vargem Alta</v>
          </cell>
        </row>
        <row r="5426">
          <cell r="C5426" t="str">
            <v>Vargem Bonita</v>
          </cell>
        </row>
        <row r="5427">
          <cell r="C5427" t="str">
            <v>Vargem Bonita</v>
          </cell>
        </row>
        <row r="5428">
          <cell r="C5428" t="str">
            <v>Vargem Grande</v>
          </cell>
        </row>
        <row r="5429">
          <cell r="C5429" t="str">
            <v>Vargem Grande do Rio Pardo</v>
          </cell>
        </row>
        <row r="5430">
          <cell r="C5430" t="str">
            <v>Vargem Grande do Sul</v>
          </cell>
        </row>
        <row r="5431">
          <cell r="C5431" t="str">
            <v>Vargem Grande Paulista</v>
          </cell>
        </row>
        <row r="5432">
          <cell r="C5432" t="str">
            <v>Varginha</v>
          </cell>
        </row>
        <row r="5433">
          <cell r="C5433" t="str">
            <v>Varjao</v>
          </cell>
        </row>
        <row r="5434">
          <cell r="C5434" t="str">
            <v>Varjao de Minas</v>
          </cell>
        </row>
        <row r="5435">
          <cell r="C5435" t="str">
            <v>Varjota</v>
          </cell>
        </row>
        <row r="5436">
          <cell r="C5436" t="str">
            <v>Varre-Sai</v>
          </cell>
        </row>
        <row r="5437">
          <cell r="C5437" t="str">
            <v>Varzea</v>
          </cell>
        </row>
        <row r="5438">
          <cell r="C5438" t="str">
            <v>Varzea</v>
          </cell>
        </row>
        <row r="5439">
          <cell r="C5439" t="str">
            <v>Varzea Alegre</v>
          </cell>
        </row>
        <row r="5440">
          <cell r="C5440" t="str">
            <v>Varzea Branca</v>
          </cell>
        </row>
        <row r="5441">
          <cell r="C5441" t="str">
            <v>Varzea da Palma</v>
          </cell>
        </row>
        <row r="5442">
          <cell r="C5442" t="str">
            <v>Varzea da Roca</v>
          </cell>
        </row>
        <row r="5443">
          <cell r="C5443" t="str">
            <v>Varzea do Poco</v>
          </cell>
        </row>
        <row r="5444">
          <cell r="C5444" t="str">
            <v>Varzea Grande</v>
          </cell>
        </row>
        <row r="5445">
          <cell r="C5445" t="str">
            <v>Varzea Grande</v>
          </cell>
        </row>
        <row r="5446">
          <cell r="C5446" t="str">
            <v>Varzea Nova</v>
          </cell>
        </row>
        <row r="5447">
          <cell r="C5447" t="str">
            <v>Varzea Paulista</v>
          </cell>
        </row>
        <row r="5448">
          <cell r="C5448" t="str">
            <v>Varzedo</v>
          </cell>
        </row>
        <row r="5449">
          <cell r="C5449" t="str">
            <v>Varzelandia</v>
          </cell>
        </row>
        <row r="5450">
          <cell r="C5450" t="str">
            <v>Vassouras</v>
          </cell>
        </row>
        <row r="5451">
          <cell r="C5451" t="str">
            <v>Vazante</v>
          </cell>
        </row>
        <row r="5452">
          <cell r="C5452" t="str">
            <v>Venancio Aires</v>
          </cell>
        </row>
        <row r="5453">
          <cell r="C5453" t="str">
            <v>Venda Nova do Imigrante</v>
          </cell>
        </row>
        <row r="5454">
          <cell r="C5454" t="str">
            <v>Venha-Ver</v>
          </cell>
        </row>
        <row r="5455">
          <cell r="C5455" t="str">
            <v>Ventania</v>
          </cell>
        </row>
        <row r="5456">
          <cell r="C5456" t="str">
            <v>Venturosa</v>
          </cell>
        </row>
        <row r="5457">
          <cell r="C5457" t="str">
            <v>Vera</v>
          </cell>
        </row>
        <row r="5458">
          <cell r="C5458" t="str">
            <v>Vera Cruz</v>
          </cell>
        </row>
        <row r="5459">
          <cell r="C5459" t="str">
            <v>Vera Cruz</v>
          </cell>
        </row>
        <row r="5460">
          <cell r="C5460" t="str">
            <v>Vera Cruz</v>
          </cell>
        </row>
        <row r="5461">
          <cell r="C5461" t="str">
            <v>Vera Cruz</v>
          </cell>
        </row>
        <row r="5462">
          <cell r="C5462" t="str">
            <v>Vera Cruz do Oeste</v>
          </cell>
        </row>
        <row r="5463">
          <cell r="C5463" t="str">
            <v>Vera Mendes</v>
          </cell>
        </row>
        <row r="5464">
          <cell r="C5464" t="str">
            <v>Veranopolis</v>
          </cell>
        </row>
        <row r="5465">
          <cell r="C5465" t="str">
            <v>Verdejante</v>
          </cell>
        </row>
        <row r="5466">
          <cell r="C5466" t="str">
            <v>Verdelandia</v>
          </cell>
        </row>
        <row r="5467">
          <cell r="C5467" t="str">
            <v>Vere</v>
          </cell>
        </row>
        <row r="5468">
          <cell r="C5468" t="str">
            <v>Vereda</v>
          </cell>
        </row>
        <row r="5469">
          <cell r="C5469" t="str">
            <v>Veredinha</v>
          </cell>
        </row>
        <row r="5470">
          <cell r="C5470" t="str">
            <v>Verissimo</v>
          </cell>
        </row>
        <row r="5471">
          <cell r="C5471" t="str">
            <v>Vermelho Novo</v>
          </cell>
        </row>
        <row r="5472">
          <cell r="C5472" t="str">
            <v>Vertente do Lerio</v>
          </cell>
        </row>
        <row r="5473">
          <cell r="C5473" t="str">
            <v>Vertentes</v>
          </cell>
        </row>
        <row r="5474">
          <cell r="C5474" t="str">
            <v>Vespasiano</v>
          </cell>
        </row>
        <row r="5475">
          <cell r="C5475" t="str">
            <v>Vespasiano Correa</v>
          </cell>
        </row>
        <row r="5476">
          <cell r="C5476" t="str">
            <v>Viadutos</v>
          </cell>
        </row>
        <row r="5477">
          <cell r="C5477" t="str">
            <v>Viamao</v>
          </cell>
        </row>
        <row r="5478">
          <cell r="C5478" t="str">
            <v>Viana</v>
          </cell>
        </row>
        <row r="5479">
          <cell r="C5479" t="str">
            <v>Viana</v>
          </cell>
        </row>
        <row r="5480">
          <cell r="C5480" t="str">
            <v>Vianopolis</v>
          </cell>
        </row>
        <row r="5481">
          <cell r="C5481" t="str">
            <v>Vicencia</v>
          </cell>
        </row>
        <row r="5482">
          <cell r="C5482" t="str">
            <v>Vicente Dutra</v>
          </cell>
        </row>
        <row r="5483">
          <cell r="C5483" t="str">
            <v>Vicentina</v>
          </cell>
        </row>
        <row r="5484">
          <cell r="C5484" t="str">
            <v>Vicentinopolis</v>
          </cell>
        </row>
        <row r="5485">
          <cell r="C5485" t="str">
            <v>Vicosa</v>
          </cell>
        </row>
        <row r="5486">
          <cell r="C5486" t="str">
            <v>Vicosa</v>
          </cell>
        </row>
        <row r="5487">
          <cell r="C5487" t="str">
            <v>Vicosa</v>
          </cell>
        </row>
        <row r="5488">
          <cell r="C5488" t="str">
            <v>Vicosa do Ceara</v>
          </cell>
        </row>
        <row r="5489">
          <cell r="C5489" t="str">
            <v>Victor Graeff</v>
          </cell>
        </row>
        <row r="5490">
          <cell r="C5490" t="str">
            <v>Vidal Ramos</v>
          </cell>
        </row>
        <row r="5491">
          <cell r="C5491" t="str">
            <v>Videira</v>
          </cell>
        </row>
        <row r="5492">
          <cell r="C5492" t="str">
            <v>Vieiras</v>
          </cell>
        </row>
        <row r="5493">
          <cell r="C5493" t="str">
            <v>Vieiropolis</v>
          </cell>
        </row>
        <row r="5494">
          <cell r="C5494" t="str">
            <v>Vigia</v>
          </cell>
        </row>
        <row r="5495">
          <cell r="C5495" t="str">
            <v>Vila Alta</v>
          </cell>
        </row>
        <row r="5496">
          <cell r="C5496" t="str">
            <v>Vila Bela da Santissima Trindade</v>
          </cell>
        </row>
        <row r="5497">
          <cell r="C5497" t="str">
            <v>Vila Boa</v>
          </cell>
        </row>
        <row r="5498">
          <cell r="C5498" t="str">
            <v>Vila Flor</v>
          </cell>
        </row>
        <row r="5499">
          <cell r="C5499" t="str">
            <v>Vila Flores</v>
          </cell>
        </row>
        <row r="5500">
          <cell r="C5500" t="str">
            <v>Vila Langaro</v>
          </cell>
        </row>
        <row r="5501">
          <cell r="C5501" t="str">
            <v>Vila Maria</v>
          </cell>
        </row>
        <row r="5502">
          <cell r="C5502" t="str">
            <v>Vila Nova do Piaui</v>
          </cell>
        </row>
        <row r="5503">
          <cell r="C5503" t="str">
            <v>Vila Nova do Sul</v>
          </cell>
        </row>
        <row r="5504">
          <cell r="C5504" t="str">
            <v>Vila Nova dos Martirios</v>
          </cell>
        </row>
        <row r="5505">
          <cell r="C5505" t="str">
            <v>Vila Pavao</v>
          </cell>
        </row>
        <row r="5506">
          <cell r="C5506" t="str">
            <v>Vila Propicio</v>
          </cell>
        </row>
        <row r="5507">
          <cell r="C5507" t="str">
            <v>Vila Rica</v>
          </cell>
        </row>
        <row r="5508">
          <cell r="C5508" t="str">
            <v>Vila Valerio</v>
          </cell>
        </row>
        <row r="5509">
          <cell r="C5509" t="str">
            <v>Vila Velha</v>
          </cell>
        </row>
        <row r="5510">
          <cell r="C5510" t="str">
            <v>Vilhena</v>
          </cell>
        </row>
        <row r="5511">
          <cell r="C5511" t="str">
            <v>Vinhedo</v>
          </cell>
        </row>
        <row r="5512">
          <cell r="C5512" t="str">
            <v>Viradouro</v>
          </cell>
        </row>
        <row r="5513">
          <cell r="C5513" t="str">
            <v>Virgem da Lapa</v>
          </cell>
        </row>
        <row r="5514">
          <cell r="C5514" t="str">
            <v>Virginia</v>
          </cell>
        </row>
        <row r="5515">
          <cell r="C5515" t="str">
            <v>Virginopolis</v>
          </cell>
        </row>
        <row r="5516">
          <cell r="C5516" t="str">
            <v>Virgolandia</v>
          </cell>
        </row>
        <row r="5517">
          <cell r="C5517" t="str">
            <v>Virmond</v>
          </cell>
        </row>
        <row r="5518">
          <cell r="C5518" t="str">
            <v>Visconde do Rio Branco</v>
          </cell>
        </row>
        <row r="5519">
          <cell r="C5519" t="str">
            <v>Viseu</v>
          </cell>
        </row>
        <row r="5520">
          <cell r="C5520" t="str">
            <v>Vista Alegre</v>
          </cell>
        </row>
        <row r="5521">
          <cell r="C5521" t="str">
            <v>Vista Alegre do Alto</v>
          </cell>
        </row>
        <row r="5522">
          <cell r="C5522" t="str">
            <v>Vista Alegre do Prata</v>
          </cell>
        </row>
        <row r="5523">
          <cell r="C5523" t="str">
            <v>Vista Gaucha</v>
          </cell>
        </row>
        <row r="5524">
          <cell r="C5524" t="str">
            <v>Vista Serrana</v>
          </cell>
        </row>
        <row r="5525">
          <cell r="C5525" t="str">
            <v>Vitor Meireles</v>
          </cell>
        </row>
        <row r="5526">
          <cell r="C5526" t="str">
            <v>Vitoria</v>
          </cell>
        </row>
        <row r="5527">
          <cell r="C5527" t="str">
            <v>Vitoria Brasil</v>
          </cell>
        </row>
        <row r="5528">
          <cell r="C5528" t="str">
            <v>Vitoria da Conquista</v>
          </cell>
        </row>
        <row r="5529">
          <cell r="C5529" t="str">
            <v>Vitoria das Missoes</v>
          </cell>
        </row>
        <row r="5530">
          <cell r="C5530" t="str">
            <v>Vitoria de Santo Antao</v>
          </cell>
        </row>
        <row r="5531">
          <cell r="C5531" t="str">
            <v>Vitoria do Jari</v>
          </cell>
        </row>
        <row r="5532">
          <cell r="C5532" t="str">
            <v>Vitoria do Mearim</v>
          </cell>
        </row>
        <row r="5533">
          <cell r="C5533" t="str">
            <v>Vitoria do Xingu</v>
          </cell>
        </row>
        <row r="5534">
          <cell r="C5534" t="str">
            <v>Vitorino</v>
          </cell>
        </row>
        <row r="5535">
          <cell r="C5535" t="str">
            <v>Vitorino Freire</v>
          </cell>
        </row>
        <row r="5536">
          <cell r="C5536" t="str">
            <v>Volta Grande</v>
          </cell>
        </row>
        <row r="5537">
          <cell r="C5537" t="str">
            <v>Volta Redonda</v>
          </cell>
        </row>
        <row r="5538">
          <cell r="C5538" t="str">
            <v>Votorantim</v>
          </cell>
        </row>
        <row r="5539">
          <cell r="C5539" t="str">
            <v>Votuporanga</v>
          </cell>
        </row>
        <row r="5540">
          <cell r="C5540" t="str">
            <v>Wagner</v>
          </cell>
        </row>
        <row r="5541">
          <cell r="C5541" t="str">
            <v>Wall Ferraz</v>
          </cell>
        </row>
        <row r="5542">
          <cell r="C5542" t="str">
            <v>Wanderlandia</v>
          </cell>
        </row>
        <row r="5543">
          <cell r="C5543" t="str">
            <v>Wanderley</v>
          </cell>
        </row>
        <row r="5544">
          <cell r="C5544" t="str">
            <v>Wenceslau Braz</v>
          </cell>
        </row>
        <row r="5545">
          <cell r="C5545" t="str">
            <v>Wenceslau Braz</v>
          </cell>
        </row>
        <row r="5546">
          <cell r="C5546" t="str">
            <v>Wenceslau Guimaraes</v>
          </cell>
        </row>
        <row r="5547">
          <cell r="C5547" t="str">
            <v>Westfalia</v>
          </cell>
        </row>
        <row r="5548">
          <cell r="C5548" t="str">
            <v>Witmarsum</v>
          </cell>
        </row>
        <row r="5549">
          <cell r="C5549" t="str">
            <v>Xambioa</v>
          </cell>
        </row>
        <row r="5550">
          <cell r="C5550" t="str">
            <v>Xambre</v>
          </cell>
        </row>
        <row r="5551">
          <cell r="C5551" t="str">
            <v>Xangri-la</v>
          </cell>
        </row>
        <row r="5552">
          <cell r="C5552" t="str">
            <v>Xanxere</v>
          </cell>
        </row>
        <row r="5553">
          <cell r="C5553" t="str">
            <v>Xapuri</v>
          </cell>
        </row>
        <row r="5554">
          <cell r="C5554" t="str">
            <v>Xavantina</v>
          </cell>
        </row>
        <row r="5555">
          <cell r="C5555" t="str">
            <v>Xaxim</v>
          </cell>
        </row>
        <row r="5556">
          <cell r="C5556" t="str">
            <v>Xexeu</v>
          </cell>
        </row>
        <row r="5557">
          <cell r="C5557" t="str">
            <v>Xinguara</v>
          </cell>
        </row>
        <row r="5558">
          <cell r="C5558" t="str">
            <v>Xique-Xique</v>
          </cell>
        </row>
        <row r="5559">
          <cell r="C5559" t="str">
            <v>Zabele</v>
          </cell>
        </row>
        <row r="5560">
          <cell r="C5560" t="str">
            <v>Zacarias</v>
          </cell>
        </row>
        <row r="5561">
          <cell r="C5561" t="str">
            <v>Ze Doca</v>
          </cell>
        </row>
        <row r="5562">
          <cell r="C5562" t="str">
            <v>Zortea</v>
          </cell>
        </row>
        <row r="5565">
          <cell r="B5565" t="str">
            <v>LEVE</v>
          </cell>
        </row>
        <row r="5566">
          <cell r="B5566" t="str">
            <v>TOCO</v>
          </cell>
        </row>
        <row r="5567">
          <cell r="B5567" t="str">
            <v>TRUCK</v>
          </cell>
        </row>
        <row r="5568">
          <cell r="B5568" t="str">
            <v>CARRETA</v>
          </cell>
        </row>
        <row r="5572">
          <cell r="B5572" t="str">
            <v>FRACIONADO</v>
          </cell>
        </row>
        <row r="5573">
          <cell r="B5573" t="str">
            <v>LOTAÇÃO</v>
          </cell>
        </row>
        <row r="5574">
          <cell r="B5574" t="str">
            <v>DEVOLUÇÃO / INTERDITADOS</v>
          </cell>
        </row>
        <row r="5578">
          <cell r="B5578" t="str">
            <v>GOLDEN</v>
          </cell>
        </row>
        <row r="5579">
          <cell r="B5579" t="str">
            <v>RODOPLAN</v>
          </cell>
        </row>
        <row r="5580">
          <cell r="B5580" t="str">
            <v>CARAMORI</v>
          </cell>
        </row>
        <row r="5581">
          <cell r="B5581" t="str">
            <v>OUTROS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DADES"/>
      <sheetName val="DADOS2"/>
      <sheetName val="TAB PREC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 Profit (1)"/>
      <sheetName val="Fixed Expenses (2)"/>
      <sheetName val="Headcount (3)"/>
      <sheetName val="Fixed Expenses (3)"/>
    </sheetNames>
    <sheetDataSet>
      <sheetData sheetId="0">
        <row r="1">
          <cell r="E1" t="str">
            <v>Operating Profit POLOMEX</v>
          </cell>
        </row>
        <row r="2">
          <cell r="E2" t="str">
            <v>of December 2004</v>
          </cell>
        </row>
      </sheetData>
      <sheetData sheetId="1"/>
      <sheetData sheetId="2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if_Produto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%20AGENDA%20%20FOLLOW%20U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ados "/>
      <sheetName val="ResultadosUSD"/>
      <sheetName val="MBMex"/>
      <sheetName val="CV Nafta"/>
      <sheetName val="PC SECAM"/>
      <sheetName val="Resumen"/>
      <sheetName val="Gr Tot DM"/>
      <sheetName val="Gr SECAM DM"/>
      <sheetName val="Gr NAFTA USD"/>
    </sheetNames>
    <sheetDataSet>
      <sheetData sheetId="0" refreshError="1"/>
      <sheetData sheetId="1">
        <row r="1">
          <cell r="C1" t="str">
            <v>Monthly Development of MBMex Resultlines 1999</v>
          </cell>
        </row>
        <row r="4">
          <cell r="D4" t="str">
            <v>In Mio US Dollar</v>
          </cell>
          <cell r="E4" t="str">
            <v>Contribution Margin</v>
          </cell>
          <cell r="F4" t="str">
            <v>Operating Result</v>
          </cell>
          <cell r="G4" t="str">
            <v>Operating Profit</v>
          </cell>
          <cell r="H4" t="str">
            <v xml:space="preserve">Net Income </v>
          </cell>
        </row>
        <row r="6">
          <cell r="D6" t="str">
            <v>Jan</v>
          </cell>
          <cell r="E6">
            <v>2.3062093814861764</v>
          </cell>
          <cell r="F6">
            <v>-0.30297737537764208</v>
          </cell>
          <cell r="G6">
            <v>-0.24443845547846851</v>
          </cell>
          <cell r="H6">
            <v>-2.5287284951354776</v>
          </cell>
        </row>
        <row r="7">
          <cell r="D7" t="str">
            <v>Feb</v>
          </cell>
          <cell r="E7">
            <v>4.8010313338476509</v>
          </cell>
          <cell r="F7">
            <v>0.83422302906788892</v>
          </cell>
          <cell r="G7">
            <v>1.3656014114573076</v>
          </cell>
          <cell r="H7">
            <v>1.7399074054473946</v>
          </cell>
          <cell r="I7">
            <v>56.566418159999998</v>
          </cell>
          <cell r="J7">
            <v>51.781023910000002</v>
          </cell>
        </row>
        <row r="8">
          <cell r="B8" t="str">
            <v>Material Cost</v>
          </cell>
          <cell r="D8" t="str">
            <v>Mar</v>
          </cell>
          <cell r="E8">
            <v>4.8230631215919617</v>
          </cell>
          <cell r="F8">
            <v>0.75421382184123908</v>
          </cell>
          <cell r="G8">
            <v>1.5282265122826413</v>
          </cell>
          <cell r="H8">
            <v>2.5375537649463622</v>
          </cell>
          <cell r="I8">
            <v>-48.779026960000003</v>
          </cell>
          <cell r="J8">
            <v>-44.780384819999995</v>
          </cell>
        </row>
        <row r="9">
          <cell r="C9" t="str">
            <v>Direct Material</v>
          </cell>
          <cell r="D9" t="str">
            <v>Apr</v>
          </cell>
          <cell r="E9">
            <v>4.6386659446744387</v>
          </cell>
          <cell r="F9">
            <v>0.67613546246937672</v>
          </cell>
          <cell r="G9">
            <v>1.6364193081048968</v>
          </cell>
          <cell r="H9">
            <v>1.3861116197874614</v>
          </cell>
          <cell r="I9">
            <v>-40.148763000000002</v>
          </cell>
          <cell r="J9">
            <v>-37.943694819999997</v>
          </cell>
        </row>
        <row r="10">
          <cell r="C10" t="str">
            <v>Cost of Supply</v>
          </cell>
          <cell r="D10" t="str">
            <v>May</v>
          </cell>
          <cell r="E10">
            <v>6.6007732286902456</v>
          </cell>
          <cell r="F10">
            <v>1.7595140903317643</v>
          </cell>
          <cell r="G10">
            <v>0.57712964390613575</v>
          </cell>
          <cell r="H10">
            <v>-0.26222203336528704</v>
          </cell>
          <cell r="I10">
            <v>-8.6302639600000006</v>
          </cell>
          <cell r="J10">
            <v>-6.8366899999999999</v>
          </cell>
        </row>
        <row r="11">
          <cell r="B11" t="str">
            <v>Other Direct Cost</v>
          </cell>
          <cell r="D11" t="str">
            <v>Jun</v>
          </cell>
          <cell r="E11">
            <v>6.3137502575523339</v>
          </cell>
          <cell r="F11">
            <v>1.1574209206906461</v>
          </cell>
          <cell r="G11">
            <v>0.85883551235360089</v>
          </cell>
          <cell r="H11">
            <v>-3.0752484586160858</v>
          </cell>
          <cell r="I11">
            <v>-1.4856462100000001</v>
          </cell>
          <cell r="J11">
            <v>-1.4220652</v>
          </cell>
        </row>
        <row r="12">
          <cell r="C12" t="str">
            <v>Direct Wages</v>
          </cell>
          <cell r="D12" t="str">
            <v>Jul</v>
          </cell>
          <cell r="E12">
            <v>6.121785845021174</v>
          </cell>
          <cell r="F12">
            <v>2.2826938964721197</v>
          </cell>
          <cell r="G12">
            <v>1.1328150566854194</v>
          </cell>
          <cell r="H12">
            <v>3.3562216445488249E-2</v>
          </cell>
          <cell r="I12">
            <v>-0.69638228999999996</v>
          </cell>
          <cell r="J12">
            <v>-0.56351993</v>
          </cell>
        </row>
        <row r="13">
          <cell r="C13" t="str">
            <v>Licence Fees</v>
          </cell>
          <cell r="D13" t="str">
            <v>Aug</v>
          </cell>
          <cell r="F13">
            <v>-0.62184977999999991</v>
          </cell>
          <cell r="G13">
            <v>-3.9873869999999999E-2</v>
          </cell>
          <cell r="H13">
            <v>-7.3077069999999994E-2</v>
          </cell>
          <cell r="I13">
            <v>-0.10356045</v>
          </cell>
          <cell r="J13">
            <v>-5.416236E-2</v>
          </cell>
        </row>
        <row r="14">
          <cell r="C14" t="str">
            <v>Direct Selling Expenses</v>
          </cell>
          <cell r="D14" t="str">
            <v>Sep</v>
          </cell>
          <cell r="F14">
            <v>-8.1920324799999999</v>
          </cell>
          <cell r="G14">
            <v>-0.54100599999999999</v>
          </cell>
          <cell r="H14">
            <v>-0.610398</v>
          </cell>
          <cell r="I14">
            <v>-0.68570346999999998</v>
          </cell>
          <cell r="J14">
            <v>-0.80438290999999995</v>
          </cell>
        </row>
        <row r="15">
          <cell r="B15" t="str">
            <v>Variable Overheads</v>
          </cell>
          <cell r="D15" t="str">
            <v>Oct</v>
          </cell>
          <cell r="F15">
            <v>-1.39043238</v>
          </cell>
          <cell r="G15">
            <v>-7.5889890000000002E-2</v>
          </cell>
          <cell r="H15">
            <v>-9.0686950000000002E-2</v>
          </cell>
          <cell r="I15">
            <v>-0.10863405</v>
          </cell>
          <cell r="J15">
            <v>-5.5974139999999999E-2</v>
          </cell>
        </row>
        <row r="16">
          <cell r="C16" t="str">
            <v>Variable Overheads Personnel</v>
          </cell>
          <cell r="D16" t="str">
            <v>Nov</v>
          </cell>
          <cell r="F16">
            <v>0</v>
          </cell>
        </row>
        <row r="17">
          <cell r="C17" t="str">
            <v>Other Variable Overheads</v>
          </cell>
          <cell r="D17" t="str">
            <v>Dec</v>
          </cell>
          <cell r="F17">
            <v>-1.39043238</v>
          </cell>
          <cell r="G17">
            <v>-7.5889890000000002E-2</v>
          </cell>
          <cell r="H17">
            <v>-9.0686950000000002E-2</v>
          </cell>
          <cell r="I17">
            <v>-0.10863405</v>
          </cell>
          <cell r="J17">
            <v>-5.5974139999999999E-2</v>
          </cell>
        </row>
        <row r="18">
          <cell r="D18" t="str">
            <v>ACUMULATED</v>
          </cell>
          <cell r="E18">
            <v>35.605279112863983</v>
          </cell>
          <cell r="F18">
            <v>7.1612238454953925</v>
          </cell>
          <cell r="G18">
            <v>6.8545889893115337</v>
          </cell>
          <cell r="H18">
            <v>-0.16906398049014354</v>
          </cell>
          <cell r="I18">
            <v>6.1931109399999942</v>
          </cell>
          <cell r="J18">
            <v>5.5225997500000066</v>
          </cell>
        </row>
        <row r="19">
          <cell r="B19" t="str">
            <v>Fixed Overheads</v>
          </cell>
          <cell r="F19">
            <v>-49.19421844</v>
          </cell>
          <cell r="G19">
            <v>-3.59519096</v>
          </cell>
          <cell r="H19">
            <v>-3.4423221399999999</v>
          </cell>
          <cell r="I19">
            <v>-5.2017064800000004</v>
          </cell>
          <cell r="J19">
            <v>-4.2589482000000007</v>
          </cell>
        </row>
        <row r="20">
          <cell r="C20" t="str">
            <v>Monthly Development</v>
          </cell>
          <cell r="F20">
            <v>-18.755398399999997</v>
          </cell>
          <cell r="G20" t="str">
            <v>ACUMULATED</v>
          </cell>
          <cell r="H20">
            <v>-1.79638985</v>
          </cell>
          <cell r="I20">
            <v>-2.09797476</v>
          </cell>
          <cell r="J20">
            <v>-2.5182905400000002</v>
          </cell>
        </row>
        <row r="21">
          <cell r="C21" t="str">
            <v>Other Fixed Overheads</v>
          </cell>
          <cell r="F21">
            <v>-30.438820040000003</v>
          </cell>
          <cell r="G21">
            <v>-1.8026903599999999</v>
          </cell>
          <cell r="H21">
            <v>-1.64593229</v>
          </cell>
          <cell r="I21">
            <v>-3.1037317199999999</v>
          </cell>
          <cell r="J21">
            <v>-1.7406576600000001</v>
          </cell>
        </row>
        <row r="22">
          <cell r="F22">
            <v>4.1138271300000149</v>
          </cell>
          <cell r="G22">
            <v>-0.38479871000000276</v>
          </cell>
          <cell r="H22">
            <v>1.2676372399999929</v>
          </cell>
          <cell r="I22">
            <v>0.99140445999999383</v>
          </cell>
          <cell r="J22">
            <v>1.2636515500000058</v>
          </cell>
        </row>
        <row r="23">
          <cell r="B23" t="str">
            <v>Other Result</v>
          </cell>
          <cell r="F23">
            <v>16.045258019999999</v>
          </cell>
          <cell r="G23">
            <v>4.7792589399999992</v>
          </cell>
          <cell r="H23">
            <v>3.4589566199999999</v>
          </cell>
          <cell r="I23">
            <v>3.1658637700000001</v>
          </cell>
          <cell r="J23">
            <v>-0.82484066999999994</v>
          </cell>
        </row>
        <row r="24">
          <cell r="C24" t="str">
            <v>Other Income</v>
          </cell>
          <cell r="F24">
            <v>16.408023669999999</v>
          </cell>
          <cell r="G24">
            <v>4.7792589399999992</v>
          </cell>
          <cell r="H24">
            <v>3.46669794</v>
          </cell>
          <cell r="I24">
            <v>3.1785036099999999</v>
          </cell>
          <cell r="J24">
            <v>-0.82503066999999997</v>
          </cell>
        </row>
        <row r="25">
          <cell r="D25" t="str">
            <v>Other income</v>
          </cell>
          <cell r="F25">
            <v>-4.0009763300000003</v>
          </cell>
          <cell r="G25">
            <v>-0.41359609000000003</v>
          </cell>
          <cell r="H25">
            <v>-9.8416030000000002E-2</v>
          </cell>
          <cell r="I25">
            <v>-0.5276092</v>
          </cell>
          <cell r="J25">
            <v>-0.54503230999999996</v>
          </cell>
        </row>
        <row r="26">
          <cell r="D26" t="str">
            <v>Monetary Result</v>
          </cell>
          <cell r="F26">
            <v>20.408999999999999</v>
          </cell>
          <cell r="G26">
            <v>5.1928550299999996</v>
          </cell>
          <cell r="H26">
            <v>3.5651139700000001</v>
          </cell>
          <cell r="I26">
            <v>3.70611281</v>
          </cell>
          <cell r="J26">
            <v>-0.27999836</v>
          </cell>
        </row>
        <row r="27">
          <cell r="C27" t="str">
            <v>Other Expenses</v>
          </cell>
          <cell r="F27">
            <v>-0.36276564999999988</v>
          </cell>
          <cell r="G27">
            <v>0</v>
          </cell>
          <cell r="H27">
            <v>-7.7413200000000003E-3</v>
          </cell>
          <cell r="I27">
            <v>-1.2639839999999999E-2</v>
          </cell>
          <cell r="J27">
            <v>1.9000000000000001E-4</v>
          </cell>
        </row>
        <row r="28">
          <cell r="B28" t="str">
            <v>Exchange Rate Result Operating</v>
          </cell>
          <cell r="F28">
            <v>-12.458854130000001</v>
          </cell>
          <cell r="G28">
            <v>-4.7638197900000003</v>
          </cell>
          <cell r="H28">
            <v>0.43908997999999999</v>
          </cell>
          <cell r="I28">
            <v>-2.50112011</v>
          </cell>
          <cell r="J28">
            <v>-0.85648042000000002</v>
          </cell>
        </row>
        <row r="29">
          <cell r="B29" t="str">
            <v>Valuation Measures</v>
          </cell>
          <cell r="F29">
            <v>-6.6704506199999987</v>
          </cell>
          <cell r="G29">
            <v>-8.6745489999999995E-2</v>
          </cell>
          <cell r="H29">
            <v>-5.6590689999999999E-2</v>
          </cell>
          <cell r="I29">
            <v>-0.15305949999999999</v>
          </cell>
          <cell r="J29">
            <v>-0.18293936999999999</v>
          </cell>
        </row>
        <row r="30">
          <cell r="C30" t="str">
            <v>Depreciation</v>
          </cell>
          <cell r="F30">
            <v>-3.3567409699999997</v>
          </cell>
          <cell r="G30">
            <v>-8.6745489999999995E-2</v>
          </cell>
          <cell r="H30">
            <v>-5.6590689999999999E-2</v>
          </cell>
          <cell r="I30">
            <v>-0.15305949999999999</v>
          </cell>
          <cell r="J30">
            <v>-0.18293936999999999</v>
          </cell>
        </row>
        <row r="31">
          <cell r="C31" t="str">
            <v>Valuation Measures</v>
          </cell>
          <cell r="F31">
            <v>-3.3137096499999998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D32" t="str">
            <v>Inventory Valuation</v>
          </cell>
          <cell r="F32">
            <v>0</v>
          </cell>
        </row>
        <row r="33">
          <cell r="D33" t="str">
            <v>Allowance for Bad Debts</v>
          </cell>
          <cell r="F33">
            <v>0</v>
          </cell>
        </row>
        <row r="34">
          <cell r="D34" t="str">
            <v>Reserves for Restructuring</v>
          </cell>
          <cell r="F34">
            <v>0</v>
          </cell>
        </row>
        <row r="35">
          <cell r="D35" t="str">
            <v>Other Reserves</v>
          </cell>
          <cell r="F35">
            <v>-3.3137096499999998</v>
          </cell>
        </row>
        <row r="36">
          <cell r="F36">
            <v>1.0297804000000141</v>
          </cell>
          <cell r="G36">
            <v>-0.4561050500000039</v>
          </cell>
          <cell r="H36">
            <v>5.1090931499999925</v>
          </cell>
          <cell r="I36">
            <v>1.5030886199999944</v>
          </cell>
          <cell r="J36">
            <v>-0.60060890999999406</v>
          </cell>
        </row>
        <row r="37">
          <cell r="B37" t="str">
            <v>Financial Result</v>
          </cell>
          <cell r="F37">
            <v>14.720572950000001</v>
          </cell>
          <cell r="G37">
            <v>5.2636865000000004</v>
          </cell>
          <cell r="H37">
            <v>-2.6349853599999999</v>
          </cell>
          <cell r="I37">
            <v>-6.8814275900000004</v>
          </cell>
          <cell r="J37">
            <v>-5.25744524</v>
          </cell>
        </row>
        <row r="38">
          <cell r="C38" t="str">
            <v>Result on Interest</v>
          </cell>
          <cell r="F38">
            <v>-6.6054822999999994</v>
          </cell>
          <cell r="G38">
            <v>-0.45683680999999998</v>
          </cell>
          <cell r="H38">
            <v>-0.21011151</v>
          </cell>
          <cell r="I38">
            <v>-0.1609265</v>
          </cell>
          <cell r="J38">
            <v>-0.31578513999999996</v>
          </cell>
        </row>
        <row r="39">
          <cell r="D39" t="str">
            <v>Interest Income</v>
          </cell>
          <cell r="F39">
            <v>2.49946029</v>
          </cell>
          <cell r="G39">
            <v>6.201135E-2</v>
          </cell>
          <cell r="H39">
            <v>0.13426124</v>
          </cell>
          <cell r="I39">
            <v>0.20334337</v>
          </cell>
          <cell r="J39">
            <v>2.7815340000000001E-2</v>
          </cell>
        </row>
        <row r="40">
          <cell r="D40" t="str">
            <v>Interest Expenses</v>
          </cell>
          <cell r="F40">
            <v>-9.1049425900000003</v>
          </cell>
          <cell r="G40">
            <v>-0.51884816</v>
          </cell>
          <cell r="H40">
            <v>-0.34437275000000001</v>
          </cell>
          <cell r="I40">
            <v>-0.36426987</v>
          </cell>
          <cell r="J40">
            <v>-0.34360047999999999</v>
          </cell>
        </row>
        <row r="41">
          <cell r="C41" t="str">
            <v>Other Financial Result</v>
          </cell>
          <cell r="F41">
            <v>21.326055250000003</v>
          </cell>
          <cell r="G41">
            <v>5.7205233099999999</v>
          </cell>
          <cell r="H41">
            <v>-2.42487385</v>
          </cell>
          <cell r="I41">
            <v>-6.72050109</v>
          </cell>
          <cell r="J41">
            <v>-4.9416601</v>
          </cell>
        </row>
        <row r="42">
          <cell r="B42" t="str">
            <v>Taxes</v>
          </cell>
          <cell r="F42">
            <v>-8.66574709</v>
          </cell>
          <cell r="G42">
            <v>-0.40882980000000002</v>
          </cell>
          <cell r="H42">
            <v>-0.40882980000000002</v>
          </cell>
          <cell r="I42">
            <v>-0.51020520000000003</v>
          </cell>
          <cell r="J42">
            <v>-0.71564260000000002</v>
          </cell>
        </row>
        <row r="49">
          <cell r="H49" t="str">
            <v xml:space="preserve">Passenger Cars (MBMex) </v>
          </cell>
          <cell r="I49">
            <v>5.4378190397928448</v>
          </cell>
          <cell r="J49">
            <v>5.1592426500929109</v>
          </cell>
          <cell r="K49">
            <v>5.0827653804216384</v>
          </cell>
          <cell r="L49">
            <v>5.0630578399078487</v>
          </cell>
          <cell r="M49">
            <v>4.9599993403690306</v>
          </cell>
          <cell r="N49">
            <v>5.0956788024045006</v>
          </cell>
          <cell r="O49">
            <v>0.1</v>
          </cell>
          <cell r="P49">
            <v>0.1</v>
          </cell>
          <cell r="Q49">
            <v>0.1</v>
          </cell>
        </row>
        <row r="50">
          <cell r="H50" t="str">
            <v>Operating Profit (Mio. USD)</v>
          </cell>
        </row>
        <row r="52">
          <cell r="H52" t="str">
            <v>Feb</v>
          </cell>
          <cell r="I52" t="str">
            <v>Mar</v>
          </cell>
          <cell r="J52" t="str">
            <v>Apr</v>
          </cell>
          <cell r="K52" t="str">
            <v>May</v>
          </cell>
          <cell r="L52" t="str">
            <v>Jun</v>
          </cell>
          <cell r="M52" t="str">
            <v>Jul</v>
          </cell>
          <cell r="N52" t="str">
            <v>Jul</v>
          </cell>
          <cell r="O52" t="str">
            <v>Jul</v>
          </cell>
          <cell r="P52" t="str">
            <v>Jul</v>
          </cell>
          <cell r="Q52" t="str">
            <v>Jul</v>
          </cell>
        </row>
        <row r="56">
          <cell r="H56">
            <v>7.9498489752040911</v>
          </cell>
          <cell r="I56">
            <v>10.402409080930893</v>
          </cell>
          <cell r="J56">
            <v>10.036555250811375</v>
          </cell>
          <cell r="K56">
            <v>5.4192122532547531</v>
          </cell>
          <cell r="L56">
            <v>5.9584023536553303</v>
          </cell>
          <cell r="M56">
            <v>1.4650213944301378</v>
          </cell>
          <cell r="N56">
            <v>0.19138561079238611</v>
          </cell>
          <cell r="O56">
            <v>0</v>
          </cell>
          <cell r="P56">
            <v>0</v>
          </cell>
          <cell r="Q56">
            <v>0</v>
          </cell>
        </row>
        <row r="57">
          <cell r="H57">
            <v>-6.8850637800358951</v>
          </cell>
          <cell r="I57">
            <v>-8.9703292079131511</v>
          </cell>
          <cell r="J57">
            <v>-8.6796430904821964</v>
          </cell>
          <cell r="K57">
            <v>-5.229319406003178</v>
          </cell>
          <cell r="L57">
            <v>-6.0183255383380319</v>
          </cell>
          <cell r="M57">
            <v>-1.4117760304941918</v>
          </cell>
          <cell r="N57">
            <v>-0.18921834703259247</v>
          </cell>
          <cell r="O57">
            <v>0</v>
          </cell>
          <cell r="P57">
            <v>0</v>
          </cell>
          <cell r="Q57">
            <v>0</v>
          </cell>
        </row>
        <row r="58">
          <cell r="H58">
            <v>-5.7234832419394248</v>
          </cell>
          <cell r="I58">
            <v>-7.3832473471808431</v>
          </cell>
          <cell r="J58">
            <v>-7.3545086737327008</v>
          </cell>
          <cell r="K58">
            <v>-5.229319406003178</v>
          </cell>
          <cell r="L58">
            <v>-6.0183255383380319</v>
          </cell>
          <cell r="M58">
            <v>-1.4117760304941918</v>
          </cell>
          <cell r="N58">
            <v>-0.18921834703259247</v>
          </cell>
          <cell r="O58">
            <v>0</v>
          </cell>
          <cell r="P58">
            <v>0</v>
          </cell>
          <cell r="Q58">
            <v>0</v>
          </cell>
        </row>
        <row r="59">
          <cell r="H59">
            <v>-1.1615805380964703</v>
          </cell>
          <cell r="I59">
            <v>-1.5870818607323081</v>
          </cell>
          <cell r="J59">
            <v>-1.3251344167494972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H60">
            <v>-0.22752348408208117</v>
          </cell>
          <cell r="I60">
            <v>-0.27320626139419973</v>
          </cell>
          <cell r="J60">
            <v>-0.27563448677382729</v>
          </cell>
          <cell r="K60">
            <v>-8.5000354662083694E-2</v>
          </cell>
          <cell r="L60">
            <v>-8.5878625871655803E-2</v>
          </cell>
          <cell r="M60">
            <v>0</v>
          </cell>
          <cell r="N60">
            <v>0.17220944137725522</v>
          </cell>
          <cell r="O60">
            <v>0</v>
          </cell>
          <cell r="P60">
            <v>0</v>
          </cell>
          <cell r="Q60">
            <v>0</v>
          </cell>
        </row>
        <row r="61">
          <cell r="H61">
            <v>-0.10832130436373009</v>
          </cell>
          <cell r="I61">
            <v>-0.12806279225255882</v>
          </cell>
          <cell r="J61">
            <v>-0.10922532011357361</v>
          </cell>
          <cell r="K61">
            <v>0</v>
          </cell>
          <cell r="L61">
            <v>0</v>
          </cell>
          <cell r="M61">
            <v>0</v>
          </cell>
          <cell r="N61">
            <v>-1.2561231286751533E-4</v>
          </cell>
          <cell r="O61">
            <v>0</v>
          </cell>
          <cell r="P61">
            <v>0</v>
          </cell>
          <cell r="Q61">
            <v>0</v>
          </cell>
        </row>
        <row r="62">
          <cell r="H62">
            <v>-1.2745082320896533E-2</v>
          </cell>
          <cell r="I62">
            <v>-1.904448258431659E-2</v>
          </cell>
          <cell r="J62">
            <v>-1.049812223874072E-2</v>
          </cell>
          <cell r="K62">
            <v>-1.9999911936042829E-2</v>
          </cell>
          <cell r="L62">
            <v>-2.067438163058891E-2</v>
          </cell>
          <cell r="M62">
            <v>0</v>
          </cell>
          <cell r="N62">
            <v>4.0313781140025054E-2</v>
          </cell>
          <cell r="O62">
            <v>0</v>
          </cell>
          <cell r="P62">
            <v>0</v>
          </cell>
          <cell r="Q62">
            <v>0</v>
          </cell>
        </row>
        <row r="63">
          <cell r="H63">
            <v>-0.10645709739745453</v>
          </cell>
          <cell r="I63">
            <v>-0.12609898655732429</v>
          </cell>
          <cell r="J63">
            <v>-0.15591104442151293</v>
          </cell>
          <cell r="K63">
            <v>-6.5000442726040858E-2</v>
          </cell>
          <cell r="L63">
            <v>-6.5204244241066897E-2</v>
          </cell>
          <cell r="M63">
            <v>0</v>
          </cell>
          <cell r="N63">
            <v>0.13202127255009768</v>
          </cell>
          <cell r="O63">
            <v>0</v>
          </cell>
          <cell r="P63">
            <v>0</v>
          </cell>
          <cell r="Q63">
            <v>0</v>
          </cell>
        </row>
        <row r="64">
          <cell r="H64">
            <v>-1.5816351739075307E-2</v>
          </cell>
          <cell r="I64">
            <v>-1.9977503702318575E-2</v>
          </cell>
          <cell r="J64">
            <v>-1.084929393638657E-2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H66">
            <v>-1.5816351739075307E-2</v>
          </cell>
          <cell r="I66">
            <v>-1.9977503702318575E-2</v>
          </cell>
          <cell r="J66">
            <v>-1.084929393638657E-2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H67">
            <v>0.82144535934703888</v>
          </cell>
          <cell r="I67">
            <v>1.1388961079212232</v>
          </cell>
          <cell r="J67">
            <v>1.0704283796189644</v>
          </cell>
          <cell r="K67">
            <v>0.10489249258949168</v>
          </cell>
          <cell r="L67">
            <v>-0.14580181055435779</v>
          </cell>
          <cell r="M67">
            <v>5.3245363935945901E-2</v>
          </cell>
          <cell r="N67">
            <v>0.17437670513704889</v>
          </cell>
          <cell r="O67">
            <v>0</v>
          </cell>
          <cell r="P67">
            <v>0</v>
          </cell>
          <cell r="Q67">
            <v>0</v>
          </cell>
        </row>
        <row r="68">
          <cell r="H68">
            <v>-0.60036176942158082</v>
          </cell>
          <cell r="I68">
            <v>-0.95657954814880353</v>
          </cell>
          <cell r="J68">
            <v>-0.82549871925936702</v>
          </cell>
          <cell r="K68">
            <v>-0.14003812820904879</v>
          </cell>
          <cell r="L68">
            <v>-0.16581472235665395</v>
          </cell>
          <cell r="M68">
            <v>-0.10643489520317603</v>
          </cell>
          <cell r="N68">
            <v>0.24737764660621475</v>
          </cell>
          <cell r="O68">
            <v>0</v>
          </cell>
          <cell r="P68">
            <v>0</v>
          </cell>
          <cell r="Q68">
            <v>0</v>
          </cell>
        </row>
        <row r="69">
          <cell r="H69">
            <v>-0.31330123824987754</v>
          </cell>
          <cell r="I69">
            <v>-0.38581180150487743</v>
          </cell>
          <cell r="J69">
            <v>-0.48811244416942651</v>
          </cell>
          <cell r="K69">
            <v>-5.667373928168689E-2</v>
          </cell>
          <cell r="L69">
            <v>-2.5811599261204288E-2</v>
          </cell>
          <cell r="M69">
            <v>-9.595086356696797E-2</v>
          </cell>
          <cell r="N69">
            <v>-5.3042940986087701E-2</v>
          </cell>
          <cell r="O69">
            <v>0</v>
          </cell>
          <cell r="P69">
            <v>0</v>
          </cell>
          <cell r="Q69">
            <v>0</v>
          </cell>
        </row>
        <row r="70">
          <cell r="H70">
            <v>-0.28706053117170333</v>
          </cell>
          <cell r="I70">
            <v>-0.57076774664392604</v>
          </cell>
          <cell r="J70">
            <v>-0.3373862750899404</v>
          </cell>
          <cell r="K70">
            <v>-8.3364388927361893E-2</v>
          </cell>
          <cell r="L70">
            <v>-0.14000312309544966</v>
          </cell>
          <cell r="M70">
            <v>-1.0484031636208055E-2</v>
          </cell>
          <cell r="N70">
            <v>0.30042058759230245</v>
          </cell>
          <cell r="O70">
            <v>0</v>
          </cell>
          <cell r="P70">
            <v>0</v>
          </cell>
          <cell r="Q70">
            <v>0</v>
          </cell>
        </row>
        <row r="71">
          <cell r="H71">
            <v>0.22108358992545796</v>
          </cell>
          <cell r="I71">
            <v>0.18231655977241965</v>
          </cell>
          <cell r="J71">
            <v>0.2449296603595974</v>
          </cell>
          <cell r="K71">
            <v>-3.5145635619557108E-2</v>
          </cell>
          <cell r="L71">
            <v>-0.31161653291101177</v>
          </cell>
          <cell r="M71">
            <v>-5.3189531267230132E-2</v>
          </cell>
          <cell r="N71">
            <v>0.42175435174326364</v>
          </cell>
          <cell r="O71">
            <v>0</v>
          </cell>
          <cell r="P71">
            <v>0</v>
          </cell>
          <cell r="Q71">
            <v>0</v>
          </cell>
        </row>
        <row r="72">
          <cell r="H72">
            <v>0.60326292318931274</v>
          </cell>
          <cell r="I72">
            <v>0.58219366014809582</v>
          </cell>
          <cell r="J72">
            <v>-0.15987630858671587</v>
          </cell>
          <cell r="K72">
            <v>-0.11777992199009076</v>
          </cell>
          <cell r="L72">
            <v>-7.8706074984767088E-2</v>
          </cell>
          <cell r="M72">
            <v>-3.9890079901760502E-2</v>
          </cell>
          <cell r="N72">
            <v>-3.8300830481682958E-2</v>
          </cell>
          <cell r="O72">
            <v>0</v>
          </cell>
          <cell r="P72">
            <v>0</v>
          </cell>
          <cell r="Q72">
            <v>0</v>
          </cell>
        </row>
        <row r="73">
          <cell r="H73">
            <v>0.60461305614719407</v>
          </cell>
          <cell r="I73">
            <v>0.58451809204027616</v>
          </cell>
          <cell r="J73">
            <v>-0.1599131356973765</v>
          </cell>
          <cell r="K73">
            <v>37.500335456008877</v>
          </cell>
          <cell r="L73">
            <v>-7.8706074984767088E-2</v>
          </cell>
          <cell r="M73">
            <v>-3.9890079901760502E-2</v>
          </cell>
          <cell r="N73">
            <v>-3.8300830481682958E-2</v>
          </cell>
          <cell r="O73">
            <v>0</v>
          </cell>
          <cell r="P73">
            <v>0</v>
          </cell>
          <cell r="Q73">
            <v>0</v>
          </cell>
        </row>
        <row r="74">
          <cell r="H74">
            <v>-1.7164349967039222E-2</v>
          </cell>
          <cell r="I74">
            <v>-9.7025884116235583E-2</v>
          </cell>
          <cell r="J74">
            <v>-0.10564192207361767</v>
          </cell>
          <cell r="K74">
            <v>37.145579551487778</v>
          </cell>
          <cell r="L74">
            <v>-7.8706074984767088E-2</v>
          </cell>
          <cell r="M74">
            <v>-3.9890079901760502E-2</v>
          </cell>
          <cell r="N74">
            <v>-3.8300830481682958E-2</v>
          </cell>
          <cell r="O74">
            <v>0</v>
          </cell>
          <cell r="P74">
            <v>0</v>
          </cell>
          <cell r="Q74">
            <v>0</v>
          </cell>
        </row>
        <row r="75">
          <cell r="H75">
            <v>0.62177740611423338</v>
          </cell>
          <cell r="I75">
            <v>0.68154397615651174</v>
          </cell>
          <cell r="J75">
            <v>-5.4271213623758828E-2</v>
          </cell>
          <cell r="K75">
            <v>0.35475590452109779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H76">
            <v>-1.3501329578813541E-3</v>
          </cell>
          <cell r="I76">
            <v>-2.324431892180347E-3</v>
          </cell>
          <cell r="J76">
            <v>3.6827110660627361E-5</v>
          </cell>
          <cell r="K76">
            <v>-37.618115377998969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H77">
            <v>7.6579944179218096E-2</v>
          </cell>
          <cell r="I77">
            <v>-0.4599491251358892</v>
          </cell>
          <cell r="J77">
            <v>-0.16600894318947684</v>
          </cell>
          <cell r="K77">
            <v>-8.0218461700110349E-2</v>
          </cell>
          <cell r="L77">
            <v>-8.4008738088550361E-2</v>
          </cell>
          <cell r="M77">
            <v>1.1358963204178207E-2</v>
          </cell>
          <cell r="N77">
            <v>1.0877551774622239E-2</v>
          </cell>
          <cell r="O77">
            <v>0</v>
          </cell>
          <cell r="P77">
            <v>0</v>
          </cell>
          <cell r="Q77">
            <v>0</v>
          </cell>
        </row>
        <row r="78">
          <cell r="H78">
            <v>-9.8697580875414994E-3</v>
          </cell>
          <cell r="I78">
            <v>-2.8147222053536897E-2</v>
          </cell>
          <cell r="J78">
            <v>-3.5458570648291859E-2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H79">
            <v>-9.8697580875414994E-3</v>
          </cell>
          <cell r="I79">
            <v>-2.8147222053536897E-2</v>
          </cell>
          <cell r="J79">
            <v>-3.5458570648291859E-2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</sheetData>
      <sheetData sheetId="2">
        <row r="5">
          <cell r="Q5" t="str">
            <v xml:space="preserve"> </v>
          </cell>
        </row>
        <row r="7">
          <cell r="A7" t="str">
            <v>Turnover, net</v>
          </cell>
          <cell r="F7">
            <v>4228.6626686199997</v>
          </cell>
          <cell r="G7">
            <v>197.71728729</v>
          </cell>
          <cell r="H7">
            <v>357.39982354</v>
          </cell>
          <cell r="I7">
            <v>358.45502743999998</v>
          </cell>
          <cell r="J7">
            <v>403.24343599000002</v>
          </cell>
          <cell r="K7">
            <v>410.95392663000001</v>
          </cell>
          <cell r="L7">
            <v>405.45779259</v>
          </cell>
          <cell r="M7">
            <v>417.71684152</v>
          </cell>
          <cell r="N7">
            <v>458.50242227000001</v>
          </cell>
          <cell r="O7">
            <v>503.59441068000001</v>
          </cell>
          <cell r="P7">
            <v>577.17146330000003</v>
          </cell>
          <cell r="S7">
            <v>4090.21243125</v>
          </cell>
          <cell r="U7">
            <v>6172.6139999999996</v>
          </cell>
        </row>
        <row r="8">
          <cell r="B8" t="str">
            <v>Material Cost</v>
          </cell>
          <cell r="F8">
            <v>-3649.2573319200001</v>
          </cell>
          <cell r="G8">
            <v>-161.07479964000001</v>
          </cell>
          <cell r="H8">
            <v>-291.29294713999997</v>
          </cell>
          <cell r="I8">
            <v>-288.61161870000001</v>
          </cell>
          <cell r="J8">
            <v>-339.28712381999998</v>
          </cell>
          <cell r="K8">
            <v>-326.55643692999996</v>
          </cell>
          <cell r="L8">
            <v>-319.80529948000003</v>
          </cell>
          <cell r="M8">
            <v>-327.57015456000005</v>
          </cell>
          <cell r="N8">
            <v>-361.7347828</v>
          </cell>
          <cell r="O8">
            <v>-392.11717483000001</v>
          </cell>
          <cell r="P8">
            <v>-453.30940951999997</v>
          </cell>
          <cell r="Q8">
            <v>0</v>
          </cell>
          <cell r="R8">
            <v>0</v>
          </cell>
          <cell r="S8">
            <v>-3261.3597474200001</v>
          </cell>
          <cell r="U8">
            <v>-5261.3969999999999</v>
          </cell>
        </row>
        <row r="9">
          <cell r="C9" t="str">
            <v>Direct Material</v>
          </cell>
          <cell r="F9">
            <v>-3228.8203711200003</v>
          </cell>
          <cell r="G9">
            <v>-144.29731749000001</v>
          </cell>
          <cell r="H9">
            <v>-260.44334737999998</v>
          </cell>
          <cell r="I9">
            <v>-256.58693942000002</v>
          </cell>
          <cell r="J9">
            <v>-304.77143583999998</v>
          </cell>
          <cell r="K9">
            <v>-301.24403977999998</v>
          </cell>
          <cell r="L9">
            <v>-296.86426653000001</v>
          </cell>
          <cell r="M9">
            <v>-299.86716009000003</v>
          </cell>
          <cell r="N9">
            <v>-330.74017220000002</v>
          </cell>
          <cell r="O9">
            <v>-357.15459301999999</v>
          </cell>
          <cell r="P9">
            <v>-409.66167790999998</v>
          </cell>
          <cell r="S9">
            <v>-2961.6309496600002</v>
          </cell>
          <cell r="U9">
            <v>-4496.3180000000002</v>
          </cell>
        </row>
        <row r="10">
          <cell r="C10" t="str">
            <v>Cost of Supply</v>
          </cell>
          <cell r="F10">
            <v>-420.43696079999995</v>
          </cell>
          <cell r="G10">
            <v>-16.777482150000001</v>
          </cell>
          <cell r="H10">
            <v>-30.84959976</v>
          </cell>
          <cell r="I10">
            <v>-32.024679280000001</v>
          </cell>
          <cell r="J10">
            <v>-34.515687980000003</v>
          </cell>
          <cell r="K10">
            <v>-25.312397149999999</v>
          </cell>
          <cell r="L10">
            <v>-22.94103295</v>
          </cell>
          <cell r="M10">
            <v>-27.70299447</v>
          </cell>
          <cell r="N10">
            <v>-30.994610600000001</v>
          </cell>
          <cell r="O10">
            <v>-34.962581810000003</v>
          </cell>
          <cell r="P10">
            <v>-43.647731610000001</v>
          </cell>
          <cell r="S10">
            <v>-299.72879776000002</v>
          </cell>
          <cell r="U10">
            <v>-765.07899999999995</v>
          </cell>
        </row>
        <row r="11">
          <cell r="B11" t="str">
            <v>Other Direct Cost</v>
          </cell>
          <cell r="F11">
            <v>-122.64465163</v>
          </cell>
          <cell r="G11">
            <v>-9.3598288400000005</v>
          </cell>
          <cell r="H11">
            <v>-12.61780285</v>
          </cell>
          <cell r="I11">
            <v>-14.874618290000001</v>
          </cell>
          <cell r="J11">
            <v>-13.896518990000001</v>
          </cell>
          <cell r="K11">
            <v>-16.378500690000003</v>
          </cell>
          <cell r="L11">
            <v>-14.36652235</v>
          </cell>
          <cell r="M11">
            <v>-16.91672445</v>
          </cell>
          <cell r="N11">
            <v>-15.13932801</v>
          </cell>
          <cell r="O11">
            <v>-17.964997669999999</v>
          </cell>
          <cell r="P11">
            <v>-19.820368200000001</v>
          </cell>
          <cell r="Q11">
            <v>0</v>
          </cell>
          <cell r="R11">
            <v>0</v>
          </cell>
          <cell r="S11">
            <v>-151.33521033999997</v>
          </cell>
          <cell r="U11">
            <v>-199.53800000000001</v>
          </cell>
        </row>
        <row r="12">
          <cell r="C12" t="str">
            <v>Direct Wages</v>
          </cell>
          <cell r="F12">
            <v>-42.174013199999997</v>
          </cell>
          <cell r="G12">
            <v>-6.6017697499999999</v>
          </cell>
          <cell r="H12">
            <v>-8.5386683699999999</v>
          </cell>
          <cell r="I12">
            <v>-9.22070598</v>
          </cell>
          <cell r="J12">
            <v>-8.3579910500000008</v>
          </cell>
          <cell r="K12">
            <v>-10.7601677</v>
          </cell>
          <cell r="L12">
            <v>-10.70954414</v>
          </cell>
          <cell r="M12">
            <v>-11.021475710000001</v>
          </cell>
          <cell r="N12">
            <v>-11.341044309999999</v>
          </cell>
          <cell r="O12">
            <v>-11.710892599999999</v>
          </cell>
          <cell r="P12">
            <v>-12.20930622</v>
          </cell>
          <cell r="S12">
            <v>-100.47156582999999</v>
          </cell>
          <cell r="U12">
            <v>-103.271</v>
          </cell>
        </row>
        <row r="13">
          <cell r="C13" t="str">
            <v>Licence Fees</v>
          </cell>
          <cell r="F13">
            <v>-23.912001690000004</v>
          </cell>
          <cell r="G13">
            <v>-0.66470008999999997</v>
          </cell>
          <cell r="H13">
            <v>-0.53892227999999998</v>
          </cell>
          <cell r="I13">
            <v>-0.67592631999999997</v>
          </cell>
          <cell r="J13">
            <v>-0.64090276999999995</v>
          </cell>
          <cell r="K13">
            <v>-0.55146105000000001</v>
          </cell>
          <cell r="L13">
            <v>-0.54803994</v>
          </cell>
          <cell r="M13">
            <v>-0.62090016999999997</v>
          </cell>
          <cell r="N13">
            <v>-0.23613303999999999</v>
          </cell>
          <cell r="O13">
            <v>-0.43173120999999998</v>
          </cell>
          <cell r="P13">
            <v>-0.61316711999999995</v>
          </cell>
          <cell r="S13">
            <v>-5.5218839899999992</v>
          </cell>
          <cell r="U13">
            <v>-6.0519999999999996</v>
          </cell>
        </row>
        <row r="14">
          <cell r="C14" t="str">
            <v>Direct Selling Expenses</v>
          </cell>
          <cell r="F14">
            <v>-56.558636740000004</v>
          </cell>
          <cell r="G14">
            <v>-2.093359</v>
          </cell>
          <cell r="H14">
            <v>-3.5402122</v>
          </cell>
          <cell r="I14">
            <v>-4.9779859899999996</v>
          </cell>
          <cell r="J14">
            <v>-4.8976251700000004</v>
          </cell>
          <cell r="K14">
            <v>-5.0668719400000004</v>
          </cell>
          <cell r="L14">
            <v>-3.1089382699999999</v>
          </cell>
          <cell r="M14">
            <v>-5.2743485699999999</v>
          </cell>
          <cell r="N14">
            <v>-3.5621506599999999</v>
          </cell>
          <cell r="O14">
            <v>-5.8223738599999999</v>
          </cell>
          <cell r="P14">
            <v>-6.9978948599999997</v>
          </cell>
          <cell r="S14">
            <v>-45.341760520000001</v>
          </cell>
          <cell r="U14">
            <v>-90.215000000000003</v>
          </cell>
        </row>
        <row r="15">
          <cell r="B15" t="str">
            <v>Variable Overheads</v>
          </cell>
          <cell r="F15">
            <v>-30.449925590000003</v>
          </cell>
          <cell r="G15">
            <v>-3.9658557000000001</v>
          </cell>
          <cell r="H15">
            <v>-5.4065931300000001</v>
          </cell>
          <cell r="I15">
            <v>-6.6656609800000002</v>
          </cell>
          <cell r="J15">
            <v>-6.2425603799999996</v>
          </cell>
          <cell r="K15">
            <v>-6.2497075100000004</v>
          </cell>
          <cell r="L15">
            <v>-11.04174424</v>
          </cell>
          <cell r="M15">
            <v>-15.886665799999999</v>
          </cell>
          <cell r="N15">
            <v>-13.08949831</v>
          </cell>
          <cell r="O15">
            <v>-24.564891450000001</v>
          </cell>
          <cell r="P15">
            <v>-14.516489930000001</v>
          </cell>
          <cell r="Q15">
            <v>0</v>
          </cell>
          <cell r="R15">
            <v>0</v>
          </cell>
          <cell r="S15">
            <v>-107.62966743000001</v>
          </cell>
          <cell r="U15">
            <v>-36.65</v>
          </cell>
        </row>
        <row r="16">
          <cell r="C16" t="str">
            <v>Variable Overheads Personnel</v>
          </cell>
          <cell r="F16">
            <v>0</v>
          </cell>
          <cell r="S16">
            <v>0</v>
          </cell>
          <cell r="U16">
            <v>0</v>
          </cell>
        </row>
        <row r="17">
          <cell r="C17" t="str">
            <v>Other Variable Overheads</v>
          </cell>
          <cell r="F17">
            <v>-30.449925590000003</v>
          </cell>
          <cell r="G17">
            <v>-3.9658557000000001</v>
          </cell>
          <cell r="H17">
            <v>-5.4065931300000001</v>
          </cell>
          <cell r="I17">
            <v>-6.6656609800000002</v>
          </cell>
          <cell r="J17">
            <v>-6.2425603799999996</v>
          </cell>
          <cell r="K17">
            <v>-6.2497075100000004</v>
          </cell>
          <cell r="L17">
            <v>-11.04174424</v>
          </cell>
          <cell r="M17">
            <v>-15.886665799999999</v>
          </cell>
          <cell r="N17">
            <v>-13.08949831</v>
          </cell>
          <cell r="O17">
            <v>-24.564891450000001</v>
          </cell>
          <cell r="P17">
            <v>-14.516489930000001</v>
          </cell>
          <cell r="S17">
            <v>-107.62966743000001</v>
          </cell>
          <cell r="U17">
            <v>-36.65</v>
          </cell>
        </row>
        <row r="18">
          <cell r="A18" t="str">
            <v>Contribution Margin</v>
          </cell>
          <cell r="F18">
            <v>426.31075948</v>
          </cell>
          <cell r="G18">
            <v>23.316803109999995</v>
          </cell>
          <cell r="H18">
            <v>48.082480420000032</v>
          </cell>
          <cell r="I18">
            <v>48.303129469999973</v>
          </cell>
          <cell r="J18">
            <v>43.817232800000042</v>
          </cell>
          <cell r="K18">
            <v>61.769281500000041</v>
          </cell>
          <cell r="L18">
            <v>60.24422651999997</v>
          </cell>
          <cell r="M18">
            <v>57.343296709999947</v>
          </cell>
          <cell r="N18">
            <v>68.53881315000001</v>
          </cell>
          <cell r="O18">
            <v>68.947346729999992</v>
          </cell>
          <cell r="P18">
            <v>89.525195650000043</v>
          </cell>
          <cell r="Q18">
            <v>0</v>
          </cell>
          <cell r="R18">
            <v>0</v>
          </cell>
          <cell r="S18">
            <v>569.88780606</v>
          </cell>
          <cell r="U18">
            <v>675.02899999999966</v>
          </cell>
        </row>
        <row r="19">
          <cell r="B19" t="str">
            <v>Fixed Overheads</v>
          </cell>
          <cell r="F19">
            <v>-353.11992046</v>
          </cell>
          <cell r="G19">
            <v>-26.380039199999999</v>
          </cell>
          <cell r="H19">
            <v>-39.727710439999996</v>
          </cell>
          <cell r="I19">
            <v>-40.934949029999999</v>
          </cell>
          <cell r="J19">
            <v>-37.430399749999999</v>
          </cell>
          <cell r="K19">
            <v>-45.303949729999999</v>
          </cell>
          <cell r="L19">
            <v>-49.200405449999998</v>
          </cell>
          <cell r="M19">
            <v>-35.961105840000002</v>
          </cell>
          <cell r="N19">
            <v>-35.992347159999994</v>
          </cell>
          <cell r="O19">
            <v>-43.985436489999998</v>
          </cell>
          <cell r="P19">
            <v>-42.554264770000003</v>
          </cell>
          <cell r="Q19">
            <v>0</v>
          </cell>
          <cell r="R19">
            <v>0</v>
          </cell>
          <cell r="S19">
            <v>-397.47060785999997</v>
          </cell>
          <cell r="U19">
            <v>-449.649</v>
          </cell>
        </row>
        <row r="20">
          <cell r="C20" t="str">
            <v>Fixed Overheads Personnel</v>
          </cell>
          <cell r="F20">
            <v>-162.70737965999999</v>
          </cell>
          <cell r="G20">
            <v>-14.503378959999999</v>
          </cell>
          <cell r="H20">
            <v>-16.118511439999999</v>
          </cell>
          <cell r="I20">
            <v>-16.298912120000001</v>
          </cell>
          <cell r="J20">
            <v>-17.41046356</v>
          </cell>
          <cell r="K20">
            <v>-18.000336690000001</v>
          </cell>
          <cell r="L20">
            <v>-19.6722644</v>
          </cell>
          <cell r="M20">
            <v>-17.57326604</v>
          </cell>
          <cell r="N20">
            <v>-18.851927719999999</v>
          </cell>
          <cell r="O20">
            <v>-19.334004490000002</v>
          </cell>
          <cell r="P20">
            <v>-17.617967549999999</v>
          </cell>
          <cell r="S20">
            <v>-175.38103297000001</v>
          </cell>
          <cell r="U20">
            <v>-215.643</v>
          </cell>
        </row>
        <row r="21">
          <cell r="C21" t="str">
            <v>Other Fixed Overheads</v>
          </cell>
          <cell r="F21">
            <v>-190.41254079999999</v>
          </cell>
          <cell r="G21">
            <v>-11.87666024</v>
          </cell>
          <cell r="H21">
            <v>-23.609198999999997</v>
          </cell>
          <cell r="I21">
            <v>-24.636036910000001</v>
          </cell>
          <cell r="J21">
            <v>-20.019936189999999</v>
          </cell>
          <cell r="K21">
            <v>-27.303613039999998</v>
          </cell>
          <cell r="L21">
            <v>-29.528141049999999</v>
          </cell>
          <cell r="M21">
            <v>-18.387839799999998</v>
          </cell>
          <cell r="N21">
            <v>-17.140419439999999</v>
          </cell>
          <cell r="O21">
            <v>-24.651432</v>
          </cell>
          <cell r="P21">
            <v>-24.93629722</v>
          </cell>
          <cell r="S21">
            <v>-222.08957488999997</v>
          </cell>
          <cell r="U21">
            <v>-234.006</v>
          </cell>
        </row>
        <row r="22">
          <cell r="A22" t="str">
            <v>Operating Result</v>
          </cell>
          <cell r="F22">
            <v>73.190839019999942</v>
          </cell>
          <cell r="G22">
            <v>-3.0632360900000037</v>
          </cell>
          <cell r="H22">
            <v>8.3547699800000359</v>
          </cell>
          <cell r="I22">
            <v>7.3681804399999749</v>
          </cell>
          <cell r="J22">
            <v>6.3868330500000425</v>
          </cell>
          <cell r="K22">
            <v>16.465331770000041</v>
          </cell>
          <cell r="L22">
            <v>11.043821069999971</v>
          </cell>
          <cell r="M22">
            <v>21.382190869999945</v>
          </cell>
          <cell r="N22">
            <v>32.546465990000016</v>
          </cell>
          <cell r="O22">
            <v>24.961910239999995</v>
          </cell>
          <cell r="P22">
            <v>46.97093088000004</v>
          </cell>
          <cell r="Q22">
            <v>0</v>
          </cell>
          <cell r="R22">
            <v>0</v>
          </cell>
          <cell r="S22">
            <v>172.41719820000006</v>
          </cell>
          <cell r="U22">
            <v>225.37999999999965</v>
          </cell>
        </row>
        <row r="23">
          <cell r="B23" t="str">
            <v>Other Result</v>
          </cell>
          <cell r="F23">
            <v>94.736891789999987</v>
          </cell>
          <cell r="G23">
            <v>16.89629403</v>
          </cell>
          <cell r="H23">
            <v>6.2130115300000002</v>
          </cell>
          <cell r="I23">
            <v>9.5248429300000002</v>
          </cell>
          <cell r="J23">
            <v>5.8722070400000002</v>
          </cell>
          <cell r="K23">
            <v>6.9415643799999884</v>
          </cell>
          <cell r="L23">
            <v>-0.20763524000000011</v>
          </cell>
          <cell r="M23">
            <v>1.9380278599999998</v>
          </cell>
          <cell r="N23">
            <v>-5.5665521</v>
          </cell>
          <cell r="O23">
            <v>6.3741021299999998</v>
          </cell>
          <cell r="P23">
            <v>4.8144112400000001</v>
          </cell>
          <cell r="Q23">
            <v>0</v>
          </cell>
          <cell r="R23">
            <v>0</v>
          </cell>
          <cell r="S23">
            <v>52.800273799999978</v>
          </cell>
          <cell r="U23">
            <v>65.457999999999998</v>
          </cell>
        </row>
        <row r="24">
          <cell r="C24" t="str">
            <v>Other Income</v>
          </cell>
          <cell r="F24">
            <v>109.55940808999999</v>
          </cell>
          <cell r="G24">
            <v>17.867662589999998</v>
          </cell>
          <cell r="H24">
            <v>6.30749914</v>
          </cell>
          <cell r="I24">
            <v>9.1877144800000003</v>
          </cell>
          <cell r="J24">
            <v>7.0294847499999999</v>
          </cell>
          <cell r="K24">
            <v>200.25358097999998</v>
          </cell>
          <cell r="L24">
            <v>2.2969037499999998</v>
          </cell>
          <cell r="M24">
            <v>3.5768801799999999</v>
          </cell>
          <cell r="N24">
            <v>-0.77836269999999974</v>
          </cell>
          <cell r="O24">
            <v>0.60571717000000014</v>
          </cell>
          <cell r="P24">
            <v>5.6828484000000001</v>
          </cell>
          <cell r="Q24">
            <v>0</v>
          </cell>
          <cell r="R24">
            <v>0</v>
          </cell>
          <cell r="S24">
            <v>252.02992873999997</v>
          </cell>
          <cell r="U24">
            <v>84.048000000000002</v>
          </cell>
        </row>
        <row r="25">
          <cell r="D25" t="str">
            <v>Other income</v>
          </cell>
          <cell r="F25">
            <v>11.797496899999999</v>
          </cell>
          <cell r="G25">
            <v>-0.22713843</v>
          </cell>
          <cell r="H25">
            <v>-1.0373860600000002</v>
          </cell>
          <cell r="I25">
            <v>-0.95938394000000005</v>
          </cell>
          <cell r="J25">
            <v>2.7534033099999999</v>
          </cell>
          <cell r="K25">
            <v>192.27082318999999</v>
          </cell>
          <cell r="L25">
            <v>0.67614962000000001</v>
          </cell>
          <cell r="M25">
            <v>0.29703170000000001</v>
          </cell>
          <cell r="N25">
            <v>-4.4049201199999999</v>
          </cell>
          <cell r="O25">
            <v>-3.9643641399999998</v>
          </cell>
          <cell r="P25">
            <v>-0.87237964999999995</v>
          </cell>
          <cell r="S25">
            <v>184.53183547999996</v>
          </cell>
          <cell r="U25">
            <v>15.217000000000001</v>
          </cell>
        </row>
        <row r="26">
          <cell r="D26" t="str">
            <v>Monetary Result</v>
          </cell>
          <cell r="F26">
            <v>97.761911189999992</v>
          </cell>
          <cell r="G26">
            <v>18.094801019999998</v>
          </cell>
          <cell r="H26">
            <v>7.3448852000000002</v>
          </cell>
          <cell r="I26">
            <v>10.147098420000001</v>
          </cell>
          <cell r="J26">
            <v>4.2760814399999996</v>
          </cell>
          <cell r="K26">
            <v>7.98275779</v>
          </cell>
          <cell r="L26">
            <v>1.6207541299999999</v>
          </cell>
          <cell r="M26">
            <v>3.2798484800000001</v>
          </cell>
          <cell r="N26">
            <v>3.6265574200000001</v>
          </cell>
          <cell r="O26">
            <v>4.57008131</v>
          </cell>
          <cell r="P26">
            <v>6.5552280500000002</v>
          </cell>
          <cell r="S26">
            <v>67.49809325999999</v>
          </cell>
          <cell r="U26">
            <v>68.831000000000003</v>
          </cell>
        </row>
        <row r="27">
          <cell r="C27" t="str">
            <v>Other Expenses</v>
          </cell>
          <cell r="F27">
            <v>-14.8225163</v>
          </cell>
          <cell r="G27">
            <v>-0.97136856000000005</v>
          </cell>
          <cell r="H27">
            <v>-9.448761E-2</v>
          </cell>
          <cell r="I27">
            <v>0.33712845000000002</v>
          </cell>
          <cell r="J27">
            <v>-1.15727771</v>
          </cell>
          <cell r="K27">
            <v>-193.31201659999999</v>
          </cell>
          <cell r="L27">
            <v>-2.5045389899999999</v>
          </cell>
          <cell r="M27">
            <v>-1.63885232</v>
          </cell>
          <cell r="N27">
            <v>-4.7881894000000003</v>
          </cell>
          <cell r="O27">
            <v>5.7683849599999997</v>
          </cell>
          <cell r="P27">
            <v>-0.86843716000000004</v>
          </cell>
          <cell r="S27">
            <v>-199.22965494000002</v>
          </cell>
          <cell r="U27">
            <v>-18.59</v>
          </cell>
        </row>
        <row r="28">
          <cell r="B28" t="str">
            <v>Exchange Rate Result Operating</v>
          </cell>
          <cell r="F28">
            <v>-48.039168669999995</v>
          </cell>
          <cell r="G28">
            <v>-13.25025722</v>
          </cell>
          <cell r="H28">
            <v>3.0866811599999999</v>
          </cell>
          <cell r="I28">
            <v>2.6312155499999998</v>
          </cell>
          <cell r="J28">
            <v>7.8011475199999998</v>
          </cell>
          <cell r="K28">
            <v>-9.8373913599999998</v>
          </cell>
          <cell r="L28">
            <v>6.1082211800000001</v>
          </cell>
          <cell r="M28">
            <v>-1.9894196500000001</v>
          </cell>
          <cell r="N28">
            <v>3.5476971399999999</v>
          </cell>
          <cell r="O28">
            <v>2.3290002200000002</v>
          </cell>
          <cell r="P28">
            <v>-4.2586166700000003</v>
          </cell>
          <cell r="S28">
            <v>-3.8317221300000015</v>
          </cell>
          <cell r="U28">
            <v>-26.018000000000001</v>
          </cell>
        </row>
        <row r="29">
          <cell r="B29" t="str">
            <v>Valuation Measures</v>
          </cell>
          <cell r="F29">
            <v>-46.212181910000005</v>
          </cell>
          <cell r="G29">
            <v>-3.05418228</v>
          </cell>
          <cell r="H29">
            <v>-3.97792141</v>
          </cell>
          <cell r="I29">
            <v>-4.5944559199999997</v>
          </cell>
          <cell r="J29">
            <v>-4.6024317300000002</v>
          </cell>
          <cell r="K29">
            <v>-8.1687915400000009</v>
          </cell>
          <cell r="L29">
            <v>-8.7496132600000003</v>
          </cell>
          <cell r="M29">
            <v>-10.71962261</v>
          </cell>
          <cell r="N29">
            <v>-17.240973259999997</v>
          </cell>
          <cell r="O29">
            <v>-26.881357399999999</v>
          </cell>
          <cell r="P29">
            <v>-30.425894450000001</v>
          </cell>
          <cell r="Q29">
            <v>0</v>
          </cell>
          <cell r="R29">
            <v>0</v>
          </cell>
          <cell r="S29">
            <v>-118.41524385999999</v>
          </cell>
          <cell r="U29">
            <v>-64.412999999999997</v>
          </cell>
        </row>
        <row r="30">
          <cell r="C30" t="str">
            <v>Depreciation</v>
          </cell>
          <cell r="F30">
            <v>-31.17154064</v>
          </cell>
          <cell r="G30">
            <v>-3.05418228</v>
          </cell>
          <cell r="H30">
            <v>-3.97792141</v>
          </cell>
          <cell r="I30">
            <v>-3.5944559200000001</v>
          </cell>
          <cell r="J30">
            <v>-4.6024317300000002</v>
          </cell>
          <cell r="K30">
            <v>-5.3687915400000001</v>
          </cell>
          <cell r="L30">
            <v>-4.64476537</v>
          </cell>
          <cell r="M30">
            <v>-3.9751625800000001</v>
          </cell>
          <cell r="N30">
            <v>-3.9714434000000001</v>
          </cell>
          <cell r="O30">
            <v>-10.43367376</v>
          </cell>
          <cell r="P30">
            <v>-10.385480899999999</v>
          </cell>
          <cell r="S30">
            <v>-54.008308889999995</v>
          </cell>
          <cell r="U30">
            <v>-64.412999999999997</v>
          </cell>
        </row>
        <row r="31">
          <cell r="C31" t="str">
            <v>Valuation Measures</v>
          </cell>
          <cell r="F31">
            <v>-15.040641269999998</v>
          </cell>
          <cell r="G31">
            <v>0</v>
          </cell>
          <cell r="H31">
            <v>0</v>
          </cell>
          <cell r="I31">
            <v>-1</v>
          </cell>
          <cell r="J31">
            <v>0</v>
          </cell>
          <cell r="K31">
            <v>-2.8</v>
          </cell>
          <cell r="L31">
            <v>-4.1048478900000003</v>
          </cell>
          <cell r="M31">
            <v>-6.7444600299999999</v>
          </cell>
          <cell r="N31">
            <v>-13.269529859999999</v>
          </cell>
          <cell r="O31">
            <v>-16.447683640000001</v>
          </cell>
          <cell r="P31">
            <v>-20.04041355</v>
          </cell>
          <cell r="Q31">
            <v>0</v>
          </cell>
          <cell r="R31">
            <v>0</v>
          </cell>
          <cell r="S31">
            <v>-64.406934969999995</v>
          </cell>
          <cell r="U31">
            <v>0</v>
          </cell>
        </row>
        <row r="32">
          <cell r="D32" t="str">
            <v>Inventory Valuation</v>
          </cell>
          <cell r="F32">
            <v>0</v>
          </cell>
          <cell r="N32">
            <v>-6.2629992799999998</v>
          </cell>
          <cell r="O32">
            <v>-3.7370007200000002</v>
          </cell>
          <cell r="P32">
            <v>-5</v>
          </cell>
          <cell r="S32">
            <v>-15</v>
          </cell>
        </row>
        <row r="33">
          <cell r="D33" t="str">
            <v>Allowance for Bad Debts</v>
          </cell>
          <cell r="F33">
            <v>2.5192270900000011</v>
          </cell>
          <cell r="K33">
            <v>-2.8</v>
          </cell>
          <cell r="L33">
            <v>-3.78841932</v>
          </cell>
          <cell r="M33">
            <v>-3.2942096599999999</v>
          </cell>
          <cell r="N33">
            <v>-3.2942096599999999</v>
          </cell>
          <cell r="O33">
            <v>-3.2942096599999999</v>
          </cell>
          <cell r="P33">
            <v>-3.3567096599999999</v>
          </cell>
          <cell r="S33">
            <v>-19.82775796</v>
          </cell>
        </row>
        <row r="34">
          <cell r="D34" t="str">
            <v>Reserves for Restructuring</v>
          </cell>
          <cell r="F34">
            <v>0</v>
          </cell>
          <cell r="S34">
            <v>0</v>
          </cell>
        </row>
        <row r="35">
          <cell r="D35" t="str">
            <v>Other Reserves</v>
          </cell>
          <cell r="F35">
            <v>-17.559868359999999</v>
          </cell>
          <cell r="I35">
            <v>-1</v>
          </cell>
          <cell r="L35">
            <v>-0.31642857000000002</v>
          </cell>
          <cell r="M35">
            <v>-3.45025037</v>
          </cell>
          <cell r="N35">
            <v>-3.7123209199999998</v>
          </cell>
          <cell r="O35">
            <v>-9.4164732600000001</v>
          </cell>
          <cell r="P35">
            <v>-11.68370389</v>
          </cell>
          <cell r="S35">
            <v>-29.579177009999999</v>
          </cell>
        </row>
        <row r="36">
          <cell r="A36" t="str">
            <v>Operating Profit</v>
          </cell>
          <cell r="F36">
            <v>73.67638022999995</v>
          </cell>
          <cell r="G36">
            <v>-2.4713815600000038</v>
          </cell>
          <cell r="H36">
            <v>13.676541260000036</v>
          </cell>
          <cell r="I36">
            <v>14.929782999999974</v>
          </cell>
          <cell r="J36">
            <v>15.457755880000043</v>
          </cell>
          <cell r="K36">
            <v>5.4007132500000292</v>
          </cell>
          <cell r="L36">
            <v>8.1947937499999703</v>
          </cell>
          <cell r="M36">
            <v>10.611176469999945</v>
          </cell>
          <cell r="N36">
            <v>13.28663777000002</v>
          </cell>
          <cell r="O36">
            <v>6.7836551899999975</v>
          </cell>
          <cell r="P36">
            <v>17.100831000000035</v>
          </cell>
          <cell r="Q36">
            <v>0</v>
          </cell>
          <cell r="R36">
            <v>0</v>
          </cell>
          <cell r="S36">
            <v>102.97050601000004</v>
          </cell>
          <cell r="U36">
            <v>200.40699999999958</v>
          </cell>
        </row>
        <row r="37">
          <cell r="B37" t="str">
            <v>Financial Result</v>
          </cell>
          <cell r="F37">
            <v>-159.63215939</v>
          </cell>
          <cell r="G37">
            <v>-22.514477809999999</v>
          </cell>
          <cell r="H37">
            <v>5.0128904300000015</v>
          </cell>
          <cell r="I37">
            <v>10.573864110000001</v>
          </cell>
          <cell r="J37">
            <v>1.5175112999999998</v>
          </cell>
          <cell r="K37">
            <v>-4.9228930700000006</v>
          </cell>
          <cell r="L37">
            <v>-8.1979661400000001</v>
          </cell>
          <cell r="M37">
            <v>-7.23691029</v>
          </cell>
          <cell r="N37">
            <v>-10.403333310000001</v>
          </cell>
          <cell r="O37">
            <v>-0.14221362999999876</v>
          </cell>
          <cell r="P37">
            <v>-13.503958300000001</v>
          </cell>
          <cell r="Q37">
            <v>0</v>
          </cell>
          <cell r="R37">
            <v>0</v>
          </cell>
          <cell r="S37">
            <v>-49.817486710000004</v>
          </cell>
          <cell r="U37">
            <v>-245.11700000000002</v>
          </cell>
        </row>
        <row r="38">
          <cell r="C38" t="str">
            <v>Result on Interest</v>
          </cell>
          <cell r="F38">
            <v>-45.386823580000005</v>
          </cell>
          <cell r="G38">
            <v>-7.8014660000000005</v>
          </cell>
          <cell r="H38">
            <v>-7.7240138699999994</v>
          </cell>
          <cell r="I38">
            <v>-9.2931231000000007</v>
          </cell>
          <cell r="J38">
            <v>-6.4371344700000002</v>
          </cell>
          <cell r="K38">
            <v>-4.3612598000000009</v>
          </cell>
          <cell r="L38">
            <v>-5.5168148099999996</v>
          </cell>
          <cell r="M38">
            <v>-5.8111593900000003</v>
          </cell>
          <cell r="N38">
            <v>-7.6155488900000003</v>
          </cell>
          <cell r="O38">
            <v>-6.3918734999999991</v>
          </cell>
          <cell r="P38">
            <v>-5.4078166200000002</v>
          </cell>
          <cell r="Q38">
            <v>0</v>
          </cell>
          <cell r="R38">
            <v>0</v>
          </cell>
          <cell r="S38">
            <v>-66.360210450000011</v>
          </cell>
          <cell r="U38">
            <v>-81.87700000000001</v>
          </cell>
        </row>
        <row r="39">
          <cell r="D39" t="str">
            <v>Interest Income</v>
          </cell>
          <cell r="F39">
            <v>27.29127093</v>
          </cell>
          <cell r="G39">
            <v>3.2981612</v>
          </cell>
          <cell r="H39">
            <v>1.28603589</v>
          </cell>
          <cell r="I39">
            <v>2.39131033</v>
          </cell>
          <cell r="J39">
            <v>1.4414943</v>
          </cell>
          <cell r="K39">
            <v>2.14578538</v>
          </cell>
          <cell r="L39">
            <v>1.2263280400000001</v>
          </cell>
          <cell r="M39">
            <v>1.4888092799999999</v>
          </cell>
          <cell r="N39">
            <v>0.91207760999999998</v>
          </cell>
          <cell r="O39">
            <v>0.78523436000000002</v>
          </cell>
          <cell r="P39">
            <v>1.8075331800000001</v>
          </cell>
          <cell r="S39">
            <v>16.782769569999999</v>
          </cell>
          <cell r="U39">
            <v>-10.801</v>
          </cell>
        </row>
        <row r="40">
          <cell r="D40" t="str">
            <v>Interest Expenses</v>
          </cell>
          <cell r="F40">
            <v>-72.678094509999994</v>
          </cell>
          <cell r="G40">
            <v>-11.0996272</v>
          </cell>
          <cell r="H40">
            <v>-9.0100497599999994</v>
          </cell>
          <cell r="I40">
            <v>-11.68443343</v>
          </cell>
          <cell r="J40">
            <v>-7.8786287699999997</v>
          </cell>
          <cell r="K40">
            <v>-6.5070451800000004</v>
          </cell>
          <cell r="L40">
            <v>-6.7431428499999999</v>
          </cell>
          <cell r="M40">
            <v>-7.2999686700000002</v>
          </cell>
          <cell r="N40">
            <v>-8.5276265000000002</v>
          </cell>
          <cell r="O40">
            <v>-7.1771078599999996</v>
          </cell>
          <cell r="P40">
            <v>-7.2153498000000003</v>
          </cell>
          <cell r="S40">
            <v>-83.142980019999996</v>
          </cell>
          <cell r="U40">
            <v>-71.076000000000008</v>
          </cell>
        </row>
        <row r="41">
          <cell r="C41" t="str">
            <v>Other Financial Result</v>
          </cell>
          <cell r="F41">
            <v>-114.24533581</v>
          </cell>
          <cell r="G41">
            <v>-14.713011809999999</v>
          </cell>
          <cell r="H41">
            <v>12.736904300000001</v>
          </cell>
          <cell r="I41">
            <v>19.866987210000001</v>
          </cell>
          <cell r="J41">
            <v>7.9546457699999999</v>
          </cell>
          <cell r="K41">
            <v>-0.56163326999999996</v>
          </cell>
          <cell r="L41">
            <v>-2.6811513300000001</v>
          </cell>
          <cell r="M41">
            <v>-1.4257508999999999</v>
          </cell>
          <cell r="N41">
            <v>-2.7877844199999999</v>
          </cell>
          <cell r="O41">
            <v>6.2496598700000003</v>
          </cell>
          <cell r="P41">
            <v>-8.0961416800000006</v>
          </cell>
          <cell r="S41">
            <v>16.54272374</v>
          </cell>
          <cell r="U41">
            <v>-163.24</v>
          </cell>
        </row>
        <row r="42">
          <cell r="B42" t="str">
            <v>Taxes</v>
          </cell>
          <cell r="F42">
            <v>-7.7719233400000007</v>
          </cell>
          <cell r="G42">
            <v>-0.58071099999999998</v>
          </cell>
          <cell r="H42">
            <v>-1.2642040799999998</v>
          </cell>
          <cell r="I42">
            <v>-0.71339072000000003</v>
          </cell>
          <cell r="J42">
            <v>-3.881939</v>
          </cell>
          <cell r="K42">
            <v>-2.931664</v>
          </cell>
          <cell r="L42">
            <v>-29.340079590000002</v>
          </cell>
          <cell r="M42">
            <v>-3.0598860000000001</v>
          </cell>
          <cell r="N42">
            <v>-24.930194</v>
          </cell>
          <cell r="O42">
            <v>-24.56891929</v>
          </cell>
          <cell r="P42">
            <v>-21.761141000000002</v>
          </cell>
          <cell r="Q42">
            <v>0</v>
          </cell>
          <cell r="R42">
            <v>0</v>
          </cell>
          <cell r="S42">
            <v>-113.03212868</v>
          </cell>
          <cell r="U42">
            <v>-49.499000000000002</v>
          </cell>
        </row>
        <row r="43">
          <cell r="C43" t="str">
            <v>Taxes on Income</v>
          </cell>
          <cell r="F43">
            <v>-38.55617634</v>
          </cell>
          <cell r="G43">
            <v>-2.044149</v>
          </cell>
          <cell r="H43">
            <v>-2.044149</v>
          </cell>
          <cell r="I43">
            <v>-3.0971419999999998</v>
          </cell>
          <cell r="J43">
            <v>-3.881939</v>
          </cell>
          <cell r="K43">
            <v>-2.931664</v>
          </cell>
          <cell r="L43">
            <v>-43.18716818</v>
          </cell>
          <cell r="M43">
            <v>-3.0598860000000001</v>
          </cell>
          <cell r="N43">
            <v>-24.930194</v>
          </cell>
          <cell r="O43">
            <v>-24.787741</v>
          </cell>
          <cell r="P43">
            <v>-24.787742000000001</v>
          </cell>
          <cell r="S43">
            <v>-134.75177417999998</v>
          </cell>
          <cell r="U43">
            <v>-49.499000000000002</v>
          </cell>
        </row>
        <row r="44">
          <cell r="C44" t="str">
            <v>Tax Reimbursement</v>
          </cell>
          <cell r="F44">
            <v>30.784253</v>
          </cell>
          <cell r="G44">
            <v>1.463438</v>
          </cell>
          <cell r="H44">
            <v>0.77994492000000004</v>
          </cell>
          <cell r="I44">
            <v>2.3837512799999998</v>
          </cell>
          <cell r="L44">
            <v>13.84708859</v>
          </cell>
          <cell r="O44">
            <v>0.21882171</v>
          </cell>
          <cell r="P44">
            <v>3.0266009999999999</v>
          </cell>
          <cell r="S44">
            <v>21.719645499999999</v>
          </cell>
        </row>
        <row r="45">
          <cell r="A45" t="str">
            <v>Net Income before Minoritary Int.</v>
          </cell>
          <cell r="F45">
            <v>-93.727702500000049</v>
          </cell>
          <cell r="G45">
            <v>-25.566570370000004</v>
          </cell>
          <cell r="H45">
            <v>17.425227610000039</v>
          </cell>
          <cell r="I45">
            <v>24.790256389999975</v>
          </cell>
          <cell r="J45">
            <v>13.093328180000043</v>
          </cell>
          <cell r="K45">
            <v>-2.4538438199999715</v>
          </cell>
          <cell r="L45">
            <v>-29.343251980000034</v>
          </cell>
          <cell r="M45">
            <v>0.31438017999994505</v>
          </cell>
          <cell r="N45">
            <v>-22.046889539999981</v>
          </cell>
          <cell r="O45">
            <v>-17.92747773</v>
          </cell>
          <cell r="P45">
            <v>-18.164268299999968</v>
          </cell>
          <cell r="Q45">
            <v>0</v>
          </cell>
          <cell r="R45">
            <v>0</v>
          </cell>
          <cell r="S45">
            <v>-59.879109379999953</v>
          </cell>
          <cell r="U45">
            <v>-94.20900000000043</v>
          </cell>
        </row>
        <row r="46">
          <cell r="A46" t="str">
            <v>Minoritary Interest</v>
          </cell>
          <cell r="F46">
            <v>-0.371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U46">
            <v>0</v>
          </cell>
        </row>
        <row r="47">
          <cell r="A47" t="str">
            <v xml:space="preserve">Net Income </v>
          </cell>
          <cell r="F47">
            <v>-94.098702500000044</v>
          </cell>
          <cell r="G47">
            <v>-25.566570370000004</v>
          </cell>
          <cell r="H47">
            <v>17.425227610000039</v>
          </cell>
          <cell r="I47">
            <v>24.790256389999975</v>
          </cell>
          <cell r="J47">
            <v>13.093328180000043</v>
          </cell>
          <cell r="K47">
            <v>-2.4538438199999715</v>
          </cell>
          <cell r="L47">
            <v>-29.343251980000034</v>
          </cell>
          <cell r="M47">
            <v>0.31438017999994505</v>
          </cell>
          <cell r="N47">
            <v>-22.046889539999981</v>
          </cell>
          <cell r="O47">
            <v>-17.92747773</v>
          </cell>
          <cell r="P47">
            <v>-18.164268299999968</v>
          </cell>
          <cell r="Q47">
            <v>0</v>
          </cell>
          <cell r="R47">
            <v>0</v>
          </cell>
          <cell r="S47">
            <v>-59.879109379999953</v>
          </cell>
          <cell r="U47">
            <v>-94.20900000000043</v>
          </cell>
        </row>
        <row r="49">
          <cell r="D49" t="str">
            <v>TC. monthly average DM</v>
          </cell>
          <cell r="F49">
            <v>5.2143421242970787</v>
          </cell>
          <cell r="G49">
            <v>5.9906060527289489</v>
          </cell>
          <cell r="H49">
            <v>5.7337464097963942</v>
          </cell>
          <cell r="I49">
            <v>5.4378190397928448</v>
          </cell>
          <cell r="J49">
            <v>5.1592426500929109</v>
          </cell>
          <cell r="K49">
            <v>5.0827653804216384</v>
          </cell>
          <cell r="L49">
            <v>5.0630578399078487</v>
          </cell>
          <cell r="M49">
            <v>4.9599993403690306</v>
          </cell>
          <cell r="N49">
            <v>5.0956788024045006</v>
          </cell>
          <cell r="O49">
            <v>5.0206108008696999</v>
          </cell>
          <cell r="P49">
            <v>5.2190963858822998</v>
          </cell>
          <cell r="Q49">
            <v>0.1</v>
          </cell>
          <cell r="R49">
            <v>0.1</v>
          </cell>
          <cell r="S49">
            <v>5.2826140351537569</v>
          </cell>
          <cell r="U49">
            <v>6.6749999999999998</v>
          </cell>
        </row>
        <row r="50">
          <cell r="A50" t="str">
            <v>Financial Result Total MBMex 1999</v>
          </cell>
        </row>
        <row r="52">
          <cell r="F52" t="str">
            <v>YTD</v>
          </cell>
          <cell r="G52" t="str">
            <v>Jul</v>
          </cell>
          <cell r="H52" t="str">
            <v>Feb</v>
          </cell>
          <cell r="I52" t="str">
            <v>Mar</v>
          </cell>
          <cell r="J52" t="str">
            <v>Apr</v>
          </cell>
          <cell r="K52" t="str">
            <v>May</v>
          </cell>
          <cell r="L52" t="str">
            <v>Jun</v>
          </cell>
          <cell r="M52" t="str">
            <v>Jul</v>
          </cell>
          <cell r="N52" t="str">
            <v>Jul</v>
          </cell>
          <cell r="O52" t="str">
            <v>Jul</v>
          </cell>
          <cell r="P52" t="str">
            <v>Jul</v>
          </cell>
          <cell r="Q52" t="str">
            <v>Jul</v>
          </cell>
          <cell r="R52" t="str">
            <v>Jul</v>
          </cell>
          <cell r="S52" t="str">
            <v>YTD</v>
          </cell>
          <cell r="U52" t="str">
            <v>OP. 99</v>
          </cell>
        </row>
        <row r="54">
          <cell r="A54" t="str">
            <v>in Mio DM</v>
          </cell>
        </row>
        <row r="56">
          <cell r="A56" t="str">
            <v>Turnover, net</v>
          </cell>
          <cell r="F56">
            <v>811.01522273208832</v>
          </cell>
          <cell r="G56">
            <v>33.004555056651114</v>
          </cell>
          <cell r="H56">
            <v>62.332687565212936</v>
          </cell>
          <cell r="I56">
            <v>65.918895942821848</v>
          </cell>
          <cell r="J56">
            <v>78.159424423028085</v>
          </cell>
          <cell r="K56">
            <v>80.852428918509219</v>
          </cell>
          <cell r="L56">
            <v>80.081603926013926</v>
          </cell>
          <cell r="M56">
            <v>84.217116345205255</v>
          </cell>
          <cell r="N56">
            <v>89.978674098070357</v>
          </cell>
          <cell r="O56">
            <v>100.30540718128647</v>
          </cell>
          <cell r="P56">
            <v>110.58838937354247</v>
          </cell>
          <cell r="Q56">
            <v>0</v>
          </cell>
          <cell r="R56">
            <v>0</v>
          </cell>
          <cell r="S56">
            <v>774.27811383364667</v>
          </cell>
          <cell r="U56">
            <v>924.7361797752809</v>
          </cell>
        </row>
        <row r="57">
          <cell r="B57" t="str">
            <v>Material Cost</v>
          </cell>
          <cell r="F57">
            <v>-699.89107190232676</v>
          </cell>
          <cell r="G57">
            <v>-26.887897188069029</v>
          </cell>
          <cell r="H57">
            <v>-50.80324910120045</v>
          </cell>
          <cell r="I57">
            <v>-53.074884726394785</v>
          </cell>
          <cell r="J57">
            <v>-65.762970813921669</v>
          </cell>
          <cell r="K57">
            <v>-64.247788848933766</v>
          </cell>
          <cell r="L57">
            <v>-63.164457051871388</v>
          </cell>
          <cell r="M57">
            <v>-66.042378653951275</v>
          </cell>
          <cell r="N57">
            <v>-70.988536920597909</v>
          </cell>
          <cell r="O57">
            <v>-78.101488122137482</v>
          </cell>
          <cell r="P57">
            <v>-86.855918343682205</v>
          </cell>
          <cell r="Q57">
            <v>0</v>
          </cell>
          <cell r="R57">
            <v>0</v>
          </cell>
          <cell r="S57">
            <v>-617.3761182847943</v>
          </cell>
          <cell r="U57">
            <v>-788.22426966292142</v>
          </cell>
        </row>
        <row r="58">
          <cell r="C58" t="str">
            <v>Direct Material</v>
          </cell>
          <cell r="F58">
            <v>-619.25546624421656</v>
          </cell>
          <cell r="G58">
            <v>-24.087265331738362</v>
          </cell>
          <cell r="H58">
            <v>-45.422892602124747</v>
          </cell>
          <cell r="I58">
            <v>-47.185634082772779</v>
          </cell>
          <cell r="J58">
            <v>-59.072902073041952</v>
          </cell>
          <cell r="K58">
            <v>-59.267744472401837</v>
          </cell>
          <cell r="L58">
            <v>-58.633394268196461</v>
          </cell>
          <cell r="M58">
            <v>-60.457096768018829</v>
          </cell>
          <cell r="N58">
            <v>-64.906008605552898</v>
          </cell>
          <cell r="O58">
            <v>-71.137677702109784</v>
          </cell>
          <cell r="P58">
            <v>-78.492836234666655</v>
          </cell>
          <cell r="Q58">
            <v>0</v>
          </cell>
          <cell r="R58">
            <v>0</v>
          </cell>
          <cell r="S58">
            <v>-560.63739087343686</v>
          </cell>
          <cell r="U58">
            <v>-673.60569288389513</v>
          </cell>
        </row>
        <row r="59">
          <cell r="C59" t="str">
            <v>Cost of Supply</v>
          </cell>
          <cell r="F59">
            <v>-80.635605658110208</v>
          </cell>
          <cell r="G59">
            <v>-2.800631856330666</v>
          </cell>
          <cell r="H59">
            <v>-5.3803564990757016</v>
          </cell>
          <cell r="I59">
            <v>-5.8892506436220042</v>
          </cell>
          <cell r="J59">
            <v>-6.690068740879715</v>
          </cell>
          <cell r="K59">
            <v>-4.9800443765319384</v>
          </cell>
          <cell r="L59">
            <v>-4.5310627836749235</v>
          </cell>
          <cell r="M59">
            <v>-5.5852818859324405</v>
          </cell>
          <cell r="N59">
            <v>-6.082528315045006</v>
          </cell>
          <cell r="O59">
            <v>-6.963810420027694</v>
          </cell>
          <cell r="P59">
            <v>-8.3630821090155543</v>
          </cell>
          <cell r="Q59">
            <v>0</v>
          </cell>
          <cell r="R59">
            <v>0</v>
          </cell>
          <cell r="S59">
            <v>-56.738727411357445</v>
          </cell>
          <cell r="U59">
            <v>-114.61857677902621</v>
          </cell>
        </row>
        <row r="60">
          <cell r="B60" t="str">
            <v>Other Direct Cost</v>
          </cell>
          <cell r="F60">
            <v>-23.522018012154234</v>
          </cell>
          <cell r="G60">
            <v>-1.5624176848912044</v>
          </cell>
          <cell r="H60">
            <v>-2.2006210160327022</v>
          </cell>
          <cell r="I60">
            <v>-2.7354014874622701</v>
          </cell>
          <cell r="J60">
            <v>-2.693519171801261</v>
          </cell>
          <cell r="K60">
            <v>-3.2223601650173617</v>
          </cell>
          <cell r="L60">
            <v>-2.8375189074003311</v>
          </cell>
          <cell r="M60">
            <v>-3.4106303830156102</v>
          </cell>
          <cell r="N60">
            <v>-2.9710130086802562</v>
          </cell>
          <cell r="O60">
            <v>-3.5782494167618002</v>
          </cell>
          <cell r="P60">
            <v>-3.7976628010960414</v>
          </cell>
          <cell r="Q60">
            <v>0</v>
          </cell>
          <cell r="R60">
            <v>0</v>
          </cell>
          <cell r="S60">
            <v>-28.647788638905393</v>
          </cell>
          <cell r="U60">
            <v>-29.893333333333334</v>
          </cell>
        </row>
        <row r="61">
          <cell r="C61" t="str">
            <v>Direct Wages</v>
          </cell>
          <cell r="F61">
            <v>-8.0885540865491254</v>
          </cell>
          <cell r="G61">
            <v>-1.1020203451690238</v>
          </cell>
          <cell r="H61">
            <v>-1.4891953288012973</v>
          </cell>
          <cell r="I61">
            <v>-1.6956625280327948</v>
          </cell>
          <cell r="J61">
            <v>-1.6200034805204373</v>
          </cell>
          <cell r="K61">
            <v>-2.1169908297257263</v>
          </cell>
          <cell r="L61">
            <v>-2.1152324304071</v>
          </cell>
          <cell r="M61">
            <v>-2.2220720112394186</v>
          </cell>
          <cell r="N61">
            <v>-2.225619932058609</v>
          </cell>
          <cell r="O61">
            <v>-2.3325633203775462</v>
          </cell>
          <cell r="P61">
            <v>-2.3393525080368849</v>
          </cell>
          <cell r="Q61">
            <v>0</v>
          </cell>
          <cell r="R61">
            <v>0</v>
          </cell>
          <cell r="S61">
            <v>-19.019289533818014</v>
          </cell>
          <cell r="U61">
            <v>-15.471310861423222</v>
          </cell>
        </row>
        <row r="62">
          <cell r="C62" t="str">
            <v>Licence Fees</v>
          </cell>
          <cell r="F62">
            <v>-4.586082857943885</v>
          </cell>
          <cell r="G62">
            <v>-0.11095706914281299</v>
          </cell>
          <cell r="H62">
            <v>-9.3991300187120957E-2</v>
          </cell>
          <cell r="I62">
            <v>-0.12430099550090022</v>
          </cell>
          <cell r="J62">
            <v>-0.12422419596575054</v>
          </cell>
          <cell r="K62">
            <v>-0.10849626310200725</v>
          </cell>
          <cell r="L62">
            <v>-0.1082428756156526</v>
          </cell>
          <cell r="M62">
            <v>-0.12518150253499916</v>
          </cell>
          <cell r="N62">
            <v>-4.6339859546990242E-2</v>
          </cell>
          <cell r="O62">
            <v>-8.5991770149801874E-2</v>
          </cell>
          <cell r="P62">
            <v>-0.1174853029460468</v>
          </cell>
          <cell r="Q62">
            <v>0</v>
          </cell>
          <cell r="R62">
            <v>0</v>
          </cell>
          <cell r="S62">
            <v>-1.0452938551357327</v>
          </cell>
          <cell r="U62">
            <v>-0.90666666666666662</v>
          </cell>
        </row>
        <row r="63">
          <cell r="C63" t="str">
            <v>Direct Selling Expenses</v>
          </cell>
          <cell r="F63">
            <v>-10.847381067661225</v>
          </cell>
          <cell r="G63">
            <v>-0.34944027057936738</v>
          </cell>
          <cell r="H63">
            <v>-0.61743438704428388</v>
          </cell>
          <cell r="I63">
            <v>-0.91543796392857479</v>
          </cell>
          <cell r="J63">
            <v>-0.94929149531507317</v>
          </cell>
          <cell r="K63">
            <v>-0.99687307218962773</v>
          </cell>
          <cell r="L63">
            <v>-0.61404360137757874</v>
          </cell>
          <cell r="M63">
            <v>-1.0633768692411925</v>
          </cell>
          <cell r="N63">
            <v>-0.69905321707465673</v>
          </cell>
          <cell r="O63">
            <v>-1.1596943262344521</v>
          </cell>
          <cell r="P63">
            <v>-1.3408249901131093</v>
          </cell>
          <cell r="Q63">
            <v>0</v>
          </cell>
          <cell r="R63">
            <v>0</v>
          </cell>
          <cell r="S63">
            <v>-8.58320524995165</v>
          </cell>
          <cell r="U63">
            <v>-13.515355805243447</v>
          </cell>
        </row>
        <row r="64">
          <cell r="B64" t="str">
            <v>Variable Overheads</v>
          </cell>
          <cell r="F64">
            <v>-5.8399912974398021</v>
          </cell>
          <cell r="G64">
            <v>-0.66201243498450413</v>
          </cell>
          <cell r="H64">
            <v>-0.94294249232274452</v>
          </cell>
          <cell r="I64">
            <v>-1.2257967635962248</v>
          </cell>
          <cell r="J64">
            <v>-1.2099761153679367</v>
          </cell>
          <cell r="K64">
            <v>-1.2295880376602311</v>
          </cell>
          <cell r="L64">
            <v>-2.1808449733611908</v>
          </cell>
          <cell r="M64">
            <v>-3.20295724047778</v>
          </cell>
          <cell r="N64">
            <v>-2.5687447772068075</v>
          </cell>
          <cell r="O64">
            <v>-4.8928093461745181</v>
          </cell>
          <cell r="P64">
            <v>-2.7814182488116583</v>
          </cell>
          <cell r="Q64">
            <v>0</v>
          </cell>
          <cell r="R64">
            <v>0</v>
          </cell>
          <cell r="S64">
            <v>-20.374319742795162</v>
          </cell>
          <cell r="U64">
            <v>-5.4906367041198498</v>
          </cell>
        </row>
        <row r="65">
          <cell r="C65" t="str">
            <v>Variable Overheads Personnel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U65">
            <v>0</v>
          </cell>
        </row>
        <row r="66">
          <cell r="C66" t="str">
            <v>Other Variable Overheads</v>
          </cell>
          <cell r="F66">
            <v>-5.8399912974398021</v>
          </cell>
          <cell r="G66">
            <v>-0.66201243498450413</v>
          </cell>
          <cell r="H66">
            <v>-0.94294249232274452</v>
          </cell>
          <cell r="I66">
            <v>-1.2257967635962248</v>
          </cell>
          <cell r="J66">
            <v>-1.2099761153679367</v>
          </cell>
          <cell r="K66">
            <v>-1.2295880376602311</v>
          </cell>
          <cell r="L66">
            <v>-2.1808449733611908</v>
          </cell>
          <cell r="M66">
            <v>-3.20295724047778</v>
          </cell>
          <cell r="N66">
            <v>-2.5687447772068075</v>
          </cell>
          <cell r="O66">
            <v>-4.8928093461745181</v>
          </cell>
          <cell r="P66">
            <v>-2.7814182488116583</v>
          </cell>
          <cell r="Q66">
            <v>0</v>
          </cell>
          <cell r="R66">
            <v>0</v>
          </cell>
          <cell r="S66">
            <v>-20.374319742795162</v>
          </cell>
          <cell r="U66">
            <v>-5.4906367041198498</v>
          </cell>
        </row>
        <row r="67">
          <cell r="A67" t="str">
            <v>Contribution Margin</v>
          </cell>
          <cell r="F67">
            <v>81.762141520167575</v>
          </cell>
          <cell r="G67">
            <v>3.8922277487063774</v>
          </cell>
          <cell r="H67">
            <v>8.3858749556570373</v>
          </cell>
          <cell r="I67">
            <v>8.8828129653685739</v>
          </cell>
          <cell r="J67">
            <v>8.4929583219372233</v>
          </cell>
          <cell r="K67">
            <v>12.152691866897857</v>
          </cell>
          <cell r="L67">
            <v>11.898782993381023</v>
          </cell>
          <cell r="M67">
            <v>11.5611500677606</v>
          </cell>
          <cell r="N67">
            <v>13.45037939158539</v>
          </cell>
          <cell r="O67">
            <v>13.732860296212669</v>
          </cell>
          <cell r="P67">
            <v>17.153389979952557</v>
          </cell>
          <cell r="Q67">
            <v>0</v>
          </cell>
          <cell r="R67">
            <v>0</v>
          </cell>
          <cell r="S67">
            <v>107.87988716715185</v>
          </cell>
          <cell r="U67">
            <v>101.12794007490632</v>
          </cell>
        </row>
        <row r="68">
          <cell r="B68" t="str">
            <v>Fixed Overheads</v>
          </cell>
          <cell r="F68">
            <v>-67.724870339791025</v>
          </cell>
          <cell r="G68">
            <v>-4.4035676804324142</v>
          </cell>
          <cell r="H68">
            <v>-6.9287526166352951</v>
          </cell>
          <cell r="I68">
            <v>-7.5278248007972381</v>
          </cell>
          <cell r="J68">
            <v>-7.2550182824461507</v>
          </cell>
          <cell r="K68">
            <v>-8.9132482692407553</v>
          </cell>
          <cell r="L68">
            <v>-9.7175278271945391</v>
          </cell>
          <cell r="M68">
            <v>-7.2502239158210147</v>
          </cell>
          <cell r="N68">
            <v>-7.0633076682573215</v>
          </cell>
          <cell r="O68">
            <v>-8.7609731633411183</v>
          </cell>
          <cell r="P68">
            <v>-8.1535694349523133</v>
          </cell>
          <cell r="Q68">
            <v>0</v>
          </cell>
          <cell r="R68">
            <v>0</v>
          </cell>
          <cell r="S68">
            <v>-75.241273584438787</v>
          </cell>
          <cell r="U68">
            <v>-67.363146067415727</v>
          </cell>
        </row>
        <row r="69">
          <cell r="C69" t="str">
            <v>Fixed Overheads Personnel</v>
          </cell>
          <cell r="F69">
            <v>-31.205648711197185</v>
          </cell>
          <cell r="G69">
            <v>-2.4210203161987525</v>
          </cell>
          <cell r="H69">
            <v>-2.8111657349304306</v>
          </cell>
          <cell r="I69">
            <v>-2.9973252145258797</v>
          </cell>
          <cell r="J69">
            <v>-3.3746161482996855</v>
          </cell>
          <cell r="K69">
            <v>-3.5414455208449525</v>
          </cell>
          <cell r="L69">
            <v>-3.8854512474536631</v>
          </cell>
          <cell r="M69">
            <v>-3.5429976566675361</v>
          </cell>
          <cell r="N69">
            <v>-3.6995910556812039</v>
          </cell>
          <cell r="O69">
            <v>-3.8509267610727465</v>
          </cell>
          <cell r="P69">
            <v>-3.3756739188907781</v>
          </cell>
          <cell r="Q69">
            <v>0</v>
          </cell>
          <cell r="R69">
            <v>0</v>
          </cell>
          <cell r="S69">
            <v>-33.199668157262096</v>
          </cell>
          <cell r="U69">
            <v>-32.30606741573034</v>
          </cell>
        </row>
        <row r="70">
          <cell r="C70" t="str">
            <v>Other Fixed Overheads</v>
          </cell>
          <cell r="F70">
            <v>-36.51922162859384</v>
          </cell>
          <cell r="G70">
            <v>-1.982547364233662</v>
          </cell>
          <cell r="H70">
            <v>-4.1175868817048649</v>
          </cell>
          <cell r="I70">
            <v>-4.5304995862713593</v>
          </cell>
          <cell r="J70">
            <v>-3.8804021341464656</v>
          </cell>
          <cell r="K70">
            <v>-5.3718027483958037</v>
          </cell>
          <cell r="L70">
            <v>-5.8320765797408765</v>
          </cell>
          <cell r="M70">
            <v>-3.7072262591534777</v>
          </cell>
          <cell r="N70">
            <v>-3.3637166125761184</v>
          </cell>
          <cell r="O70">
            <v>-4.9100464022683719</v>
          </cell>
          <cell r="P70">
            <v>-4.7778955160615348</v>
          </cell>
          <cell r="Q70">
            <v>0</v>
          </cell>
          <cell r="R70">
            <v>0</v>
          </cell>
          <cell r="S70">
            <v>-42.041605427176698</v>
          </cell>
          <cell r="U70">
            <v>-35.057078651685394</v>
          </cell>
        </row>
        <row r="71">
          <cell r="A71" t="str">
            <v>Operating Result</v>
          </cell>
          <cell r="F71">
            <v>14.037271180376539</v>
          </cell>
          <cell r="G71">
            <v>-0.51133993172603687</v>
          </cell>
          <cell r="H71">
            <v>1.4571223390217418</v>
          </cell>
          <cell r="I71">
            <v>1.3549881645713366</v>
          </cell>
          <cell r="J71">
            <v>1.2379400394910722</v>
          </cell>
          <cell r="K71">
            <v>3.2394435976571021</v>
          </cell>
          <cell r="L71">
            <v>2.1812551661864834</v>
          </cell>
          <cell r="M71">
            <v>4.3109261519395847</v>
          </cell>
          <cell r="N71">
            <v>6.3870717233280674</v>
          </cell>
          <cell r="O71">
            <v>4.9718871328715508</v>
          </cell>
          <cell r="P71">
            <v>8.9998205450002438</v>
          </cell>
          <cell r="Q71">
            <v>0</v>
          </cell>
          <cell r="R71">
            <v>0</v>
          </cell>
          <cell r="S71">
            <v>32.638613582713063</v>
          </cell>
          <cell r="U71">
            <v>33.764794007490586</v>
          </cell>
        </row>
        <row r="72">
          <cell r="B72" t="str">
            <v>Other Result</v>
          </cell>
          <cell r="F72">
            <v>18.169588689628586</v>
          </cell>
          <cell r="G72">
            <v>2.8204648880730683</v>
          </cell>
          <cell r="H72">
            <v>1.0835867312486576</v>
          </cell>
          <cell r="I72">
            <v>1.7515924785836292</v>
          </cell>
          <cell r="J72">
            <v>1.1381916762326054</v>
          </cell>
          <cell r="K72">
            <v>1.3657062367541652</v>
          </cell>
          <cell r="L72">
            <v>-4.1009849495177643E-2</v>
          </cell>
          <cell r="M72">
            <v>0.3907314753505205</v>
          </cell>
          <cell r="N72">
            <v>-1.09240639291733</v>
          </cell>
          <cell r="O72">
            <v>1.2695869850926984</v>
          </cell>
          <cell r="P72">
            <v>0.9224606874521466</v>
          </cell>
          <cell r="Q72">
            <v>0</v>
          </cell>
          <cell r="R72">
            <v>0</v>
          </cell>
          <cell r="S72">
            <v>9.9951034560985423</v>
          </cell>
          <cell r="U72">
            <v>9.8064419475655438</v>
          </cell>
        </row>
        <row r="73">
          <cell r="C73" t="str">
            <v>Other Income</v>
          </cell>
          <cell r="F73">
            <v>21.012399124166652</v>
          </cell>
          <cell r="G73">
            <v>2.9826135173519881</v>
          </cell>
          <cell r="H73">
            <v>1.1000659410439431</v>
          </cell>
          <cell r="I73">
            <v>1.6895954817117285</v>
          </cell>
          <cell r="J73">
            <v>1.3625032251339078</v>
          </cell>
          <cell r="K73">
            <v>39.398549016517471</v>
          </cell>
          <cell r="L73">
            <v>0.45365939371567698</v>
          </cell>
          <cell r="M73">
            <v>0.72114529348584056</v>
          </cell>
          <cell r="N73">
            <v>-0.15274956098738274</v>
          </cell>
          <cell r="O73">
            <v>0.12064611140442796</v>
          </cell>
          <cell r="P73">
            <v>1.0888567636673954</v>
          </cell>
          <cell r="Q73">
            <v>0</v>
          </cell>
          <cell r="R73">
            <v>0</v>
          </cell>
          <cell r="S73">
            <v>47.709321003358959</v>
          </cell>
          <cell r="U73">
            <v>12.591460674157304</v>
          </cell>
        </row>
        <row r="74">
          <cell r="D74" t="str">
            <v>Other income</v>
          </cell>
          <cell r="F74">
            <v>2.2626419570036469</v>
          </cell>
          <cell r="G74">
            <v>-3.7915768121078469E-2</v>
          </cell>
          <cell r="H74">
            <v>-0.18092639364509983</v>
          </cell>
          <cell r="I74">
            <v>-0.1764280740089777</v>
          </cell>
          <cell r="J74">
            <v>0.53368362310898765</v>
          </cell>
          <cell r="K74">
            <v>37.827994959320797</v>
          </cell>
          <cell r="L74">
            <v>0.13354570328438248</v>
          </cell>
          <cell r="M74">
            <v>5.9885431351267164E-2</v>
          </cell>
          <cell r="N74">
            <v>-0.86444226388865952</v>
          </cell>
          <cell r="O74">
            <v>-0.78961789655419401</v>
          </cell>
          <cell r="P74">
            <v>-0.16715147326265029</v>
          </cell>
          <cell r="Q74">
            <v>0</v>
          </cell>
          <cell r="R74">
            <v>0</v>
          </cell>
          <cell r="S74">
            <v>34.931917087262448</v>
          </cell>
          <cell r="U74">
            <v>2.2797003745318354</v>
          </cell>
        </row>
        <row r="75">
          <cell r="D75" t="str">
            <v>Monetary Result</v>
          </cell>
          <cell r="F75">
            <v>18.749757167163004</v>
          </cell>
          <cell r="G75">
            <v>3.0205292854730663</v>
          </cell>
          <cell r="H75">
            <v>1.2809923346890428</v>
          </cell>
          <cell r="I75">
            <v>1.8660235557207063</v>
          </cell>
          <cell r="J75">
            <v>0.82881960202491989</v>
          </cell>
          <cell r="K75">
            <v>1.5705540571966738</v>
          </cell>
          <cell r="L75">
            <v>0.32011369043129456</v>
          </cell>
          <cell r="M75">
            <v>0.66125986213457333</v>
          </cell>
          <cell r="N75">
            <v>0.71169270290127684</v>
          </cell>
          <cell r="O75">
            <v>0.91026400795862195</v>
          </cell>
          <cell r="P75">
            <v>1.2560082369300456</v>
          </cell>
          <cell r="Q75">
            <v>0</v>
          </cell>
          <cell r="R75">
            <v>0</v>
          </cell>
          <cell r="S75">
            <v>12.777403916096508</v>
          </cell>
          <cell r="U75">
            <v>10.311760299625469</v>
          </cell>
        </row>
        <row r="76">
          <cell r="C76" t="str">
            <v>Other Expenses</v>
          </cell>
          <cell r="F76">
            <v>-2.8428104345380638</v>
          </cell>
          <cell r="G76">
            <v>-0.1621486292789199</v>
          </cell>
          <cell r="H76">
            <v>-1.6479209795285533E-2</v>
          </cell>
          <cell r="I76">
            <v>6.1996996871900877E-2</v>
          </cell>
          <cell r="J76">
            <v>-0.22431154890130223</v>
          </cell>
          <cell r="K76">
            <v>-38.032842779763307</v>
          </cell>
          <cell r="L76">
            <v>-0.49466924321085465</v>
          </cell>
          <cell r="M76">
            <v>-0.33041381813532</v>
          </cell>
          <cell r="N76">
            <v>-0.9396568319299472</v>
          </cell>
          <cell r="O76">
            <v>1.1489408736882702</v>
          </cell>
          <cell r="P76">
            <v>-0.16639607621524866</v>
          </cell>
          <cell r="Q76">
            <v>0</v>
          </cell>
          <cell r="R76">
            <v>0</v>
          </cell>
          <cell r="S76">
            <v>-37.714217547260425</v>
          </cell>
          <cell r="U76">
            <v>-2.7850187265917605</v>
          </cell>
        </row>
        <row r="77">
          <cell r="B77" t="str">
            <v>Exchange Rate Result Operating</v>
          </cell>
          <cell r="F77">
            <v>-9.2134322673411404</v>
          </cell>
          <cell r="G77">
            <v>-2.2118391867821128</v>
          </cell>
          <cell r="H77">
            <v>0.53833583479141145</v>
          </cell>
          <cell r="I77">
            <v>0.48387331956898599</v>
          </cell>
          <cell r="J77">
            <v>1.5120722263100983</v>
          </cell>
          <cell r="K77">
            <v>-1.9354407736175978</v>
          </cell>
          <cell r="L77">
            <v>1.2064292712309157</v>
          </cell>
          <cell r="M77">
            <v>-0.40109272471233526</v>
          </cell>
          <cell r="N77">
            <v>0.69621679025882599</v>
          </cell>
          <cell r="O77">
            <v>0.46388782408637552</v>
          </cell>
          <cell r="P77">
            <v>-0.81596819739133286</v>
          </cell>
          <cell r="Q77">
            <v>0</v>
          </cell>
          <cell r="R77">
            <v>0</v>
          </cell>
          <cell r="S77">
            <v>-0.72534584289167636</v>
          </cell>
          <cell r="U77">
            <v>-3.8978277153558056</v>
          </cell>
        </row>
        <row r="78">
          <cell r="B78" t="str">
            <v>Valuation Measures</v>
          </cell>
          <cell r="F78">
            <v>-8.8630344725287404</v>
          </cell>
          <cell r="G78">
            <v>-0.5098285971598322</v>
          </cell>
          <cell r="H78">
            <v>-0.69377351659702302</v>
          </cell>
          <cell r="I78">
            <v>-0.84490783646508161</v>
          </cell>
          <cell r="J78">
            <v>-0.89207506646680335</v>
          </cell>
          <cell r="K78">
            <v>-1.60715494983606</v>
          </cell>
          <cell r="L78">
            <v>-1.7281282451553526</v>
          </cell>
          <cell r="M78">
            <v>-2.1612145233072644</v>
          </cell>
          <cell r="N78">
            <v>-3.3834497676471464</v>
          </cell>
          <cell r="O78">
            <v>-5.3542006074925093</v>
          </cell>
          <cell r="P78">
            <v>-5.8297245730702167</v>
          </cell>
          <cell r="Q78">
            <v>0</v>
          </cell>
          <cell r="R78">
            <v>0</v>
          </cell>
          <cell r="S78">
            <v>-22.416031735802058</v>
          </cell>
          <cell r="U78">
            <v>-9.6498876404494371</v>
          </cell>
        </row>
        <row r="79">
          <cell r="C79" t="str">
            <v>Depreciacion</v>
          </cell>
          <cell r="F79">
            <v>-5.9783898495034418</v>
          </cell>
          <cell r="G79">
            <v>-0.5098285971598322</v>
          </cell>
          <cell r="H79">
            <v>-0.69377351659702302</v>
          </cell>
          <cell r="I79">
            <v>-0.66101058047288974</v>
          </cell>
          <cell r="J79">
            <v>-0.89207506646680335</v>
          </cell>
          <cell r="K79">
            <v>-1.0562737286045327</v>
          </cell>
          <cell r="L79">
            <v>-0.91738343050107007</v>
          </cell>
          <cell r="M79">
            <v>-0.80144417513253996</v>
          </cell>
          <cell r="N79">
            <v>-0.77937475143174118</v>
          </cell>
          <cell r="O79">
            <v>-2.0781682097709342</v>
          </cell>
          <cell r="P79">
            <v>-1.9899001919360626</v>
          </cell>
          <cell r="Q79">
            <v>0</v>
          </cell>
          <cell r="R79">
            <v>0</v>
          </cell>
          <cell r="S79">
            <v>-10.223784764625155</v>
          </cell>
          <cell r="U79">
            <v>-9.6498876404494371</v>
          </cell>
        </row>
        <row r="80">
          <cell r="C80" t="str">
            <v>Valuation Measures</v>
          </cell>
          <cell r="F80">
            <v>-2.8846446230252978</v>
          </cell>
          <cell r="G80">
            <v>0</v>
          </cell>
          <cell r="H80">
            <v>0</v>
          </cell>
          <cell r="I80">
            <v>-0.18389725599219192</v>
          </cell>
          <cell r="J80">
            <v>0</v>
          </cell>
          <cell r="K80">
            <v>-0.55088122123152716</v>
          </cell>
          <cell r="L80">
            <v>-0.81074481465428239</v>
          </cell>
          <cell r="M80">
            <v>-1.3597703481747243</v>
          </cell>
          <cell r="N80">
            <v>-2.6040750162154058</v>
          </cell>
          <cell r="O80">
            <v>-3.2760323977215751</v>
          </cell>
          <cell r="P80">
            <v>-3.8398243811341537</v>
          </cell>
          <cell r="Q80">
            <v>0</v>
          </cell>
          <cell r="R80">
            <v>0</v>
          </cell>
          <cell r="S80">
            <v>-12.192246971176903</v>
          </cell>
          <cell r="U80">
            <v>0</v>
          </cell>
        </row>
        <row r="81">
          <cell r="D81" t="str">
            <v>Inventory Valuation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-1.2290804665797763</v>
          </cell>
          <cell r="O81">
            <v>-0.74433188873207512</v>
          </cell>
          <cell r="P81">
            <v>-0.95802024532925711</v>
          </cell>
          <cell r="Q81">
            <v>0</v>
          </cell>
          <cell r="R81">
            <v>0</v>
          </cell>
          <cell r="S81">
            <v>-2.8395033027551873</v>
          </cell>
          <cell r="U81">
            <v>0</v>
          </cell>
        </row>
        <row r="82">
          <cell r="D82" t="str">
            <v>Allowance for Bad Debts</v>
          </cell>
          <cell r="F82">
            <v>0.4831625692611291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-0.55088122123152716</v>
          </cell>
          <cell r="L82">
            <v>-0.74824729240481125</v>
          </cell>
          <cell r="M82">
            <v>-0.66415526171318129</v>
          </cell>
          <cell r="N82">
            <v>-0.64647121369689931</v>
          </cell>
          <cell r="O82">
            <v>-0.65613722924496709</v>
          </cell>
          <cell r="P82">
            <v>-0.64315916239445747</v>
          </cell>
          <cell r="Q82">
            <v>0</v>
          </cell>
          <cell r="R82">
            <v>0</v>
          </cell>
          <cell r="S82">
            <v>-3.7533989475766969</v>
          </cell>
          <cell r="U82">
            <v>0</v>
          </cell>
        </row>
        <row r="83">
          <cell r="D83" t="str">
            <v>Reserves for Restructuring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U83">
            <v>0</v>
          </cell>
        </row>
        <row r="84">
          <cell r="D84" t="str">
            <v>Other Reserves</v>
          </cell>
          <cell r="F84">
            <v>-3.3678071922864268</v>
          </cell>
          <cell r="G84">
            <v>0</v>
          </cell>
          <cell r="H84">
            <v>0</v>
          </cell>
          <cell r="I84">
            <v>-0.18389725599219192</v>
          </cell>
          <cell r="J84">
            <v>0</v>
          </cell>
          <cell r="K84">
            <v>0</v>
          </cell>
          <cell r="L84">
            <v>-6.2497522249471131E-2</v>
          </cell>
          <cell r="M84">
            <v>-0.69561508646154313</v>
          </cell>
          <cell r="N84">
            <v>-0.72852333593873009</v>
          </cell>
          <cell r="O84">
            <v>-1.8755632797445327</v>
          </cell>
          <cell r="P84">
            <v>-2.2386449734104392</v>
          </cell>
          <cell r="Q84">
            <v>0</v>
          </cell>
          <cell r="R84">
            <v>0</v>
          </cell>
          <cell r="S84">
            <v>-5.5993447208450204</v>
          </cell>
          <cell r="U84">
            <v>0</v>
          </cell>
        </row>
        <row r="85">
          <cell r="A85" t="str">
            <v>Operating Profit</v>
          </cell>
          <cell r="F85">
            <v>14.13039313013525</v>
          </cell>
          <cell r="G85">
            <v>-0.41254282759491345</v>
          </cell>
          <cell r="H85">
            <v>2.3852713884647874</v>
          </cell>
          <cell r="I85">
            <v>2.7455461262588701</v>
          </cell>
          <cell r="J85">
            <v>2.9961288755669728</v>
          </cell>
          <cell r="K85">
            <v>1.0625541109576093</v>
          </cell>
          <cell r="L85">
            <v>1.6185463427668687</v>
          </cell>
          <cell r="M85">
            <v>2.139350379270506</v>
          </cell>
          <cell r="N85">
            <v>2.6074323530224173</v>
          </cell>
          <cell r="O85">
            <v>1.3511613345581164</v>
          </cell>
          <cell r="P85">
            <v>3.2765884619908396</v>
          </cell>
          <cell r="Q85">
            <v>0</v>
          </cell>
          <cell r="R85">
            <v>0</v>
          </cell>
          <cell r="S85">
            <v>19.492339460117865</v>
          </cell>
          <cell r="U85">
            <v>30.023520599250876</v>
          </cell>
        </row>
        <row r="86">
          <cell r="B86" t="str">
            <v>Financial Result</v>
          </cell>
          <cell r="F86">
            <v>-30.615852208692484</v>
          </cell>
          <cell r="G86">
            <v>-3.7582971759165833</v>
          </cell>
          <cell r="H86">
            <v>0.874278363869603</v>
          </cell>
          <cell r="I86">
            <v>1.9445045950633206</v>
          </cell>
          <cell r="J86">
            <v>0.29413450828343407</v>
          </cell>
          <cell r="K86">
            <v>-0.96854619514065088</v>
          </cell>
          <cell r="L86">
            <v>-1.6191729186623729</v>
          </cell>
          <cell r="M86">
            <v>-1.4590546879914634</v>
          </cell>
          <cell r="N86">
            <v>-2.0415991104248907</v>
          </cell>
          <cell r="O86">
            <v>-2.8325961848180637E-2</v>
          </cell>
          <cell r="P86">
            <v>-2.5874130886964117</v>
          </cell>
          <cell r="Q86">
            <v>0</v>
          </cell>
          <cell r="R86">
            <v>0</v>
          </cell>
          <cell r="S86">
            <v>-9.43046120320051</v>
          </cell>
          <cell r="U86">
            <v>-36.721647940074909</v>
          </cell>
        </row>
        <row r="87">
          <cell r="C87" t="str">
            <v>Result on Interest</v>
          </cell>
          <cell r="F87">
            <v>-8.7047389965604047</v>
          </cell>
          <cell r="G87">
            <v>-1.3022832633847015</v>
          </cell>
          <cell r="H87">
            <v>-1.3471146642975234</v>
          </cell>
          <cell r="I87">
            <v>-1.7089798376876522</v>
          </cell>
          <cell r="J87">
            <v>-1.247689807705415</v>
          </cell>
          <cell r="K87">
            <v>-0.85804861597570237</v>
          </cell>
          <cell r="L87">
            <v>-1.0896211310318369</v>
          </cell>
          <cell r="M87">
            <v>-1.1716048715376728</v>
          </cell>
          <cell r="N87">
            <v>-1.4945111702108163</v>
          </cell>
          <cell r="O87">
            <v>-1.2731266679529831</v>
          </cell>
          <cell r="P87">
            <v>-1.0361595609976069</v>
          </cell>
          <cell r="Q87">
            <v>0</v>
          </cell>
          <cell r="R87">
            <v>0</v>
          </cell>
          <cell r="S87">
            <v>-12.562002449620289</v>
          </cell>
          <cell r="U87">
            <v>-12.266217228464422</v>
          </cell>
        </row>
        <row r="88">
          <cell r="D88" t="str">
            <v>Interest Income</v>
          </cell>
          <cell r="F88">
            <v>5.2341929130892115</v>
          </cell>
          <cell r="G88">
            <v>0.55055551491281285</v>
          </cell>
          <cell r="H88">
            <v>0.22429242559502507</v>
          </cell>
          <cell r="I88">
            <v>0.43975540791278295</v>
          </cell>
          <cell r="J88">
            <v>0.27940036896191356</v>
          </cell>
          <cell r="K88">
            <v>0.42216888236969879</v>
          </cell>
          <cell r="L88">
            <v>0.24221094816138228</v>
          </cell>
          <cell r="M88">
            <v>0.30016320120906115</v>
          </cell>
          <cell r="N88">
            <v>0.17899040449127551</v>
          </cell>
          <cell r="O88">
            <v>0.15640215725624004</v>
          </cell>
          <cell r="P88">
            <v>0.34633067610887447</v>
          </cell>
          <cell r="Q88">
            <v>0</v>
          </cell>
          <cell r="R88">
            <v>0</v>
          </cell>
          <cell r="S88">
            <v>3.17698197489295</v>
          </cell>
          <cell r="U88">
            <v>-1.61812734082397</v>
          </cell>
        </row>
        <row r="89">
          <cell r="D89" t="str">
            <v>Interest Expenses</v>
          </cell>
          <cell r="F89">
            <v>-13.938931909649614</v>
          </cell>
          <cell r="G89">
            <v>-1.8528387782975144</v>
          </cell>
          <cell r="H89">
            <v>-1.5714070898925485</v>
          </cell>
          <cell r="I89">
            <v>-2.1487352456004349</v>
          </cell>
          <cell r="J89">
            <v>-1.5270901766673286</v>
          </cell>
          <cell r="K89">
            <v>-1.2802174983454011</v>
          </cell>
          <cell r="L89">
            <v>-1.3318320791932192</v>
          </cell>
          <cell r="M89">
            <v>-1.4717680727467339</v>
          </cell>
          <cell r="N89">
            <v>-1.6735015747020916</v>
          </cell>
          <cell r="O89">
            <v>-1.4295288252092233</v>
          </cell>
          <cell r="P89">
            <v>-1.3824902371064813</v>
          </cell>
          <cell r="Q89">
            <v>0</v>
          </cell>
          <cell r="R89">
            <v>0</v>
          </cell>
          <cell r="S89">
            <v>-15.738984424513236</v>
          </cell>
          <cell r="U89">
            <v>-10.648089887640451</v>
          </cell>
        </row>
        <row r="90">
          <cell r="C90" t="str">
            <v>Other Financial Result</v>
          </cell>
          <cell r="F90">
            <v>-21.911113212132079</v>
          </cell>
          <cell r="G90">
            <v>-2.4560139125318821</v>
          </cell>
          <cell r="H90">
            <v>2.2213930281671264</v>
          </cell>
          <cell r="I90">
            <v>3.653484432750973</v>
          </cell>
          <cell r="J90">
            <v>1.5418243159888492</v>
          </cell>
          <cell r="K90">
            <v>-0.11049757916494858</v>
          </cell>
          <cell r="L90">
            <v>-0.52955178763053568</v>
          </cell>
          <cell r="M90">
            <v>-0.28744981645379053</v>
          </cell>
          <cell r="N90">
            <v>-0.54708794021407448</v>
          </cell>
          <cell r="O90">
            <v>1.2448007061048025</v>
          </cell>
          <cell r="P90">
            <v>-1.5512535276988049</v>
          </cell>
          <cell r="Q90">
            <v>0</v>
          </cell>
          <cell r="R90">
            <v>0</v>
          </cell>
          <cell r="S90">
            <v>3.131541246419776</v>
          </cell>
          <cell r="U90">
            <v>-24.455430711610489</v>
          </cell>
        </row>
        <row r="91">
          <cell r="B91" t="str">
            <v>Taxes</v>
          </cell>
          <cell r="F91">
            <v>-1.4905771948708817</v>
          </cell>
          <cell r="G91">
            <v>-9.6936936745400576E-2</v>
          </cell>
          <cell r="H91">
            <v>-0.22048482608858383</v>
          </cell>
          <cell r="I91">
            <v>-0.13119059585829412</v>
          </cell>
          <cell r="J91">
            <v>-0.75242419542529015</v>
          </cell>
          <cell r="K91">
            <v>-0.57678523020018002</v>
          </cell>
          <cell r="L91">
            <v>-5.7949327299278917</v>
          </cell>
          <cell r="M91">
            <v>-0.61691258204327515</v>
          </cell>
          <cell r="N91">
            <v>-4.8924186485687002</v>
          </cell>
          <cell r="O91">
            <v>-4.8936116071263731</v>
          </cell>
          <cell r="P91">
            <v>-4.169522727892911</v>
          </cell>
          <cell r="Q91">
            <v>0</v>
          </cell>
          <cell r="R91">
            <v>0</v>
          </cell>
          <cell r="S91">
            <v>-21.397006846953957</v>
          </cell>
          <cell r="U91">
            <v>-7.4155805243445698</v>
          </cell>
        </row>
        <row r="92">
          <cell r="C92" t="str">
            <v>Taxes on Income</v>
          </cell>
          <cell r="F92">
            <v>-7.3946891470270542</v>
          </cell>
          <cell r="G92">
            <v>-0.34122574277252171</v>
          </cell>
          <cell r="H92">
            <v>-0.35651193022898059</v>
          </cell>
          <cell r="I92">
            <v>-0.56955591521816917</v>
          </cell>
          <cell r="J92">
            <v>-0.75242419542529015</v>
          </cell>
          <cell r="K92">
            <v>-0.57678523020018002</v>
          </cell>
          <cell r="L92">
            <v>-8.5298587425945822</v>
          </cell>
          <cell r="M92">
            <v>-0.61691258204327515</v>
          </cell>
          <cell r="N92">
            <v>-4.8924186485687002</v>
          </cell>
          <cell r="O92">
            <v>-4.9371962860985201</v>
          </cell>
          <cell r="P92">
            <v>-4.7494317343996659</v>
          </cell>
          <cell r="Q92">
            <v>0</v>
          </cell>
          <cell r="R92">
            <v>0</v>
          </cell>
          <cell r="S92">
            <v>-25.508540522415409</v>
          </cell>
          <cell r="U92">
            <v>-7.4155805243445698</v>
          </cell>
        </row>
        <row r="93">
          <cell r="C93" t="str">
            <v>Tax Reimbursement</v>
          </cell>
          <cell r="F93">
            <v>5.9041119521561729</v>
          </cell>
          <cell r="G93">
            <v>0.24428880602712114</v>
          </cell>
          <cell r="H93">
            <v>0.13602710414039673</v>
          </cell>
          <cell r="I93">
            <v>0.43836531935987511</v>
          </cell>
          <cell r="J93">
            <v>0</v>
          </cell>
          <cell r="K93">
            <v>0</v>
          </cell>
          <cell r="L93">
            <v>2.7349260126666906</v>
          </cell>
          <cell r="M93">
            <v>0</v>
          </cell>
          <cell r="N93">
            <v>0</v>
          </cell>
          <cell r="O93">
            <v>4.3584678972147059E-2</v>
          </cell>
          <cell r="P93">
            <v>0.57990900650675492</v>
          </cell>
          <cell r="Q93">
            <v>0</v>
          </cell>
          <cell r="R93">
            <v>0</v>
          </cell>
          <cell r="S93">
            <v>4.1115336754614562</v>
          </cell>
          <cell r="U93">
            <v>0</v>
          </cell>
        </row>
        <row r="94">
          <cell r="A94" t="str">
            <v>Net Income</v>
          </cell>
          <cell r="F94">
            <v>-17.976036273428114</v>
          </cell>
          <cell r="G94">
            <v>-4.2677769402568977</v>
          </cell>
          <cell r="H94">
            <v>3.0390649262458069</v>
          </cell>
          <cell r="I94">
            <v>4.5588601254638972</v>
          </cell>
          <cell r="J94">
            <v>2.5378391884251168</v>
          </cell>
          <cell r="K94">
            <v>-0.48277731438322147</v>
          </cell>
          <cell r="L94">
            <v>-5.7955593058233958</v>
          </cell>
          <cell r="M94">
            <v>6.338310923576751E-2</v>
          </cell>
          <cell r="N94">
            <v>-4.3265854059711737</v>
          </cell>
          <cell r="O94">
            <v>-3.5707762344164373</v>
          </cell>
          <cell r="P94">
            <v>-3.4803473545984835</v>
          </cell>
          <cell r="Q94">
            <v>0</v>
          </cell>
          <cell r="R94">
            <v>0</v>
          </cell>
          <cell r="S94">
            <v>-11.335128590036598</v>
          </cell>
          <cell r="U94">
            <v>-14.113707865168603</v>
          </cell>
        </row>
        <row r="95">
          <cell r="A95" t="str">
            <v>Minoritary Interest</v>
          </cell>
          <cell r="F95">
            <v>-7.1154090835010356E-2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 t="e">
            <v>#DIV/0!</v>
          </cell>
          <cell r="U95">
            <v>0</v>
          </cell>
        </row>
        <row r="96">
          <cell r="A96" t="str">
            <v xml:space="preserve">Net Income </v>
          </cell>
          <cell r="F96">
            <v>-18.047190364263123</v>
          </cell>
          <cell r="G96">
            <v>-4.2677769402568977</v>
          </cell>
          <cell r="H96">
            <v>3.0390649262458069</v>
          </cell>
          <cell r="I96">
            <v>4.5588601254638972</v>
          </cell>
          <cell r="J96">
            <v>2.5378391884251168</v>
          </cell>
          <cell r="K96">
            <v>-0.48277731438322147</v>
          </cell>
          <cell r="L96">
            <v>-5.7955593058233958</v>
          </cell>
          <cell r="M96">
            <v>6.338310923576751E-2</v>
          </cell>
          <cell r="N96">
            <v>-4.3265854059711737</v>
          </cell>
          <cell r="O96">
            <v>-3.5707762344164373</v>
          </cell>
          <cell r="P96">
            <v>-3.4803473545984835</v>
          </cell>
          <cell r="Q96">
            <v>0</v>
          </cell>
          <cell r="R96">
            <v>0</v>
          </cell>
          <cell r="S96">
            <v>-11.335128590036598</v>
          </cell>
          <cell r="T96" t="e">
            <v>#DIV/0!</v>
          </cell>
          <cell r="U96">
            <v>-14.113707865168603</v>
          </cell>
        </row>
        <row r="98">
          <cell r="D98" t="str">
            <v>TC. monthly average USD</v>
          </cell>
          <cell r="F98">
            <v>9.134925344776633</v>
          </cell>
          <cell r="G98">
            <v>10.110444999999997</v>
          </cell>
          <cell r="H98">
            <v>10.015031578947369</v>
          </cell>
          <cell r="I98">
            <v>9.7693521739130453</v>
          </cell>
          <cell r="J98">
            <v>9.4460850000000001</v>
          </cell>
          <cell r="K98">
            <v>9.3578857142857146</v>
          </cell>
          <cell r="L98">
            <v>9.5417499999999986</v>
          </cell>
          <cell r="M98">
            <v>9.3670863636363624</v>
          </cell>
          <cell r="N98">
            <v>9.3980727272727265</v>
          </cell>
          <cell r="O98">
            <v>9.343514285714285</v>
          </cell>
          <cell r="P98">
            <v>9.5402666666666676</v>
          </cell>
          <cell r="Q98">
            <v>0.1</v>
          </cell>
          <cell r="R98">
            <v>0.1</v>
          </cell>
          <cell r="S98">
            <v>9.5943580937521666</v>
          </cell>
          <cell r="U98">
            <v>11.038</v>
          </cell>
        </row>
        <row r="99">
          <cell r="A99" t="str">
            <v>Financial Result Total MBMex 1999</v>
          </cell>
        </row>
        <row r="101">
          <cell r="F101" t="str">
            <v>YTD</v>
          </cell>
          <cell r="G101" t="str">
            <v>Jul</v>
          </cell>
          <cell r="H101" t="str">
            <v>Feb</v>
          </cell>
          <cell r="I101" t="str">
            <v>Mar</v>
          </cell>
          <cell r="J101" t="str">
            <v>Apr</v>
          </cell>
          <cell r="K101" t="str">
            <v>May</v>
          </cell>
          <cell r="L101" t="str">
            <v>Jun</v>
          </cell>
          <cell r="M101" t="str">
            <v>Jul</v>
          </cell>
          <cell r="N101" t="str">
            <v>Jul</v>
          </cell>
          <cell r="O101" t="str">
            <v>Jul</v>
          </cell>
          <cell r="P101" t="str">
            <v>Jul</v>
          </cell>
          <cell r="Q101" t="str">
            <v>Jul</v>
          </cell>
          <cell r="R101" t="str">
            <v>Jul</v>
          </cell>
          <cell r="S101" t="str">
            <v>YTD</v>
          </cell>
          <cell r="U101" t="str">
            <v>OP. 99</v>
          </cell>
        </row>
        <row r="103">
          <cell r="A103" t="str">
            <v>in Mio US$</v>
          </cell>
        </row>
        <row r="105">
          <cell r="A105" t="str">
            <v>Turnover, net</v>
          </cell>
          <cell r="F105">
            <v>462.91157387924977</v>
          </cell>
          <cell r="G105">
            <v>19.555745300033784</v>
          </cell>
          <cell r="H105">
            <v>35.686340150069157</v>
          </cell>
          <cell r="I105">
            <v>36.691790925213759</v>
          </cell>
          <cell r="J105">
            <v>42.688948489241838</v>
          </cell>
          <cell r="K105">
            <v>43.915253848702086</v>
          </cell>
          <cell r="L105">
            <v>42.493021991773006</v>
          </cell>
          <cell r="M105">
            <v>44.594105926214574</v>
          </cell>
          <cell r="N105">
            <v>48.78685615396968</v>
          </cell>
          <cell r="O105">
            <v>53.897751454179073</v>
          </cell>
          <cell r="P105">
            <v>60.498462303639307</v>
          </cell>
          <cell r="Q105">
            <v>0</v>
          </cell>
          <cell r="R105">
            <v>0</v>
          </cell>
          <cell r="S105">
            <v>426.31433924834857</v>
          </cell>
          <cell r="U105">
            <v>559.21489400253665</v>
          </cell>
        </row>
        <row r="106">
          <cell r="B106" t="str">
            <v>Material Cost</v>
          </cell>
          <cell r="F106">
            <v>-399.48408927136467</v>
          </cell>
          <cell r="G106">
            <v>-15.931524244481826</v>
          </cell>
          <cell r="H106">
            <v>-29.085574503062759</v>
          </cell>
          <cell r="I106">
            <v>-29.542554466474787</v>
          </cell>
          <cell r="J106">
            <v>-35.91827977622475</v>
          </cell>
          <cell r="K106">
            <v>-34.896390798135101</v>
          </cell>
          <cell r="L106">
            <v>-33.516419889433287</v>
          </cell>
          <cell r="M106">
            <v>-34.970335688549717</v>
          </cell>
          <cell r="N106">
            <v>-38.490315333511326</v>
          </cell>
          <cell r="O106">
            <v>-41.966776401201145</v>
          </cell>
          <cell r="P106">
            <v>-47.515381420505356</v>
          </cell>
          <cell r="Q106">
            <v>0</v>
          </cell>
          <cell r="R106">
            <v>0</v>
          </cell>
          <cell r="S106">
            <v>-339.92474697643331</v>
          </cell>
          <cell r="U106">
            <v>-476.66216705924984</v>
          </cell>
        </row>
        <row r="107">
          <cell r="C107" t="str">
            <v>Direct Material</v>
          </cell>
          <cell r="F107">
            <v>-353.45886794425155</v>
          </cell>
          <cell r="G107">
            <v>-14.272103501873563</v>
          </cell>
          <cell r="H107">
            <v>-26.005244749050899</v>
          </cell>
          <cell r="I107">
            <v>-26.264478427255419</v>
          </cell>
          <cell r="J107">
            <v>-32.264312235174678</v>
          </cell>
          <cell r="K107">
            <v>-32.191463860273686</v>
          </cell>
          <cell r="L107">
            <v>-31.112140491000083</v>
          </cell>
          <cell r="M107">
            <v>-32.012853137994313</v>
          </cell>
          <cell r="N107">
            <v>-35.192340152913367</v>
          </cell>
          <cell r="O107">
            <v>-38.224867228604715</v>
          </cell>
          <cell r="P107">
            <v>-42.940275384685258</v>
          </cell>
          <cell r="Q107">
            <v>0</v>
          </cell>
          <cell r="R107">
            <v>0</v>
          </cell>
          <cell r="S107">
            <v>-308.68463744214534</v>
          </cell>
          <cell r="U107">
            <v>-407.34897626381593</v>
          </cell>
        </row>
        <row r="108">
          <cell r="C108" t="str">
            <v>Cost of Supply</v>
          </cell>
          <cell r="F108">
            <v>-46.025221327113151</v>
          </cell>
          <cell r="G108">
            <v>-1.6594207426082637</v>
          </cell>
          <cell r="H108">
            <v>-3.0803297540118644</v>
          </cell>
          <cell r="I108">
            <v>-3.2780760392193682</v>
          </cell>
          <cell r="J108">
            <v>-3.6539675410500756</v>
          </cell>
          <cell r="K108">
            <v>-2.7049269378614214</v>
          </cell>
          <cell r="L108">
            <v>-2.4042793984332018</v>
          </cell>
          <cell r="M108">
            <v>-2.9574825505554028</v>
          </cell>
          <cell r="N108">
            <v>-3.2979751805979567</v>
          </cell>
          <cell r="O108">
            <v>-3.7419091725964235</v>
          </cell>
          <cell r="P108">
            <v>-4.5751060358201023</v>
          </cell>
          <cell r="Q108">
            <v>0</v>
          </cell>
          <cell r="R108">
            <v>0</v>
          </cell>
          <cell r="S108">
            <v>-31.240109534287971</v>
          </cell>
          <cell r="U108">
            <v>-69.313190795433954</v>
          </cell>
        </row>
        <row r="109">
          <cell r="B109" t="str">
            <v>Other Direct Cost</v>
          </cell>
          <cell r="F109">
            <v>-13.425906288345141</v>
          </cell>
          <cell r="G109">
            <v>-0.92575834594817574</v>
          </cell>
          <cell r="H109">
            <v>-1.259886476696082</v>
          </cell>
          <cell r="I109">
            <v>-1.5225798011171581</v>
          </cell>
          <cell r="J109">
            <v>-1.471140582579979</v>
          </cell>
          <cell r="K109">
            <v>-1.7502351695743241</v>
          </cell>
          <cell r="L109">
            <v>-1.5056485812350986</v>
          </cell>
          <cell r="M109">
            <v>-1.8059750698650354</v>
          </cell>
          <cell r="N109">
            <v>-1.6108970902157891</v>
          </cell>
          <cell r="O109">
            <v>-1.9227238403720839</v>
          </cell>
          <cell r="P109">
            <v>-2.0775486569208406</v>
          </cell>
          <cell r="Q109">
            <v>0</v>
          </cell>
          <cell r="R109">
            <v>0</v>
          </cell>
          <cell r="S109">
            <v>-15.773354388195003</v>
          </cell>
          <cell r="U109">
            <v>-18.077369088603007</v>
          </cell>
        </row>
        <row r="110">
          <cell r="C110" t="str">
            <v>Direct Wages</v>
          </cell>
          <cell r="F110">
            <v>-4.6167879438790571</v>
          </cell>
          <cell r="G110">
            <v>-0.65296529974694506</v>
          </cell>
          <cell r="H110">
            <v>-0.85258526672538537</v>
          </cell>
          <cell r="I110">
            <v>-0.94384006389102371</v>
          </cell>
          <cell r="J110">
            <v>-0.88481006152284258</v>
          </cell>
          <cell r="K110">
            <v>-1.149850300434164</v>
          </cell>
          <cell r="L110">
            <v>-1.1223878366127809</v>
          </cell>
          <cell r="M110">
            <v>-1.17661728334075</v>
          </cell>
          <cell r="N110">
            <v>-1.2067414925497297</v>
          </cell>
          <cell r="O110">
            <v>-1.2533712949853679</v>
          </cell>
          <cell r="P110">
            <v>-1.2797657179394006</v>
          </cell>
          <cell r="Q110">
            <v>0</v>
          </cell>
          <cell r="R110">
            <v>0</v>
          </cell>
          <cell r="S110">
            <v>-10.471942452869978</v>
          </cell>
          <cell r="U110">
            <v>-9.3559521652473272</v>
          </cell>
        </row>
        <row r="111">
          <cell r="C111" t="str">
            <v>Licence Fees</v>
          </cell>
          <cell r="F111">
            <v>-2.6176460986266221</v>
          </cell>
          <cell r="G111">
            <v>-6.5743900491026866E-2</v>
          </cell>
          <cell r="H111">
            <v>-5.3811341057862491E-2</v>
          </cell>
          <cell r="I111">
            <v>-6.918844852424462E-2</v>
          </cell>
          <cell r="J111">
            <v>-6.7848507609237052E-2</v>
          </cell>
          <cell r="K111">
            <v>-5.893009028290884E-2</v>
          </cell>
          <cell r="L111">
            <v>-5.7435998637566495E-2</v>
          </cell>
          <cell r="M111">
            <v>-6.6285304298076594E-2</v>
          </cell>
          <cell r="N111">
            <v>-2.5125687665169261E-2</v>
          </cell>
          <cell r="O111">
            <v>-4.6206512538873416E-2</v>
          </cell>
          <cell r="P111">
            <v>-6.4271486471377454E-2</v>
          </cell>
          <cell r="Q111">
            <v>0</v>
          </cell>
          <cell r="R111">
            <v>0</v>
          </cell>
          <cell r="S111">
            <v>-0.57553448975349819</v>
          </cell>
          <cell r="U111">
            <v>-0.54828773328501534</v>
          </cell>
        </row>
        <row r="112">
          <cell r="C112" t="str">
            <v>Direct Selling Expenses</v>
          </cell>
          <cell r="F112">
            <v>-6.1914722458394627</v>
          </cell>
          <cell r="G112">
            <v>-0.20704914571020372</v>
          </cell>
          <cell r="H112">
            <v>-0.35348986891283418</v>
          </cell>
          <cell r="I112">
            <v>-0.5095512887018897</v>
          </cell>
          <cell r="J112">
            <v>-0.51848201344789935</v>
          </cell>
          <cell r="K112">
            <v>-0.54145477885725102</v>
          </cell>
          <cell r="L112">
            <v>-0.32582474598475125</v>
          </cell>
          <cell r="M112">
            <v>-0.56307248222620898</v>
          </cell>
          <cell r="N112">
            <v>-0.37902991000088998</v>
          </cell>
          <cell r="O112">
            <v>-0.62314603284784253</v>
          </cell>
          <cell r="P112">
            <v>-0.73351145251006256</v>
          </cell>
          <cell r="Q112">
            <v>0</v>
          </cell>
          <cell r="R112">
            <v>0</v>
          </cell>
          <cell r="S112">
            <v>-4.7258774455715278</v>
          </cell>
          <cell r="U112">
            <v>-8.1731291900706644</v>
          </cell>
        </row>
        <row r="113">
          <cell r="B113" t="str">
            <v>Variable Overheads</v>
          </cell>
          <cell r="F113">
            <v>-3.3333524293563412</v>
          </cell>
          <cell r="G113">
            <v>-0.39225332811760527</v>
          </cell>
          <cell r="H113">
            <v>-0.53984783646266454</v>
          </cell>
          <cell r="I113">
            <v>-0.68230327470425467</v>
          </cell>
          <cell r="J113">
            <v>-0.66086218576267308</v>
          </cell>
          <cell r="K113">
            <v>-0.6678546523024127</v>
          </cell>
          <cell r="L113">
            <v>-1.1572032635522835</v>
          </cell>
          <cell r="M113">
            <v>-1.6960093227786464</v>
          </cell>
          <cell r="N113">
            <v>-1.3927853816256333</v>
          </cell>
          <cell r="O113">
            <v>-2.6290848067261328</v>
          </cell>
          <cell r="P113">
            <v>-1.521602114196668</v>
          </cell>
          <cell r="Q113">
            <v>0</v>
          </cell>
          <cell r="R113">
            <v>0</v>
          </cell>
          <cell r="S113">
            <v>-11.218016502853725</v>
          </cell>
          <cell r="U113">
            <v>-3.3203478891103457</v>
          </cell>
        </row>
        <row r="114">
          <cell r="C114" t="str">
            <v>Variable Overheads Personnel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U114">
            <v>0</v>
          </cell>
        </row>
        <row r="115">
          <cell r="C115" t="str">
            <v>Other Variable Overheads</v>
          </cell>
          <cell r="F115">
            <v>-3.3333524293563412</v>
          </cell>
          <cell r="G115">
            <v>-0.39225332811760527</v>
          </cell>
          <cell r="H115">
            <v>-0.53984783646266454</v>
          </cell>
          <cell r="I115">
            <v>-0.68230327470425467</v>
          </cell>
          <cell r="J115">
            <v>-0.66086218576267308</v>
          </cell>
          <cell r="K115">
            <v>-0.6678546523024127</v>
          </cell>
          <cell r="L115">
            <v>-1.1572032635522835</v>
          </cell>
          <cell r="M115">
            <v>-1.6960093227786464</v>
          </cell>
          <cell r="N115">
            <v>-1.3927853816256333</v>
          </cell>
          <cell r="O115">
            <v>-2.6290848067261328</v>
          </cell>
          <cell r="P115">
            <v>-1.521602114196668</v>
          </cell>
          <cell r="Q115">
            <v>0</v>
          </cell>
          <cell r="R115">
            <v>0</v>
          </cell>
          <cell r="S115">
            <v>-11.218016502853725</v>
          </cell>
          <cell r="U115">
            <v>-3.3203478891103457</v>
          </cell>
        </row>
        <row r="116">
          <cell r="A116" t="str">
            <v>Contribution Margin</v>
          </cell>
          <cell r="F116">
            <v>46.668225890183685</v>
          </cell>
          <cell r="G116">
            <v>2.3062093814861764</v>
          </cell>
          <cell r="H116">
            <v>4.8010313338476509</v>
          </cell>
          <cell r="I116">
            <v>4.8230631215919617</v>
          </cell>
          <cell r="J116">
            <v>4.6386659446744387</v>
          </cell>
          <cell r="K116">
            <v>6.6007732286902456</v>
          </cell>
          <cell r="L116">
            <v>6.3137502575523339</v>
          </cell>
          <cell r="M116">
            <v>6.121785845021174</v>
          </cell>
          <cell r="N116">
            <v>7.2928583486169325</v>
          </cell>
          <cell r="O116">
            <v>7.3791664058797082</v>
          </cell>
          <cell r="P116">
            <v>9.38393011201644</v>
          </cell>
          <cell r="Q116">
            <v>0</v>
          </cell>
          <cell r="R116">
            <v>0</v>
          </cell>
          <cell r="S116">
            <v>59.398221380866552</v>
          </cell>
          <cell r="U116">
            <v>61.155009965573441</v>
          </cell>
        </row>
        <row r="117">
          <cell r="B117" t="str">
            <v>Fixed Overheads</v>
          </cell>
          <cell r="F117">
            <v>-38.656026965990982</v>
          </cell>
          <cell r="G117">
            <v>-2.6091867568638181</v>
          </cell>
          <cell r="H117">
            <v>-3.9668083047797622</v>
          </cell>
          <cell r="I117">
            <v>-4.1901395610763199</v>
          </cell>
          <cell r="J117">
            <v>-3.9625304822050618</v>
          </cell>
          <cell r="K117">
            <v>-4.8412591383584811</v>
          </cell>
          <cell r="L117">
            <v>-5.1563293368616874</v>
          </cell>
          <cell r="M117">
            <v>-3.8390919485490547</v>
          </cell>
          <cell r="N117">
            <v>-3.8297583136968116</v>
          </cell>
          <cell r="O117">
            <v>-4.7075902219415759</v>
          </cell>
          <cell r="P117">
            <v>-4.4604900740021245</v>
          </cell>
          <cell r="Q117">
            <v>0</v>
          </cell>
          <cell r="R117">
            <v>0</v>
          </cell>
          <cell r="S117">
            <v>-41.427535221854221</v>
          </cell>
          <cell r="U117">
            <v>-40.73645587968835</v>
          </cell>
        </row>
        <row r="118">
          <cell r="C118" t="str">
            <v>Fixed Overheads Personnel</v>
          </cell>
          <cell r="F118">
            <v>-17.811571908799053</v>
          </cell>
          <cell r="G118">
            <v>-1.4344946201675597</v>
          </cell>
          <cell r="H118">
            <v>-1.609431913712861</v>
          </cell>
          <cell r="I118">
            <v>-1.6683718459370052</v>
          </cell>
          <cell r="J118">
            <v>-1.8431406831507444</v>
          </cell>
          <cell r="K118">
            <v>-1.9235473951686279</v>
          </cell>
          <cell r="L118">
            <v>-2.0617040270390654</v>
          </cell>
          <cell r="M118">
            <v>-1.8760653374800258</v>
          </cell>
          <cell r="N118">
            <v>-2.0059355005088086</v>
          </cell>
          <cell r="O118">
            <v>-2.069243316678032</v>
          </cell>
          <cell r="P118">
            <v>-1.8466955029209524</v>
          </cell>
          <cell r="Q118">
            <v>0</v>
          </cell>
          <cell r="R118">
            <v>0</v>
          </cell>
          <cell r="S118">
            <v>-18.27960049606736</v>
          </cell>
          <cell r="U118">
            <v>-19.536419641239355</v>
          </cell>
        </row>
        <row r="119">
          <cell r="C119" t="str">
            <v>Other Fixed Overheads</v>
          </cell>
          <cell r="F119">
            <v>-20.844455057191926</v>
          </cell>
          <cell r="G119">
            <v>-1.1746921366962586</v>
          </cell>
          <cell r="H119">
            <v>-2.357376391066901</v>
          </cell>
          <cell r="I119">
            <v>-2.521767715139315</v>
          </cell>
          <cell r="J119">
            <v>-2.1193897990543169</v>
          </cell>
          <cell r="K119">
            <v>-2.9177117431898534</v>
          </cell>
          <cell r="L119">
            <v>-3.094625309822622</v>
          </cell>
          <cell r="M119">
            <v>-1.9630266110690284</v>
          </cell>
          <cell r="N119">
            <v>-1.8238228131880037</v>
          </cell>
          <cell r="O119">
            <v>-2.6383469052635444</v>
          </cell>
          <cell r="P119">
            <v>-2.6137945710811716</v>
          </cell>
          <cell r="Q119">
            <v>0</v>
          </cell>
          <cell r="R119">
            <v>0</v>
          </cell>
          <cell r="S119">
            <v>-23.147934725786858</v>
          </cell>
          <cell r="U119">
            <v>-21.200036238448995</v>
          </cell>
        </row>
        <row r="120">
          <cell r="A120" t="str">
            <v>Operating Result</v>
          </cell>
          <cell r="F120">
            <v>8.0121989241926972</v>
          </cell>
          <cell r="G120">
            <v>-0.30297737537764208</v>
          </cell>
          <cell r="H120">
            <v>0.83422302906788892</v>
          </cell>
          <cell r="I120">
            <v>0.75421382184123908</v>
          </cell>
          <cell r="J120">
            <v>0.67613546246937672</v>
          </cell>
          <cell r="K120">
            <v>1.7595140903317643</v>
          </cell>
          <cell r="L120">
            <v>1.1574209206906461</v>
          </cell>
          <cell r="M120">
            <v>2.2826938964721197</v>
          </cell>
          <cell r="N120">
            <v>3.4631000349201209</v>
          </cell>
          <cell r="O120">
            <v>2.6715761839381322</v>
          </cell>
          <cell r="P120">
            <v>4.9234400380143146</v>
          </cell>
          <cell r="Q120">
            <v>0</v>
          </cell>
          <cell r="R120">
            <v>0</v>
          </cell>
          <cell r="S120">
            <v>17.970686159012338</v>
          </cell>
          <cell r="U120">
            <v>20.418554085885091</v>
          </cell>
        </row>
        <row r="121">
          <cell r="B121" t="str">
            <v>Other Result</v>
          </cell>
          <cell r="F121">
            <v>10.370844666417632</v>
          </cell>
          <cell r="G121">
            <v>1.6711721422746482</v>
          </cell>
          <cell r="H121">
            <v>0.62036864097966427</v>
          </cell>
          <cell r="I121">
            <v>0.97497180574921283</v>
          </cell>
          <cell r="J121">
            <v>0.62165511320298306</v>
          </cell>
          <cell r="K121">
            <v>0.74178768494714797</v>
          </cell>
          <cell r="L121">
            <v>-2.1760708465428266E-2</v>
          </cell>
          <cell r="M121">
            <v>0.20689761840176363</v>
          </cell>
          <cell r="N121">
            <v>-0.5923078339079193</v>
          </cell>
          <cell r="O121">
            <v>0.68219536408754122</v>
          </cell>
          <cell r="P121">
            <v>0.50464116027504469</v>
          </cell>
          <cell r="Q121">
            <v>0</v>
          </cell>
          <cell r="R121">
            <v>0</v>
          </cell>
          <cell r="S121">
            <v>5.5032627804859029</v>
          </cell>
          <cell r="U121">
            <v>5.9302409856858125</v>
          </cell>
        </row>
        <row r="122">
          <cell r="C122" t="str">
            <v>Other Income</v>
          </cell>
          <cell r="F122">
            <v>11.993465075513317</v>
          </cell>
          <cell r="G122">
            <v>1.7672478896824031</v>
          </cell>
          <cell r="H122">
            <v>0.62980322031724945</v>
          </cell>
          <cell r="I122">
            <v>0.94046302318119068</v>
          </cell>
          <cell r="J122">
            <v>0.744169118740727</v>
          </cell>
          <cell r="K122">
            <v>21.399447171522258</v>
          </cell>
          <cell r="L122">
            <v>0.24072143474729479</v>
          </cell>
          <cell r="M122">
            <v>0.38185621880093695</v>
          </cell>
          <cell r="N122">
            <v>-8.2821523368427546E-2</v>
          </cell>
          <cell r="O122">
            <v>6.4827553260779838E-2</v>
          </cell>
          <cell r="P122">
            <v>0.59566976464669052</v>
          </cell>
          <cell r="Q122">
            <v>0</v>
          </cell>
          <cell r="R122">
            <v>0</v>
          </cell>
          <cell r="S122">
            <v>26.2685555695614</v>
          </cell>
          <cell r="U122">
            <v>7.6144229026997641</v>
          </cell>
        </row>
        <row r="123">
          <cell r="D123" t="str">
            <v>Other income</v>
          </cell>
          <cell r="F123">
            <v>1.2914716272690536</v>
          </cell>
          <cell r="G123">
            <v>-2.2465720351577016E-2</v>
          </cell>
          <cell r="H123">
            <v>-0.10358290453928203</v>
          </cell>
          <cell r="I123">
            <v>-9.8203434876862006E-2</v>
          </cell>
          <cell r="J123">
            <v>0.29148618819330968</v>
          </cell>
          <cell r="K123">
            <v>20.546395741559447</v>
          </cell>
          <cell r="L123">
            <v>7.086222338669533E-2</v>
          </cell>
          <cell r="M123">
            <v>3.1710148542357458E-2</v>
          </cell>
          <cell r="N123">
            <v>-0.46870462145043279</v>
          </cell>
          <cell r="O123">
            <v>-0.42429047773398204</v>
          </cell>
          <cell r="P123">
            <v>-9.1441851730210189E-2</v>
          </cell>
          <cell r="Q123">
            <v>0</v>
          </cell>
          <cell r="R123">
            <v>0</v>
          </cell>
          <cell r="S123">
            <v>19.233369619606634</v>
          </cell>
          <cell r="U123">
            <v>1.3786011958688169</v>
          </cell>
        </row>
        <row r="124">
          <cell r="D124" t="str">
            <v>Monetary Result</v>
          </cell>
          <cell r="F124">
            <v>10.701993448244263</v>
          </cell>
          <cell r="G124">
            <v>1.7897136100339801</v>
          </cell>
          <cell r="H124">
            <v>0.73338612485653143</v>
          </cell>
          <cell r="I124">
            <v>1.0386664580580527</v>
          </cell>
          <cell r="J124">
            <v>0.45268293054741721</v>
          </cell>
          <cell r="K124">
            <v>0.85305142996281214</v>
          </cell>
          <cell r="L124">
            <v>0.16985921136059948</v>
          </cell>
          <cell r="M124">
            <v>0.35014607025857952</v>
          </cell>
          <cell r="N124">
            <v>0.38588309808200527</v>
          </cell>
          <cell r="O124">
            <v>0.48911803099476187</v>
          </cell>
          <cell r="P124">
            <v>0.68711161637690066</v>
          </cell>
          <cell r="Q124">
            <v>0</v>
          </cell>
          <cell r="R124">
            <v>0</v>
          </cell>
          <cell r="S124">
            <v>7.0351859499547613</v>
          </cell>
          <cell r="U124">
            <v>6.2358217068309481</v>
          </cell>
        </row>
        <row r="125">
          <cell r="C125" t="str">
            <v>Other Expenses</v>
          </cell>
          <cell r="F125">
            <v>-1.6226204090956848</v>
          </cell>
          <cell r="G125">
            <v>-9.6075747407755083E-2</v>
          </cell>
          <cell r="H125">
            <v>-9.4345793375851875E-3</v>
          </cell>
          <cell r="I125">
            <v>3.4508782568022173E-2</v>
          </cell>
          <cell r="J125">
            <v>-0.12251400553774394</v>
          </cell>
          <cell r="K125">
            <v>-20.65765948657511</v>
          </cell>
          <cell r="L125">
            <v>-0.26248214321272306</v>
          </cell>
          <cell r="M125">
            <v>-0.17495860039917335</v>
          </cell>
          <cell r="N125">
            <v>-0.50948631053949178</v>
          </cell>
          <cell r="O125">
            <v>0.6173678108267614</v>
          </cell>
          <cell r="P125">
            <v>-9.1028604371645797E-2</v>
          </cell>
          <cell r="Q125">
            <v>0</v>
          </cell>
          <cell r="R125">
            <v>0</v>
          </cell>
          <cell r="S125">
            <v>-20.765292789075499</v>
          </cell>
          <cell r="U125">
            <v>-1.6841819170139518</v>
          </cell>
        </row>
        <row r="126">
          <cell r="B126" t="str">
            <v>Exchange Rate Result Operating</v>
          </cell>
          <cell r="F126">
            <v>-5.2588463350134411</v>
          </cell>
          <cell r="G126">
            <v>-1.310551337750218</v>
          </cell>
          <cell r="H126">
            <v>0.30820483546836963</v>
          </cell>
          <cell r="I126">
            <v>0.26933367772594946</v>
          </cell>
          <cell r="J126">
            <v>0.82586039824964519</v>
          </cell>
          <cell r="K126">
            <v>-1.0512408101952211</v>
          </cell>
          <cell r="L126">
            <v>0.64015732753425747</v>
          </cell>
          <cell r="M126">
            <v>-0.21238404054040286</v>
          </cell>
          <cell r="N126">
            <v>0.37749198617124596</v>
          </cell>
          <cell r="O126">
            <v>0.24926383679435396</v>
          </cell>
          <cell r="P126">
            <v>-0.44638339983508496</v>
          </cell>
          <cell r="Q126">
            <v>0</v>
          </cell>
          <cell r="R126">
            <v>0</v>
          </cell>
          <cell r="S126">
            <v>-0.39937243248146159</v>
          </cell>
          <cell r="U126">
            <v>-2.357129914839645</v>
          </cell>
        </row>
        <row r="127">
          <cell r="B127" t="str">
            <v>Valuation Measures</v>
          </cell>
          <cell r="F127">
            <v>-5.0588461498948334</v>
          </cell>
          <cell r="G127">
            <v>-0.30208188462525648</v>
          </cell>
          <cell r="H127">
            <v>-0.39719509405861503</v>
          </cell>
          <cell r="I127">
            <v>-0.47029279303375987</v>
          </cell>
          <cell r="J127">
            <v>-0.48723166581710836</v>
          </cell>
          <cell r="K127">
            <v>-0.87293132117755545</v>
          </cell>
          <cell r="L127">
            <v>-0.91698202740587431</v>
          </cell>
          <cell r="M127">
            <v>-1.1443924176480609</v>
          </cell>
          <cell r="N127">
            <v>-1.8345222217708077</v>
          </cell>
          <cell r="O127">
            <v>-2.877007149344236</v>
          </cell>
          <cell r="P127">
            <v>-3.1892079658849508</v>
          </cell>
          <cell r="Q127">
            <v>0</v>
          </cell>
          <cell r="R127">
            <v>0</v>
          </cell>
          <cell r="S127">
            <v>-12.342174713815595</v>
          </cell>
          <cell r="U127">
            <v>-5.8355680376879864</v>
          </cell>
        </row>
        <row r="128">
          <cell r="C128" t="str">
            <v>Depreciacion</v>
          </cell>
          <cell r="F128">
            <v>-3.4123476069592558</v>
          </cell>
          <cell r="G128">
            <v>-0.30208188462525648</v>
          </cell>
          <cell r="H128">
            <v>-0.39719509405861503</v>
          </cell>
          <cell r="I128">
            <v>-0.36793186037434722</v>
          </cell>
          <cell r="J128">
            <v>-0.48723166581710836</v>
          </cell>
          <cell r="K128">
            <v>-0.57371843426170743</v>
          </cell>
          <cell r="L128">
            <v>-0.48678338564728701</v>
          </cell>
          <cell r="M128">
            <v>-0.42437556628407308</v>
          </cell>
          <cell r="N128">
            <v>-0.42258062001106617</v>
          </cell>
          <cell r="O128">
            <v>-1.1166755292441204</v>
          </cell>
          <cell r="P128">
            <v>-1.0885944033709747</v>
          </cell>
          <cell r="Q128">
            <v>0</v>
          </cell>
          <cell r="R128">
            <v>0</v>
          </cell>
          <cell r="S128">
            <v>-5.6291737667338202</v>
          </cell>
          <cell r="U128">
            <v>-5.8355680376879864</v>
          </cell>
        </row>
        <row r="129">
          <cell r="C129" t="str">
            <v>Valuation Measures</v>
          </cell>
          <cell r="F129">
            <v>-1.646498542935577</v>
          </cell>
          <cell r="G129">
            <v>0</v>
          </cell>
          <cell r="H129">
            <v>0</v>
          </cell>
          <cell r="I129">
            <v>-0.10236093265941267</v>
          </cell>
          <cell r="J129">
            <v>0</v>
          </cell>
          <cell r="K129">
            <v>-0.29921288691584785</v>
          </cell>
          <cell r="L129">
            <v>-0.43019864175858735</v>
          </cell>
          <cell r="M129">
            <v>-0.72001685136398785</v>
          </cell>
          <cell r="N129">
            <v>-1.4119416017597419</v>
          </cell>
          <cell r="O129">
            <v>-1.7603316201001156</v>
          </cell>
          <cell r="P129">
            <v>-2.1006135625139755</v>
          </cell>
          <cell r="Q129">
            <v>0</v>
          </cell>
          <cell r="R129">
            <v>0</v>
          </cell>
          <cell r="S129">
            <v>-6.7130009470817757</v>
          </cell>
          <cell r="U129">
            <v>0</v>
          </cell>
        </row>
        <row r="130">
          <cell r="D130" t="str">
            <v>Inventory Valuation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-0.66641315318034267</v>
          </cell>
          <cell r="O130">
            <v>-0.39995665503649597</v>
          </cell>
          <cell r="P130">
            <v>-0.52409436493738815</v>
          </cell>
          <cell r="Q130">
            <v>0</v>
          </cell>
          <cell r="R130">
            <v>0</v>
          </cell>
          <cell r="S130">
            <v>-1.5634188190003018</v>
          </cell>
          <cell r="U130">
            <v>0</v>
          </cell>
        </row>
        <row r="131">
          <cell r="D131" t="str">
            <v>Allowance for Bad Debts</v>
          </cell>
          <cell r="F131">
            <v>0.27577971301544352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-0.29921288691584785</v>
          </cell>
          <cell r="L131">
            <v>-0.39703611182435095</v>
          </cell>
          <cell r="M131">
            <v>-0.35167922362585829</v>
          </cell>
          <cell r="N131">
            <v>-0.35051970287912032</v>
          </cell>
          <cell r="O131">
            <v>-0.3525664497604144</v>
          </cell>
          <cell r="P131">
            <v>-0.35184652350737922</v>
          </cell>
          <cell r="Q131">
            <v>0</v>
          </cell>
          <cell r="R131">
            <v>0</v>
          </cell>
          <cell r="S131">
            <v>-2.0666059955498022</v>
          </cell>
          <cell r="U131">
            <v>0</v>
          </cell>
        </row>
        <row r="132">
          <cell r="D132" t="str">
            <v>Reserves for Restructuring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U132">
            <v>0</v>
          </cell>
        </row>
        <row r="133">
          <cell r="D133" t="str">
            <v>Other Reserves</v>
          </cell>
          <cell r="F133">
            <v>-1.9222782559510203</v>
          </cell>
          <cell r="G133">
            <v>0</v>
          </cell>
          <cell r="H133">
            <v>0</v>
          </cell>
          <cell r="I133">
            <v>-0.10236093265941267</v>
          </cell>
          <cell r="J133">
            <v>0</v>
          </cell>
          <cell r="K133">
            <v>0</v>
          </cell>
          <cell r="L133">
            <v>-3.3162529934236386E-2</v>
          </cell>
          <cell r="M133">
            <v>-0.36833762773812956</v>
          </cell>
          <cell r="N133">
            <v>-0.395008745700279</v>
          </cell>
          <cell r="O133">
            <v>-1.007808515303205</v>
          </cell>
          <cell r="P133">
            <v>-1.2246726740692084</v>
          </cell>
          <cell r="Q133">
            <v>0</v>
          </cell>
          <cell r="R133">
            <v>0</v>
          </cell>
          <cell r="S133">
            <v>-3.0829761325316718</v>
          </cell>
          <cell r="U133">
            <v>0</v>
          </cell>
        </row>
        <row r="134">
          <cell r="A134" t="str">
            <v>Operating Profit</v>
          </cell>
          <cell r="F134">
            <v>8.0653511057020566</v>
          </cell>
          <cell r="G134">
            <v>-0.24443845547846851</v>
          </cell>
          <cell r="H134">
            <v>1.3656014114573076</v>
          </cell>
          <cell r="I134">
            <v>1.5282265122826413</v>
          </cell>
          <cell r="J134">
            <v>1.6364193081048968</v>
          </cell>
          <cell r="K134">
            <v>0.57712964390613575</v>
          </cell>
          <cell r="L134">
            <v>0.85883551235360089</v>
          </cell>
          <cell r="M134">
            <v>1.1328150566854194</v>
          </cell>
          <cell r="N134">
            <v>1.4137619654126401</v>
          </cell>
          <cell r="O134">
            <v>0.72602823547579198</v>
          </cell>
          <cell r="P134">
            <v>1.7924898325693237</v>
          </cell>
          <cell r="Q134">
            <v>0</v>
          </cell>
          <cell r="R134">
            <v>0</v>
          </cell>
          <cell r="S134">
            <v>10.732401793201182</v>
          </cell>
          <cell r="U134">
            <v>18.156097119043267</v>
          </cell>
        </row>
        <row r="135">
          <cell r="B135" t="str">
            <v>Financial Result</v>
          </cell>
          <cell r="F135">
            <v>-17.474927639258482</v>
          </cell>
          <cell r="G135">
            <v>-2.2268532997311201</v>
          </cell>
          <cell r="H135">
            <v>0.50053665737186637</v>
          </cell>
          <cell r="I135">
            <v>1.0823505921134906</v>
          </cell>
          <cell r="J135">
            <v>0.16064976125029573</v>
          </cell>
          <cell r="K135">
            <v>-0.5260689455188291</v>
          </cell>
          <cell r="L135">
            <v>-0.85916798700448049</v>
          </cell>
          <cell r="M135">
            <v>-0.77258925657973598</v>
          </cell>
          <cell r="N135">
            <v>-1.1069645460191067</v>
          </cell>
          <cell r="O135">
            <v>-1.5220571794644281E-2</v>
          </cell>
          <cell r="P135">
            <v>-1.4154696898758945</v>
          </cell>
          <cell r="Q135">
            <v>0</v>
          </cell>
          <cell r="R135">
            <v>0</v>
          </cell>
          <cell r="S135">
            <v>-5.1923730825140959</v>
          </cell>
          <cell r="U135">
            <v>-22.206649755390469</v>
          </cell>
        </row>
        <row r="136">
          <cell r="C136" t="str">
            <v>Result on Interest</v>
          </cell>
          <cell r="F136">
            <v>-4.9684941985817401</v>
          </cell>
          <cell r="G136">
            <v>-0.77162439437631114</v>
          </cell>
          <cell r="H136">
            <v>-0.77124208836611907</v>
          </cell>
          <cell r="I136">
            <v>-0.95125274783473235</v>
          </cell>
          <cell r="J136">
            <v>-0.68146057017272232</v>
          </cell>
          <cell r="K136">
            <v>-0.46605183405286915</v>
          </cell>
          <cell r="L136">
            <v>-0.5781764152278146</v>
          </cell>
          <cell r="M136">
            <v>-0.620380678089966</v>
          </cell>
          <cell r="N136">
            <v>-0.81033091688044367</v>
          </cell>
          <cell r="O136">
            <v>-0.68409736471135052</v>
          </cell>
          <cell r="P136">
            <v>-0.56684124343135056</v>
          </cell>
          <cell r="Q136">
            <v>0</v>
          </cell>
          <cell r="R136">
            <v>0</v>
          </cell>
          <cell r="S136">
            <v>-6.9165867900233673</v>
          </cell>
          <cell r="U136">
            <v>-7.4177387207827508</v>
          </cell>
        </row>
        <row r="137">
          <cell r="D137" t="str">
            <v>Interest Income</v>
          </cell>
          <cell r="F137">
            <v>2.9875745996769636</v>
          </cell>
          <cell r="G137">
            <v>0.32621325767560194</v>
          </cell>
          <cell r="H137">
            <v>0.12841056764148207</v>
          </cell>
          <cell r="I137">
            <v>0.24477675565688789</v>
          </cell>
          <cell r="J137">
            <v>0.15260230031806829</v>
          </cell>
          <cell r="K137">
            <v>0.22930237080414989</v>
          </cell>
          <cell r="L137">
            <v>0.12852234024156997</v>
          </cell>
          <cell r="M137">
            <v>0.15894048823758625</v>
          </cell>
          <cell r="N137">
            <v>9.7049430927811126E-2</v>
          </cell>
          <cell r="O137">
            <v>8.4040580020365546E-2</v>
          </cell>
          <cell r="P137">
            <v>0.18946359081507155</v>
          </cell>
          <cell r="Q137">
            <v>0</v>
          </cell>
          <cell r="R137">
            <v>0</v>
          </cell>
          <cell r="S137">
            <v>1.7492331853789069</v>
          </cell>
          <cell r="U137">
            <v>-0.97852871897082805</v>
          </cell>
        </row>
        <row r="138">
          <cell r="D138" t="str">
            <v>Interest Expenses</v>
          </cell>
          <cell r="F138">
            <v>-7.9560687982587028</v>
          </cell>
          <cell r="G138">
            <v>-1.0978376520519131</v>
          </cell>
          <cell r="H138">
            <v>-0.89965265600760114</v>
          </cell>
          <cell r="I138">
            <v>-1.1960295034916202</v>
          </cell>
          <cell r="J138">
            <v>-0.83406287049079064</v>
          </cell>
          <cell r="K138">
            <v>-0.69535420485701904</v>
          </cell>
          <cell r="L138">
            <v>-0.70669875546938465</v>
          </cell>
          <cell r="M138">
            <v>-0.77932116632755222</v>
          </cell>
          <cell r="N138">
            <v>-0.90738034780825483</v>
          </cell>
          <cell r="O138">
            <v>-0.76813794473171615</v>
          </cell>
          <cell r="P138">
            <v>-0.75630483424642214</v>
          </cell>
          <cell r="Q138">
            <v>0</v>
          </cell>
          <cell r="R138">
            <v>0</v>
          </cell>
          <cell r="S138">
            <v>-8.6658199754022718</v>
          </cell>
          <cell r="U138">
            <v>-6.4392100018119232</v>
          </cell>
        </row>
        <row r="139">
          <cell r="C139" t="str">
            <v>Other Financial Result</v>
          </cell>
          <cell r="F139">
            <v>-12.506433440676743</v>
          </cell>
          <cell r="G139">
            <v>-1.4552289053548093</v>
          </cell>
          <cell r="H139">
            <v>1.2717787457379854</v>
          </cell>
          <cell r="I139">
            <v>2.0336033399482227</v>
          </cell>
          <cell r="J139">
            <v>0.84211033142301805</v>
          </cell>
          <cell r="K139">
            <v>-6.0017111465959949E-2</v>
          </cell>
          <cell r="L139">
            <v>-0.28099157177666573</v>
          </cell>
          <cell r="M139">
            <v>-0.15220857848977004</v>
          </cell>
          <cell r="N139">
            <v>-0.29663362913866287</v>
          </cell>
          <cell r="O139">
            <v>0.66887679291670621</v>
          </cell>
          <cell r="P139">
            <v>-0.84862844644454383</v>
          </cell>
          <cell r="Q139">
            <v>0</v>
          </cell>
          <cell r="R139">
            <v>0</v>
          </cell>
          <cell r="S139">
            <v>1.7242137075092705</v>
          </cell>
          <cell r="U139">
            <v>-14.78891103460772</v>
          </cell>
        </row>
        <row r="140">
          <cell r="B140" t="str">
            <v>Taxes</v>
          </cell>
          <cell r="F140">
            <v>-0.85079221194117371</v>
          </cell>
          <cell r="G140">
            <v>-5.743673992588854E-2</v>
          </cell>
          <cell r="H140">
            <v>-0.1262306633817798</v>
          </cell>
          <cell r="I140">
            <v>-7.3023339449769922E-2</v>
          </cell>
          <cell r="J140">
            <v>-0.41095744956773095</v>
          </cell>
          <cell r="K140">
            <v>-0.31328273175259369</v>
          </cell>
          <cell r="L140">
            <v>-3.074915983965206</v>
          </cell>
          <cell r="M140">
            <v>-0.32666358366019516</v>
          </cell>
          <cell r="N140">
            <v>-2.6526921767325606</v>
          </cell>
          <cell r="O140">
            <v>-2.6295158907783245</v>
          </cell>
          <cell r="P140">
            <v>-2.2809782745415923</v>
          </cell>
          <cell r="Q140">
            <v>0</v>
          </cell>
          <cell r="R140">
            <v>0</v>
          </cell>
          <cell r="S140">
            <v>-11.781103808665049</v>
          </cell>
          <cell r="U140">
            <v>-4.4844174669324151</v>
          </cell>
        </row>
        <row r="141">
          <cell r="C141" t="str">
            <v>Taxes on Income</v>
          </cell>
          <cell r="F141">
            <v>-4.2207434527143119</v>
          </cell>
          <cell r="G141">
            <v>-0.20218190198354283</v>
          </cell>
          <cell r="H141">
            <v>-0.20410809330816415</v>
          </cell>
          <cell r="I141">
            <v>-0.31702634369863864</v>
          </cell>
          <cell r="J141">
            <v>-0.41095744956773095</v>
          </cell>
          <cell r="K141">
            <v>-0.31328273175259369</v>
          </cell>
          <cell r="L141">
            <v>-4.5261265679775731</v>
          </cell>
          <cell r="M141">
            <v>-0.32666358366019516</v>
          </cell>
          <cell r="N141">
            <v>-2.6526921767325606</v>
          </cell>
          <cell r="O141">
            <v>-2.6529355274705453</v>
          </cell>
          <cell r="P141">
            <v>-2.5982231803443647</v>
          </cell>
          <cell r="Q141">
            <v>0</v>
          </cell>
          <cell r="R141">
            <v>0</v>
          </cell>
          <cell r="S141">
            <v>-14.044897309779396</v>
          </cell>
          <cell r="U141">
            <v>-4.4844174669324151</v>
          </cell>
        </row>
        <row r="142">
          <cell r="C142" t="str">
            <v>Tax Reimbursement</v>
          </cell>
          <cell r="F142">
            <v>3.3699512407731378</v>
          </cell>
          <cell r="G142">
            <v>0.14474516205765428</v>
          </cell>
          <cell r="H142">
            <v>7.7877429926384342E-2</v>
          </cell>
          <cell r="I142">
            <v>0.24400300424886873</v>
          </cell>
          <cell r="J142">
            <v>0</v>
          </cell>
          <cell r="K142">
            <v>0</v>
          </cell>
          <cell r="L142">
            <v>1.451210584012367</v>
          </cell>
          <cell r="M142">
            <v>0</v>
          </cell>
          <cell r="N142">
            <v>0</v>
          </cell>
          <cell r="O142">
            <v>2.3419636692220427E-2</v>
          </cell>
          <cell r="P142">
            <v>0.31724490580277276</v>
          </cell>
          <cell r="Q142">
            <v>0</v>
          </cell>
          <cell r="R142">
            <v>0</v>
          </cell>
          <cell r="S142">
            <v>2.263793501114348</v>
          </cell>
          <cell r="U142">
            <v>0</v>
          </cell>
        </row>
        <row r="143">
          <cell r="A143" t="str">
            <v>Net Income</v>
          </cell>
          <cell r="F143">
            <v>-10.260368745497599</v>
          </cell>
          <cell r="G143">
            <v>-2.5287284951354776</v>
          </cell>
          <cell r="H143">
            <v>1.7399074054473946</v>
          </cell>
          <cell r="I143">
            <v>2.5375537649463622</v>
          </cell>
          <cell r="J143">
            <v>1.3861116197874614</v>
          </cell>
          <cell r="K143">
            <v>-0.26222203336528704</v>
          </cell>
          <cell r="L143">
            <v>-3.0752484586160858</v>
          </cell>
          <cell r="M143">
            <v>3.3562216445488249E-2</v>
          </cell>
          <cell r="N143">
            <v>-2.345894757339027</v>
          </cell>
          <cell r="O143">
            <v>-1.9187082270971767</v>
          </cell>
          <cell r="P143">
            <v>-1.9039581318481629</v>
          </cell>
          <cell r="Q143">
            <v>0</v>
          </cell>
          <cell r="R143">
            <v>0</v>
          </cell>
          <cell r="S143">
            <v>-6.2410750979779612</v>
          </cell>
          <cell r="U143">
            <v>-8.534970103279619</v>
          </cell>
        </row>
        <row r="144">
          <cell r="A144" t="str">
            <v>Minoritary Interest</v>
          </cell>
          <cell r="F144">
            <v>-4.0613358730089512E-2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 t="e">
            <v>#DIV/0!</v>
          </cell>
          <cell r="U144">
            <v>0</v>
          </cell>
        </row>
        <row r="145">
          <cell r="A145" t="str">
            <v xml:space="preserve">Net Income </v>
          </cell>
          <cell r="F145">
            <v>-10.300982104227689</v>
          </cell>
          <cell r="G145">
            <v>-2.5287284951354776</v>
          </cell>
          <cell r="H145">
            <v>1.7399074054473946</v>
          </cell>
          <cell r="I145">
            <v>2.5375537649463622</v>
          </cell>
          <cell r="J145">
            <v>1.3861116197874614</v>
          </cell>
          <cell r="K145">
            <v>-0.26222203336528704</v>
          </cell>
          <cell r="L145">
            <v>-3.0752484586160858</v>
          </cell>
          <cell r="M145">
            <v>3.3562216445488249E-2</v>
          </cell>
          <cell r="N145">
            <v>-2.345894757339027</v>
          </cell>
          <cell r="O145">
            <v>-1.9187082270971767</v>
          </cell>
          <cell r="P145">
            <v>-1.9039581318481629</v>
          </cell>
          <cell r="Q145">
            <v>0</v>
          </cell>
          <cell r="R145">
            <v>0</v>
          </cell>
          <cell r="S145">
            <v>-6.2410750979779612</v>
          </cell>
          <cell r="T145" t="e">
            <v>#DIV/0!</v>
          </cell>
          <cell r="U145">
            <v>-8.534970103279619</v>
          </cell>
        </row>
      </sheetData>
      <sheetData sheetId="3">
        <row r="5">
          <cell r="B5" t="str">
            <v>In Mio. MXP $</v>
          </cell>
          <cell r="Q5" t="str">
            <v xml:space="preserve"> </v>
          </cell>
        </row>
        <row r="7">
          <cell r="A7" t="str">
            <v>Turnover, net</v>
          </cell>
          <cell r="F7">
            <v>3722.8942757899999</v>
          </cell>
          <cell r="G7">
            <v>157.57805227</v>
          </cell>
          <cell r="H7">
            <v>311.81740552000002</v>
          </cell>
          <cell r="I7">
            <v>301.88860928000003</v>
          </cell>
          <cell r="J7">
            <v>351.46241207999998</v>
          </cell>
          <cell r="K7">
            <v>383.40934220000003</v>
          </cell>
          <cell r="L7">
            <v>375.29005683999998</v>
          </cell>
          <cell r="M7">
            <v>410.45033637</v>
          </cell>
          <cell r="N7">
            <v>457.52718267</v>
          </cell>
          <cell r="O7">
            <v>503.91435877999999</v>
          </cell>
          <cell r="P7">
            <v>577.41892909000001</v>
          </cell>
          <cell r="S7">
            <v>3830.7566850999997</v>
          </cell>
          <cell r="U7">
            <v>5471.9</v>
          </cell>
        </row>
        <row r="8">
          <cell r="B8" t="str">
            <v>Material Cost</v>
          </cell>
          <cell r="F8">
            <v>-3210.6384232899995</v>
          </cell>
          <cell r="G8">
            <v>-125.31420066999999</v>
          </cell>
          <cell r="H8">
            <v>-251.81573741</v>
          </cell>
          <cell r="I8">
            <v>-239.83259174</v>
          </cell>
          <cell r="J8">
            <v>-294.50673900000004</v>
          </cell>
          <cell r="K8">
            <v>-299.97703329000001</v>
          </cell>
          <cell r="L8">
            <v>-289.33416918</v>
          </cell>
          <cell r="M8">
            <v>-320.56774638000002</v>
          </cell>
          <cell r="N8">
            <v>-360.77058688</v>
          </cell>
          <cell r="O8">
            <v>-392.11717483000001</v>
          </cell>
          <cell r="P8">
            <v>-453.30940951999997</v>
          </cell>
          <cell r="Q8">
            <v>0</v>
          </cell>
          <cell r="R8">
            <v>0</v>
          </cell>
          <cell r="S8">
            <v>-3027.5453889</v>
          </cell>
          <cell r="U8">
            <v>-4660.5999999999995</v>
          </cell>
        </row>
        <row r="9">
          <cell r="C9" t="str">
            <v>Direct Material</v>
          </cell>
          <cell r="F9">
            <v>-2864.5156551200002</v>
          </cell>
          <cell r="G9">
            <v>-114.91774552</v>
          </cell>
          <cell r="H9">
            <v>-227.62634589000001</v>
          </cell>
          <cell r="I9">
            <v>-216.43817641999999</v>
          </cell>
          <cell r="J9">
            <v>-266.82774102000002</v>
          </cell>
          <cell r="K9">
            <v>-274.66463614000003</v>
          </cell>
          <cell r="L9">
            <v>-266.39313622999998</v>
          </cell>
          <cell r="M9">
            <v>-292.86475191</v>
          </cell>
          <cell r="N9">
            <v>-329.77597628000001</v>
          </cell>
          <cell r="O9">
            <v>-357.15459301999999</v>
          </cell>
          <cell r="P9">
            <v>-409.66167790999998</v>
          </cell>
          <cell r="S9">
            <v>-2756.32478034</v>
          </cell>
          <cell r="U9">
            <v>-4010.7</v>
          </cell>
        </row>
        <row r="10">
          <cell r="C10" t="str">
            <v>Cost of Supply</v>
          </cell>
          <cell r="F10">
            <v>-346.12276816999997</v>
          </cell>
          <cell r="G10">
            <v>-10.39645515</v>
          </cell>
          <cell r="H10">
            <v>-24.189391520000001</v>
          </cell>
          <cell r="I10">
            <v>-23.39441532</v>
          </cell>
          <cell r="J10">
            <v>-27.678997979999998</v>
          </cell>
          <cell r="K10">
            <v>-25.312397149999999</v>
          </cell>
          <cell r="L10">
            <v>-22.94103295</v>
          </cell>
          <cell r="M10">
            <v>-27.70299447</v>
          </cell>
          <cell r="N10">
            <v>-30.994610600000001</v>
          </cell>
          <cell r="O10">
            <v>-34.962581810000003</v>
          </cell>
          <cell r="P10">
            <v>-43.647731610000001</v>
          </cell>
          <cell r="S10">
            <v>-271.22060856000002</v>
          </cell>
          <cell r="U10">
            <v>-649.9</v>
          </cell>
        </row>
        <row r="11">
          <cell r="B11" t="str">
            <v>Other Direct Cost</v>
          </cell>
          <cell r="F11">
            <v>-110.32556679000001</v>
          </cell>
          <cell r="G11">
            <v>-8.2674749300000006</v>
          </cell>
          <cell r="H11">
            <v>-11.313240889999999</v>
          </cell>
          <cell r="I11">
            <v>-13.388972079999998</v>
          </cell>
          <cell r="J11">
            <v>-12.47445379</v>
          </cell>
          <cell r="K11">
            <v>-15.946463830000001</v>
          </cell>
          <cell r="L11">
            <v>-13.9317139</v>
          </cell>
          <cell r="M11">
            <v>-16.91672445</v>
          </cell>
          <cell r="N11">
            <v>-16.016852010000001</v>
          </cell>
          <cell r="O11">
            <v>-17.964997669999999</v>
          </cell>
          <cell r="P11">
            <v>-19.820368200000001</v>
          </cell>
          <cell r="Q11">
            <v>0</v>
          </cell>
          <cell r="R11">
            <v>0</v>
          </cell>
          <cell r="S11">
            <v>-146.04126174999999</v>
          </cell>
          <cell r="U11">
            <v>-180.3</v>
          </cell>
        </row>
        <row r="12">
          <cell r="C12" t="str">
            <v>Direct Wages</v>
          </cell>
          <cell r="F12">
            <v>-38.61143045</v>
          </cell>
          <cell r="G12">
            <v>-6.0902957100000004</v>
          </cell>
          <cell r="H12">
            <v>-7.9175814799999999</v>
          </cell>
          <cell r="I12">
            <v>-8.5243236899999992</v>
          </cell>
          <cell r="J12">
            <v>-7.7944711199999999</v>
          </cell>
          <cell r="K12">
            <v>-10.7601677</v>
          </cell>
          <cell r="L12">
            <v>-10.70954414</v>
          </cell>
          <cell r="M12">
            <v>-11.021475710000001</v>
          </cell>
          <cell r="N12">
            <v>-11.340404230000001</v>
          </cell>
          <cell r="O12">
            <v>-11.710892599999999</v>
          </cell>
          <cell r="P12">
            <v>-12.20930622</v>
          </cell>
          <cell r="S12">
            <v>-98.078462599999995</v>
          </cell>
          <cell r="U12">
            <v>-96.7</v>
          </cell>
        </row>
        <row r="13">
          <cell r="C13" t="str">
            <v>Licence Fees</v>
          </cell>
          <cell r="F13">
            <v>-23.369181950000005</v>
          </cell>
          <cell r="G13">
            <v>-0.62482621999999999</v>
          </cell>
          <cell r="H13">
            <v>-0.46584521000000001</v>
          </cell>
          <cell r="I13">
            <v>-0.57236587000000005</v>
          </cell>
          <cell r="J13">
            <v>-0.58674040999999999</v>
          </cell>
          <cell r="K13">
            <v>-0.44980618999999999</v>
          </cell>
          <cell r="L13">
            <v>-0.44336435000000002</v>
          </cell>
          <cell r="M13">
            <v>-0.62090016999999997</v>
          </cell>
          <cell r="N13">
            <v>-0.44155912000000003</v>
          </cell>
          <cell r="O13">
            <v>-0.43173120999999998</v>
          </cell>
          <cell r="P13">
            <v>-0.61316711999999995</v>
          </cell>
          <cell r="S13">
            <v>-5.25030587</v>
          </cell>
          <cell r="U13">
            <v>-4.0999999999999996</v>
          </cell>
        </row>
        <row r="14">
          <cell r="C14" t="str">
            <v>Direct Selling Expenses</v>
          </cell>
          <cell r="F14">
            <v>-48.344954390000012</v>
          </cell>
          <cell r="G14">
            <v>-1.5523530000000001</v>
          </cell>
          <cell r="H14">
            <v>-2.9298142</v>
          </cell>
          <cell r="I14">
            <v>-4.2922825199999997</v>
          </cell>
          <cell r="J14">
            <v>-4.0932422600000002</v>
          </cell>
          <cell r="K14">
            <v>-4.7364899400000002</v>
          </cell>
          <cell r="L14">
            <v>-2.7788054099999999</v>
          </cell>
          <cell r="M14">
            <v>-5.2743485699999999</v>
          </cell>
          <cell r="N14">
            <v>-4.2348886600000002</v>
          </cell>
          <cell r="O14">
            <v>-5.8223738599999999</v>
          </cell>
          <cell r="P14">
            <v>-6.9978948599999997</v>
          </cell>
          <cell r="S14">
            <v>-42.712493280000004</v>
          </cell>
          <cell r="U14">
            <v>-79.5</v>
          </cell>
        </row>
        <row r="15">
          <cell r="B15" t="str">
            <v>Variable Overheads</v>
          </cell>
          <cell r="F15">
            <v>-29.015507149999998</v>
          </cell>
          <cell r="G15">
            <v>-3.8899658100000001</v>
          </cell>
          <cell r="H15">
            <v>-5.3159061799999998</v>
          </cell>
          <cell r="I15">
            <v>-6.5570269300000001</v>
          </cell>
          <cell r="J15">
            <v>-6.1865862399999996</v>
          </cell>
          <cell r="K15">
            <v>-6.2497075100000004</v>
          </cell>
          <cell r="L15">
            <v>-11.04174424</v>
          </cell>
          <cell r="M15">
            <v>-15.886665799999999</v>
          </cell>
          <cell r="N15">
            <v>-13.08949831</v>
          </cell>
          <cell r="O15">
            <v>-24.564891450000001</v>
          </cell>
          <cell r="P15">
            <v>-17.065658089999999</v>
          </cell>
          <cell r="Q15">
            <v>0</v>
          </cell>
          <cell r="R15">
            <v>0</v>
          </cell>
          <cell r="S15">
            <v>-109.84765056000001</v>
          </cell>
          <cell r="U15">
            <v>-34.299999999999997</v>
          </cell>
        </row>
        <row r="16">
          <cell r="C16" t="str">
            <v>Variable Overheads Personnel</v>
          </cell>
          <cell r="F16">
            <v>0</v>
          </cell>
          <cell r="S16">
            <v>0</v>
          </cell>
          <cell r="U16">
            <v>0</v>
          </cell>
        </row>
        <row r="17">
          <cell r="C17" t="str">
            <v>Other Variable Overheads</v>
          </cell>
          <cell r="F17">
            <v>-29.015507149999998</v>
          </cell>
          <cell r="G17">
            <v>-3.8899658100000001</v>
          </cell>
          <cell r="H17">
            <v>-5.3159061799999998</v>
          </cell>
          <cell r="I17">
            <v>-6.5570269300000001</v>
          </cell>
          <cell r="J17">
            <v>-6.1865862399999996</v>
          </cell>
          <cell r="K17">
            <v>-6.2497075100000004</v>
          </cell>
          <cell r="L17">
            <v>-11.04174424</v>
          </cell>
          <cell r="M17">
            <v>-15.886665799999999</v>
          </cell>
          <cell r="N17">
            <v>-13.08949831</v>
          </cell>
          <cell r="O17">
            <v>-24.564891450000001</v>
          </cell>
          <cell r="P17">
            <v>-17.065658089999999</v>
          </cell>
          <cell r="S17">
            <v>-109.84765056000001</v>
          </cell>
          <cell r="U17">
            <v>-34.299999999999997</v>
          </cell>
        </row>
        <row r="18">
          <cell r="A18" t="str">
            <v>Contribution Margin</v>
          </cell>
          <cell r="F18">
            <v>372.91477856</v>
          </cell>
          <cell r="G18">
            <v>20.106410860000011</v>
          </cell>
          <cell r="H18">
            <v>43.372521040000024</v>
          </cell>
          <cell r="I18">
            <v>42.110018530000026</v>
          </cell>
          <cell r="J18">
            <v>38.294633049999945</v>
          </cell>
          <cell r="K18">
            <v>61.236137570000018</v>
          </cell>
          <cell r="L18">
            <v>60.982429519999968</v>
          </cell>
          <cell r="M18">
            <v>57.079199739999979</v>
          </cell>
          <cell r="N18">
            <v>67.650245470000002</v>
          </cell>
          <cell r="O18">
            <v>69.267294829999969</v>
          </cell>
          <cell r="P18">
            <v>87.223493280000028</v>
          </cell>
          <cell r="Q18">
            <v>0</v>
          </cell>
          <cell r="R18">
            <v>0</v>
          </cell>
          <cell r="S18">
            <v>547.32238388999997</v>
          </cell>
          <cell r="U18">
            <v>596.70000000000027</v>
          </cell>
        </row>
        <row r="19">
          <cell r="B19" t="str">
            <v>Fixed Overheads</v>
          </cell>
          <cell r="F19">
            <v>-304.18083737999996</v>
          </cell>
          <cell r="G19">
            <v>-22.784848240000002</v>
          </cell>
          <cell r="H19">
            <v>-36.285388300000001</v>
          </cell>
          <cell r="I19">
            <v>-35.73324255</v>
          </cell>
          <cell r="J19">
            <v>-33.17145155</v>
          </cell>
          <cell r="K19">
            <v>-44.592168779999994</v>
          </cell>
          <cell r="L19">
            <v>-48.360875919999998</v>
          </cell>
          <cell r="M19">
            <v>-35.433188830000006</v>
          </cell>
          <cell r="N19">
            <v>-37.252904189999995</v>
          </cell>
          <cell r="O19">
            <v>-41.825133129999998</v>
          </cell>
          <cell r="P19">
            <v>-42.53979648</v>
          </cell>
          <cell r="Q19">
            <v>0</v>
          </cell>
          <cell r="R19">
            <v>0</v>
          </cell>
          <cell r="S19">
            <v>-377.97899796999997</v>
          </cell>
          <cell r="U19">
            <v>-398.6</v>
          </cell>
        </row>
        <row r="20">
          <cell r="C20" t="str">
            <v>Fixed Overheads Personnel</v>
          </cell>
          <cell r="F20">
            <v>-144.24415119</v>
          </cell>
          <cell r="G20">
            <v>-12.710878360000001</v>
          </cell>
          <cell r="H20">
            <v>-14.32212159</v>
          </cell>
          <cell r="I20">
            <v>-14.200937359999999</v>
          </cell>
          <cell r="J20">
            <v>-14.89217302</v>
          </cell>
          <cell r="K20">
            <v>-17.712277369999999</v>
          </cell>
          <cell r="L20">
            <v>-19.541578779999998</v>
          </cell>
          <cell r="M20">
            <v>-17.097349820000002</v>
          </cell>
          <cell r="N20">
            <v>-18.581637929999999</v>
          </cell>
          <cell r="O20">
            <v>-19.334004490000002</v>
          </cell>
          <cell r="P20">
            <v>-17.617967549999999</v>
          </cell>
          <cell r="S20">
            <v>-166.01092627</v>
          </cell>
          <cell r="U20">
            <v>-191.4</v>
          </cell>
        </row>
        <row r="21">
          <cell r="C21" t="str">
            <v>Other Fixed Overheads</v>
          </cell>
          <cell r="F21">
            <v>-159.93668618999999</v>
          </cell>
          <cell r="G21">
            <v>-10.07396988</v>
          </cell>
          <cell r="H21">
            <v>-21.963266709999999</v>
          </cell>
          <cell r="I21">
            <v>-21.532305189999999</v>
          </cell>
          <cell r="J21">
            <v>-18.279278529999999</v>
          </cell>
          <cell r="K21">
            <v>-26.879891409999999</v>
          </cell>
          <cell r="L21">
            <v>-28.81929714</v>
          </cell>
          <cell r="M21">
            <v>-18.335839010000001</v>
          </cell>
          <cell r="N21">
            <v>-18.671266259999999</v>
          </cell>
          <cell r="O21">
            <v>-22.491128639999999</v>
          </cell>
          <cell r="P21">
            <v>-24.92182893</v>
          </cell>
          <cell r="S21">
            <v>-211.96807170000002</v>
          </cell>
          <cell r="U21">
            <v>-207.2</v>
          </cell>
        </row>
        <row r="22">
          <cell r="A22" t="str">
            <v>Operating Result</v>
          </cell>
          <cell r="F22">
            <v>68.733941179999988</v>
          </cell>
          <cell r="G22">
            <v>-2.6784373799999912</v>
          </cell>
          <cell r="H22">
            <v>7.0871327400000226</v>
          </cell>
          <cell r="I22">
            <v>6.3767759800000263</v>
          </cell>
          <cell r="J22">
            <v>5.1231814999999443</v>
          </cell>
          <cell r="K22">
            <v>16.643968790000024</v>
          </cell>
          <cell r="L22">
            <v>12.62155359999997</v>
          </cell>
          <cell r="M22">
            <v>21.646010909999973</v>
          </cell>
          <cell r="N22">
            <v>30.397341280000006</v>
          </cell>
          <cell r="O22">
            <v>27.442161699999971</v>
          </cell>
          <cell r="P22">
            <v>44.683696800000028</v>
          </cell>
          <cell r="Q22">
            <v>0</v>
          </cell>
          <cell r="R22">
            <v>0</v>
          </cell>
          <cell r="S22">
            <v>169.34338591999997</v>
          </cell>
          <cell r="U22">
            <v>198.10000000000025</v>
          </cell>
        </row>
        <row r="23">
          <cell r="B23" t="str">
            <v>Other Result</v>
          </cell>
          <cell r="F23">
            <v>78.678161710000012</v>
          </cell>
          <cell r="G23">
            <v>12.11703509</v>
          </cell>
          <cell r="H23">
            <v>2.7540549099999998</v>
          </cell>
          <cell r="I23">
            <v>6.3589792599999999</v>
          </cell>
          <cell r="J23">
            <v>6.6970477100000005</v>
          </cell>
          <cell r="K23">
            <v>7.5402120900000007</v>
          </cell>
          <cell r="L23">
            <v>0.19085816999999983</v>
          </cell>
          <cell r="M23">
            <v>2.1358826300000002</v>
          </cell>
          <cell r="N23">
            <v>-5.3713833700000002</v>
          </cell>
          <cell r="O23">
            <v>6.5158444800000002</v>
          </cell>
          <cell r="P23">
            <v>4.8144112400000001</v>
          </cell>
          <cell r="Q23">
            <v>0</v>
          </cell>
          <cell r="R23">
            <v>0</v>
          </cell>
          <cell r="S23">
            <v>43.752942209999986</v>
          </cell>
          <cell r="U23">
            <v>58.931881999999987</v>
          </cell>
        </row>
        <row r="24">
          <cell r="C24" t="str">
            <v>Other Income</v>
          </cell>
          <cell r="F24">
            <v>93.08808793999998</v>
          </cell>
          <cell r="G24">
            <v>13.08840365</v>
          </cell>
          <cell r="H24">
            <v>2.8408011999999996</v>
          </cell>
          <cell r="I24">
            <v>6.0092109699999998</v>
          </cell>
          <cell r="J24">
            <v>7.8545154200000002</v>
          </cell>
          <cell r="K24">
            <v>9.6481741700000008</v>
          </cell>
          <cell r="L24">
            <v>2.6953971599999997</v>
          </cell>
          <cell r="M24">
            <v>3.77473495</v>
          </cell>
          <cell r="N24">
            <v>-0.58319396999999995</v>
          </cell>
          <cell r="O24">
            <v>0.74745952000000004</v>
          </cell>
          <cell r="P24">
            <v>5.6828484000000001</v>
          </cell>
          <cell r="Q24">
            <v>0</v>
          </cell>
          <cell r="R24">
            <v>0</v>
          </cell>
          <cell r="S24">
            <v>51.758351470000001</v>
          </cell>
          <cell r="U24">
            <v>77.442607999999993</v>
          </cell>
        </row>
        <row r="25">
          <cell r="D25" t="str">
            <v>Other income</v>
          </cell>
          <cell r="F25">
            <v>15.78917598</v>
          </cell>
          <cell r="G25">
            <v>0.18645766</v>
          </cell>
          <cell r="H25">
            <v>-0.93897003000000012</v>
          </cell>
          <cell r="I25">
            <v>-0.43177463999999999</v>
          </cell>
          <cell r="J25">
            <v>3.2984356199999998</v>
          </cell>
          <cell r="K25">
            <v>3.4685574099999998</v>
          </cell>
          <cell r="L25">
            <v>1.0746430300000001</v>
          </cell>
          <cell r="M25">
            <v>0.49488647000000002</v>
          </cell>
          <cell r="N25">
            <v>-4.2097513900000001</v>
          </cell>
          <cell r="O25">
            <v>-3.8226217899999999</v>
          </cell>
          <cell r="P25">
            <v>-0.87237964999999995</v>
          </cell>
          <cell r="S25">
            <v>-1.7525173100000004</v>
          </cell>
          <cell r="U25">
            <v>15.155174000000001</v>
          </cell>
        </row>
        <row r="26">
          <cell r="D26" t="str">
            <v>Monetary Result</v>
          </cell>
          <cell r="F26">
            <v>77.298911960000012</v>
          </cell>
          <cell r="G26">
            <v>12.90194599</v>
          </cell>
          <cell r="H26">
            <v>3.7797712299999997</v>
          </cell>
          <cell r="I26">
            <v>6.4409856100000002</v>
          </cell>
          <cell r="J26">
            <v>4.5560798</v>
          </cell>
          <cell r="K26">
            <v>6.17961676</v>
          </cell>
          <cell r="L26">
            <v>1.6207541299999999</v>
          </cell>
          <cell r="M26">
            <v>3.2798484800000001</v>
          </cell>
          <cell r="N26">
            <v>3.6265574200000001</v>
          </cell>
          <cell r="O26">
            <v>4.57008131</v>
          </cell>
          <cell r="P26">
            <v>6.5552280500000002</v>
          </cell>
          <cell r="S26">
            <v>53.510868779999996</v>
          </cell>
          <cell r="U26">
            <v>62.287433999999998</v>
          </cell>
        </row>
        <row r="27">
          <cell r="C27" t="str">
            <v>Other Expenses</v>
          </cell>
          <cell r="F27">
            <v>-14.409926229999998</v>
          </cell>
          <cell r="G27">
            <v>-0.97136856000000005</v>
          </cell>
          <cell r="H27">
            <v>-8.6746290000000004E-2</v>
          </cell>
          <cell r="I27">
            <v>0.34976828999999998</v>
          </cell>
          <cell r="J27">
            <v>-1.1574677099999999</v>
          </cell>
          <cell r="K27">
            <v>-2.1079620800000001</v>
          </cell>
          <cell r="L27">
            <v>-2.5045389899999999</v>
          </cell>
          <cell r="M27">
            <v>-1.63885232</v>
          </cell>
          <cell r="N27">
            <v>-4.7881894000000003</v>
          </cell>
          <cell r="O27">
            <v>5.7683849599999997</v>
          </cell>
          <cell r="P27">
            <v>-0.86843716000000004</v>
          </cell>
          <cell r="S27">
            <v>-8.0054092600000004</v>
          </cell>
          <cell r="U27">
            <v>-18.510726000000002</v>
          </cell>
        </row>
        <row r="28">
          <cell r="B28" t="str">
            <v>Exchange Rate Result Operating</v>
          </cell>
          <cell r="F28">
            <v>-35.509164949999999</v>
          </cell>
          <cell r="G28">
            <v>-8.4864374300000005</v>
          </cell>
          <cell r="H28">
            <v>2.64759118</v>
          </cell>
          <cell r="I28">
            <v>5.1323356599999999</v>
          </cell>
          <cell r="J28">
            <v>8.6576279399999994</v>
          </cell>
          <cell r="K28">
            <v>-9.42965974</v>
          </cell>
          <cell r="L28">
            <v>6.5335622799999999</v>
          </cell>
          <cell r="M28">
            <v>-2.0457600999999999</v>
          </cell>
          <cell r="N28">
            <v>3.4922686299999999</v>
          </cell>
          <cell r="O28">
            <v>2.2668512199999999</v>
          </cell>
          <cell r="P28">
            <v>-3.9256648900000002</v>
          </cell>
          <cell r="S28">
            <v>4.842714749999999</v>
          </cell>
          <cell r="U28">
            <v>-20.188502</v>
          </cell>
        </row>
        <row r="29">
          <cell r="B29" t="str">
            <v>Valuation Measures</v>
          </cell>
          <cell r="F29">
            <v>-39.537375249999997</v>
          </cell>
          <cell r="G29">
            <v>-2.9674367899999998</v>
          </cell>
          <cell r="H29">
            <v>-3.9213307199999998</v>
          </cell>
          <cell r="I29">
            <v>-4.4413924199999997</v>
          </cell>
          <cell r="J29">
            <v>-4.4194923599999996</v>
          </cell>
          <cell r="K29">
            <v>-8.1687915400000009</v>
          </cell>
          <cell r="L29">
            <v>-8.7496132600000003</v>
          </cell>
          <cell r="M29">
            <v>-10.71962261</v>
          </cell>
          <cell r="N29">
            <v>-17.240973259999997</v>
          </cell>
          <cell r="O29">
            <v>-26.881357399999999</v>
          </cell>
          <cell r="P29">
            <v>-30.425894450000001</v>
          </cell>
          <cell r="Q29">
            <v>0</v>
          </cell>
          <cell r="R29">
            <v>0</v>
          </cell>
          <cell r="S29">
            <v>-117.93590481</v>
          </cell>
          <cell r="U29">
            <v>-57.055422</v>
          </cell>
        </row>
        <row r="30">
          <cell r="C30" t="str">
            <v>Depreciation</v>
          </cell>
          <cell r="F30">
            <v>-27.809583530000001</v>
          </cell>
          <cell r="G30">
            <v>-2.9674367899999998</v>
          </cell>
          <cell r="H30">
            <v>-3.9213307199999998</v>
          </cell>
          <cell r="I30">
            <v>-3.4413924200000001</v>
          </cell>
          <cell r="J30">
            <v>-4.4194923599999996</v>
          </cell>
          <cell r="K30">
            <v>-5.3687915400000001</v>
          </cell>
          <cell r="L30">
            <v>-4.64476537</v>
          </cell>
          <cell r="M30">
            <v>-3.9751625800000001</v>
          </cell>
          <cell r="N30">
            <v>-3.9714434000000001</v>
          </cell>
          <cell r="O30">
            <v>-10.43367376</v>
          </cell>
          <cell r="P30">
            <v>-10.385480899999999</v>
          </cell>
          <cell r="S30">
            <v>-53.528969839999995</v>
          </cell>
          <cell r="U30">
            <v>-57.055422</v>
          </cell>
        </row>
        <row r="31">
          <cell r="C31" t="str">
            <v>Valuation Measures</v>
          </cell>
          <cell r="F31">
            <v>-11.727791720000001</v>
          </cell>
          <cell r="G31">
            <v>0</v>
          </cell>
          <cell r="H31">
            <v>0</v>
          </cell>
          <cell r="I31">
            <v>-1</v>
          </cell>
          <cell r="J31">
            <v>0</v>
          </cell>
          <cell r="K31">
            <v>-2.8</v>
          </cell>
          <cell r="L31">
            <v>-4.1048478900000003</v>
          </cell>
          <cell r="M31">
            <v>-6.7444600299999999</v>
          </cell>
          <cell r="N31">
            <v>-13.269529859999999</v>
          </cell>
          <cell r="O31">
            <v>-16.447683640000001</v>
          </cell>
          <cell r="P31">
            <v>-20.04041355</v>
          </cell>
          <cell r="Q31">
            <v>0</v>
          </cell>
          <cell r="R31">
            <v>0</v>
          </cell>
          <cell r="S31">
            <v>-64.406934969999995</v>
          </cell>
          <cell r="U31">
            <v>0</v>
          </cell>
        </row>
        <row r="32">
          <cell r="D32" t="str">
            <v>Inventory Valuation</v>
          </cell>
          <cell r="F32">
            <v>0</v>
          </cell>
          <cell r="N32">
            <v>-6.2629992799999998</v>
          </cell>
          <cell r="O32">
            <v>-3.7370007200000002</v>
          </cell>
          <cell r="P32">
            <v>-5</v>
          </cell>
          <cell r="S32">
            <v>-15</v>
          </cell>
        </row>
        <row r="33">
          <cell r="D33" t="str">
            <v>Allowance for Bad Debts</v>
          </cell>
          <cell r="F33">
            <v>2.519227990000001</v>
          </cell>
          <cell r="K33">
            <v>-2.8</v>
          </cell>
          <cell r="L33">
            <v>-3.78841932</v>
          </cell>
          <cell r="M33">
            <v>-3.2942096599999999</v>
          </cell>
          <cell r="N33">
            <v>-3.2942096599999999</v>
          </cell>
          <cell r="O33">
            <v>-3.2942096599999999</v>
          </cell>
          <cell r="P33">
            <v>-3.3567096599999999</v>
          </cell>
          <cell r="S33">
            <v>-19.82775796</v>
          </cell>
        </row>
        <row r="34">
          <cell r="D34" t="str">
            <v>Reserves for Restructuring</v>
          </cell>
          <cell r="F34">
            <v>0</v>
          </cell>
          <cell r="S34">
            <v>0</v>
          </cell>
        </row>
        <row r="35">
          <cell r="D35" t="str">
            <v>Other Reserves</v>
          </cell>
          <cell r="F35">
            <v>-14.24701971</v>
          </cell>
          <cell r="I35">
            <v>-1</v>
          </cell>
          <cell r="L35">
            <v>-0.31642857000000002</v>
          </cell>
          <cell r="M35">
            <v>-3.45025037</v>
          </cell>
          <cell r="N35">
            <v>-3.7123209199999998</v>
          </cell>
          <cell r="O35">
            <v>-9.4164732600000001</v>
          </cell>
          <cell r="P35">
            <v>-11.68370389</v>
          </cell>
          <cell r="S35">
            <v>-29.579177009999999</v>
          </cell>
        </row>
        <row r="36">
          <cell r="A36" t="str">
            <v>Operating Profit</v>
          </cell>
          <cell r="F36">
            <v>72.265562689999996</v>
          </cell>
          <cell r="G36">
            <v>-2.0152765099999916</v>
          </cell>
          <cell r="H36">
            <v>8.5674481100000222</v>
          </cell>
          <cell r="I36">
            <v>13.426698480000027</v>
          </cell>
          <cell r="J36">
            <v>16.058364789999942</v>
          </cell>
          <cell r="K36">
            <v>6.5857296000000236</v>
          </cell>
          <cell r="L36">
            <v>10.59636078999997</v>
          </cell>
          <cell r="M36">
            <v>11.016510829999975</v>
          </cell>
          <cell r="N36">
            <v>11.277253280000011</v>
          </cell>
          <cell r="O36">
            <v>9.3434999999999704</v>
          </cell>
          <cell r="P36">
            <v>15.146548700000025</v>
          </cell>
          <cell r="Q36">
            <v>0</v>
          </cell>
          <cell r="R36">
            <v>0</v>
          </cell>
          <cell r="S36">
            <v>100.00313806999996</v>
          </cell>
          <cell r="U36">
            <v>179.78795800000023</v>
          </cell>
        </row>
        <row r="37">
          <cell r="B37" t="str">
            <v>Financial Result</v>
          </cell>
          <cell r="F37">
            <v>-174.29351312000006</v>
          </cell>
          <cell r="G37">
            <v>-27.778164309999998</v>
          </cell>
          <cell r="H37">
            <v>7.6478757900000005</v>
          </cell>
          <cell r="I37">
            <v>17.4552917</v>
          </cell>
          <cell r="J37">
            <v>6.7749565400000016</v>
          </cell>
          <cell r="K37">
            <v>-17.921803690000001</v>
          </cell>
          <cell r="L37">
            <v>-4.4905628900000005</v>
          </cell>
          <cell r="M37">
            <v>-7.4660965499999996</v>
          </cell>
          <cell r="N37">
            <v>-3.7636209200000001</v>
          </cell>
          <cell r="O37">
            <v>-0.20758219999999916</v>
          </cell>
          <cell r="P37">
            <v>-13.661128590000001</v>
          </cell>
          <cell r="Q37">
            <v>0</v>
          </cell>
          <cell r="R37">
            <v>0</v>
          </cell>
          <cell r="S37">
            <v>-43.410835120000002</v>
          </cell>
          <cell r="U37">
            <v>-265.60000000000002</v>
          </cell>
        </row>
        <row r="38">
          <cell r="C38" t="str">
            <v>Result on Interest</v>
          </cell>
          <cell r="F38">
            <v>-38.764549710000004</v>
          </cell>
          <cell r="G38">
            <v>-7.3446291899999991</v>
          </cell>
          <cell r="H38">
            <v>-7.5139023599999994</v>
          </cell>
          <cell r="I38">
            <v>-9.1321966000000003</v>
          </cell>
          <cell r="J38">
            <v>-6.1213493299999993</v>
          </cell>
          <cell r="K38">
            <v>-4.2054297800000002</v>
          </cell>
          <cell r="L38">
            <v>-5.5169406900000002</v>
          </cell>
          <cell r="M38">
            <v>-5.8373256199999997</v>
          </cell>
          <cell r="N38">
            <v>-7.2498882</v>
          </cell>
          <cell r="O38">
            <v>-6.3918734999999991</v>
          </cell>
          <cell r="P38">
            <v>-5.4078166200000002</v>
          </cell>
          <cell r="Q38">
            <v>0</v>
          </cell>
          <cell r="R38">
            <v>0</v>
          </cell>
          <cell r="S38">
            <v>-64.721351890000008</v>
          </cell>
          <cell r="U38">
            <v>-71.900000000000006</v>
          </cell>
        </row>
        <row r="39">
          <cell r="D39" t="str">
            <v>Interest Income</v>
          </cell>
          <cell r="F39">
            <v>24.756737199999996</v>
          </cell>
          <cell r="G39">
            <v>3.2361498499999999</v>
          </cell>
          <cell r="H39">
            <v>1.1517746499999999</v>
          </cell>
          <cell r="I39">
            <v>2.1879669599999998</v>
          </cell>
          <cell r="J39">
            <v>1.4136789599999999</v>
          </cell>
          <cell r="K39">
            <v>2.1537231600000002</v>
          </cell>
          <cell r="L39">
            <v>1.2262021599999999</v>
          </cell>
          <cell r="M39">
            <v>1.4626430500000001</v>
          </cell>
          <cell r="N39">
            <v>1.2777383</v>
          </cell>
          <cell r="O39">
            <v>0.78523436000000002</v>
          </cell>
          <cell r="P39">
            <v>1.8075331800000001</v>
          </cell>
          <cell r="S39">
            <v>16.702644630000002</v>
          </cell>
          <cell r="U39">
            <v>-9.8000000000000007</v>
          </cell>
        </row>
        <row r="40">
          <cell r="D40" t="str">
            <v>Interest Expenses</v>
          </cell>
          <cell r="F40">
            <v>-63.521286910000001</v>
          </cell>
          <cell r="G40">
            <v>-10.580779039999999</v>
          </cell>
          <cell r="H40">
            <v>-8.6656770099999996</v>
          </cell>
          <cell r="I40">
            <v>-11.320163559999999</v>
          </cell>
          <cell r="J40">
            <v>-7.5350282899999996</v>
          </cell>
          <cell r="K40">
            <v>-6.3591529400000004</v>
          </cell>
          <cell r="L40">
            <v>-6.7431428499999999</v>
          </cell>
          <cell r="M40">
            <v>-7.2999686700000002</v>
          </cell>
          <cell r="N40">
            <v>-8.5276265000000002</v>
          </cell>
          <cell r="O40">
            <v>-7.1771078599999996</v>
          </cell>
          <cell r="P40">
            <v>-7.2153498000000003</v>
          </cell>
          <cell r="S40">
            <v>-81.423996519999989</v>
          </cell>
          <cell r="U40">
            <v>-62.1</v>
          </cell>
        </row>
        <row r="41">
          <cell r="C41" t="str">
            <v>Other Financial Result</v>
          </cell>
          <cell r="F41">
            <v>-135.52896340999996</v>
          </cell>
          <cell r="G41">
            <v>-20.433535119999998</v>
          </cell>
          <cell r="H41">
            <v>15.16177815</v>
          </cell>
          <cell r="I41">
            <v>26.5874883</v>
          </cell>
          <cell r="J41">
            <v>12.896305870000001</v>
          </cell>
          <cell r="K41">
            <v>-13.71637391</v>
          </cell>
          <cell r="L41">
            <v>1.0263777999999999</v>
          </cell>
          <cell r="M41">
            <v>-1.62877093</v>
          </cell>
          <cell r="N41">
            <v>3.4862672799999999</v>
          </cell>
          <cell r="O41">
            <v>6.1842912999999999</v>
          </cell>
          <cell r="P41">
            <v>-8.2533119700000004</v>
          </cell>
          <cell r="S41">
            <v>21.31051677</v>
          </cell>
          <cell r="U41">
            <v>-193.7</v>
          </cell>
        </row>
        <row r="42">
          <cell r="B42" t="str">
            <v>Taxes</v>
          </cell>
          <cell r="F42">
            <v>0.93441550000000007</v>
          </cell>
          <cell r="G42">
            <v>-0.17188120000000007</v>
          </cell>
          <cell r="H42">
            <v>-0.85537428000000004</v>
          </cell>
          <cell r="I42">
            <v>-0.20318552000000034</v>
          </cell>
          <cell r="J42">
            <v>-3.1662963999999998</v>
          </cell>
          <cell r="K42">
            <v>-2.9527269999999999</v>
          </cell>
          <cell r="L42">
            <v>-30.47341359</v>
          </cell>
          <cell r="M42">
            <v>-3.0598860000000001</v>
          </cell>
          <cell r="N42">
            <v>-24.930194</v>
          </cell>
          <cell r="O42">
            <v>-24.56891929</v>
          </cell>
          <cell r="P42">
            <v>-21.761141000000002</v>
          </cell>
          <cell r="Q42">
            <v>0</v>
          </cell>
          <cell r="R42">
            <v>0</v>
          </cell>
          <cell r="S42">
            <v>-112.14301828000001</v>
          </cell>
          <cell r="U42">
            <v>-40.1</v>
          </cell>
        </row>
        <row r="43">
          <cell r="C43" t="str">
            <v>Taxes on Income</v>
          </cell>
          <cell r="F43">
            <v>-31.1832335</v>
          </cell>
          <cell r="G43">
            <v>-1.6353192000000001</v>
          </cell>
          <cell r="H43">
            <v>-1.6353192000000001</v>
          </cell>
          <cell r="I43">
            <v>-2.5869368000000001</v>
          </cell>
          <cell r="J43">
            <v>-3.1662963999999998</v>
          </cell>
          <cell r="K43">
            <v>-2.9527269999999999</v>
          </cell>
          <cell r="L43">
            <v>-43.18716818</v>
          </cell>
          <cell r="M43">
            <v>-3.0598860000000001</v>
          </cell>
          <cell r="N43">
            <v>-24.930194</v>
          </cell>
          <cell r="O43">
            <v>-24.787741</v>
          </cell>
          <cell r="P43">
            <v>-24.787742000000001</v>
          </cell>
          <cell r="S43">
            <v>-132.72932978</v>
          </cell>
          <cell r="U43">
            <v>-40.1</v>
          </cell>
        </row>
        <row r="44">
          <cell r="C44" t="str">
            <v>Tax Reimbursement</v>
          </cell>
          <cell r="F44">
            <v>32.117649</v>
          </cell>
          <cell r="G44">
            <v>1.463438</v>
          </cell>
          <cell r="H44">
            <v>0.77994492000000004</v>
          </cell>
          <cell r="I44">
            <v>2.3837512799999998</v>
          </cell>
          <cell r="L44">
            <v>12.713754590000001</v>
          </cell>
          <cell r="O44">
            <v>0.21882171</v>
          </cell>
          <cell r="P44">
            <v>3.0266009999999999</v>
          </cell>
          <cell r="S44">
            <v>20.586311500000001</v>
          </cell>
        </row>
        <row r="45">
          <cell r="A45" t="str">
            <v>Net Income before Minoritary Int.</v>
          </cell>
          <cell r="F45">
            <v>-101.09353492999999</v>
          </cell>
          <cell r="G45">
            <v>-29.965322019999991</v>
          </cell>
          <cell r="H45">
            <v>15.359949620000023</v>
          </cell>
          <cell r="I45">
            <v>30.678804660000026</v>
          </cell>
          <cell r="J45">
            <v>19.667024929999943</v>
          </cell>
          <cell r="K45">
            <v>-14.288801089999977</v>
          </cell>
          <cell r="L45">
            <v>-24.367615690000029</v>
          </cell>
          <cell r="M45">
            <v>0.49052827999997506</v>
          </cell>
          <cell r="N45">
            <v>-17.416561639999991</v>
          </cell>
          <cell r="O45">
            <v>-15.433001490000029</v>
          </cell>
          <cell r="P45">
            <v>-20.275720889999977</v>
          </cell>
          <cell r="Q45">
            <v>0</v>
          </cell>
          <cell r="R45">
            <v>0</v>
          </cell>
          <cell r="S45">
            <v>-55.550715330000031</v>
          </cell>
          <cell r="U45">
            <v>-125.91204199999979</v>
          </cell>
        </row>
        <row r="46">
          <cell r="A46" t="str">
            <v>Minoritary Interest</v>
          </cell>
          <cell r="F46">
            <v>-0.371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1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1</v>
          </cell>
          <cell r="U46">
            <v>1</v>
          </cell>
        </row>
        <row r="47">
          <cell r="A47" t="str">
            <v xml:space="preserve">Net Income </v>
          </cell>
          <cell r="F47">
            <v>-101.46453492999999</v>
          </cell>
          <cell r="G47">
            <v>-29.965322019999991</v>
          </cell>
          <cell r="H47">
            <v>15.359949620000023</v>
          </cell>
          <cell r="I47">
            <v>30.678804660000026</v>
          </cell>
          <cell r="J47">
            <v>19.667024929999943</v>
          </cell>
          <cell r="K47">
            <v>-13.288801089999977</v>
          </cell>
          <cell r="L47">
            <v>-24.367615690000029</v>
          </cell>
          <cell r="M47">
            <v>0.49052827999997506</v>
          </cell>
          <cell r="N47">
            <v>-17.416561639999991</v>
          </cell>
          <cell r="O47">
            <v>-15.433001490000029</v>
          </cell>
          <cell r="P47">
            <v>-20.275720889999977</v>
          </cell>
          <cell r="Q47">
            <v>0</v>
          </cell>
          <cell r="R47">
            <v>0</v>
          </cell>
          <cell r="S47">
            <v>-54.550715330000031</v>
          </cell>
          <cell r="U47">
            <v>-124.91204199999979</v>
          </cell>
        </row>
        <row r="49">
          <cell r="D49" t="str">
            <v>TC. monthly average DM</v>
          </cell>
          <cell r="F49">
            <v>5.2143421242970787</v>
          </cell>
          <cell r="G49">
            <v>5.9906060527289489</v>
          </cell>
          <cell r="H49">
            <v>5.7337464097963942</v>
          </cell>
          <cell r="I49">
            <v>5.4378190397928448</v>
          </cell>
          <cell r="J49">
            <v>5.1592426500929109</v>
          </cell>
          <cell r="K49">
            <v>5.0827653804216384</v>
          </cell>
          <cell r="L49">
            <v>5.0630578399078487</v>
          </cell>
          <cell r="M49">
            <v>4.9599993403690306</v>
          </cell>
          <cell r="N49">
            <v>5.0956788024045006</v>
          </cell>
          <cell r="O49">
            <v>5.0206108008696999</v>
          </cell>
          <cell r="P49">
            <v>5.2190963858822998</v>
          </cell>
          <cell r="Q49">
            <v>0.1</v>
          </cell>
          <cell r="R49">
            <v>0.1</v>
          </cell>
          <cell r="S49">
            <v>5.3153644394392643</v>
          </cell>
          <cell r="U49">
            <v>6.6749999999999998</v>
          </cell>
        </row>
        <row r="50">
          <cell r="A50" t="str">
            <v>Financial Result MBMex 1999</v>
          </cell>
        </row>
        <row r="51">
          <cell r="A51" t="str">
            <v>Trucks NAFTA</v>
          </cell>
        </row>
        <row r="52">
          <cell r="F52" t="str">
            <v>YTD</v>
          </cell>
          <cell r="G52" t="str">
            <v>Jan</v>
          </cell>
          <cell r="H52" t="str">
            <v>Feb</v>
          </cell>
          <cell r="I52" t="str">
            <v>Mar</v>
          </cell>
          <cell r="J52" t="str">
            <v>Apr</v>
          </cell>
          <cell r="K52" t="str">
            <v>May</v>
          </cell>
          <cell r="L52" t="str">
            <v>Jun</v>
          </cell>
          <cell r="M52" t="str">
            <v>Jul</v>
          </cell>
          <cell r="N52" t="str">
            <v>Jul</v>
          </cell>
          <cell r="O52" t="str">
            <v>Jul</v>
          </cell>
          <cell r="P52" t="str">
            <v>Jul</v>
          </cell>
          <cell r="Q52" t="str">
            <v>Jul</v>
          </cell>
          <cell r="R52" t="str">
            <v>Jul</v>
          </cell>
          <cell r="S52" t="str">
            <v>YTD</v>
          </cell>
          <cell r="U52" t="str">
            <v>OP99</v>
          </cell>
        </row>
        <row r="54">
          <cell r="A54" t="str">
            <v>in Mio DM</v>
          </cell>
        </row>
        <row r="56">
          <cell r="A56" t="str">
            <v>Turnover, net</v>
          </cell>
          <cell r="F56">
            <v>713.97200011916482</v>
          </cell>
          <cell r="G56">
            <v>26.304192077230184</v>
          </cell>
          <cell r="H56">
            <v>54.382838590008845</v>
          </cell>
          <cell r="I56">
            <v>55.516486861890968</v>
          </cell>
          <cell r="J56">
            <v>68.12286917221671</v>
          </cell>
          <cell r="K56">
            <v>75.433216665254477</v>
          </cell>
          <cell r="L56">
            <v>74.123201572358596</v>
          </cell>
          <cell r="M56">
            <v>82.752094950775131</v>
          </cell>
          <cell r="N56">
            <v>89.787288487277962</v>
          </cell>
          <cell r="O56">
            <v>100.36913410868434</v>
          </cell>
          <cell r="P56">
            <v>110.63580482091174</v>
          </cell>
          <cell r="Q56">
            <v>0</v>
          </cell>
          <cell r="R56">
            <v>0</v>
          </cell>
          <cell r="S56">
            <v>720.69502077342395</v>
          </cell>
          <cell r="U56">
            <v>819.76029962546818</v>
          </cell>
        </row>
        <row r="57">
          <cell r="B57" t="str">
            <v>Material Cost</v>
          </cell>
          <cell r="F57">
            <v>-615.73221448771176</v>
          </cell>
          <cell r="G57">
            <v>-20.918451249671911</v>
          </cell>
          <cell r="H57">
            <v>-43.918185321164557</v>
          </cell>
          <cell r="I57">
            <v>-44.104555518481632</v>
          </cell>
          <cell r="J57">
            <v>-57.083327723439481</v>
          </cell>
          <cell r="K57">
            <v>-59.018469442930602</v>
          </cell>
          <cell r="L57">
            <v>-57.146131513533348</v>
          </cell>
          <cell r="M57">
            <v>-64.630602623457079</v>
          </cell>
          <cell r="N57">
            <v>-70.799318573565316</v>
          </cell>
          <cell r="O57">
            <v>-78.101488122137482</v>
          </cell>
          <cell r="P57">
            <v>-86.855918343682205</v>
          </cell>
          <cell r="Q57">
            <v>0</v>
          </cell>
          <cell r="R57">
            <v>0</v>
          </cell>
          <cell r="S57">
            <v>-569.58378365103897</v>
          </cell>
          <cell r="U57">
            <v>-698.21722846441946</v>
          </cell>
        </row>
        <row r="58">
          <cell r="C58" t="str">
            <v>Direct Material</v>
          </cell>
          <cell r="F58">
            <v>-549.35322363531191</v>
          </cell>
          <cell r="G58">
            <v>-19.182991588580691</v>
          </cell>
          <cell r="H58">
            <v>-39.699409360185335</v>
          </cell>
          <cell r="I58">
            <v>-39.802386735591931</v>
          </cell>
          <cell r="J58">
            <v>-51.718393399309257</v>
          </cell>
          <cell r="K58">
            <v>-54.038425066398666</v>
          </cell>
          <cell r="L58">
            <v>-52.615068729858422</v>
          </cell>
          <cell r="M58">
            <v>-59.045320737524627</v>
          </cell>
          <cell r="N58">
            <v>-64.716790258520305</v>
          </cell>
          <cell r="O58">
            <v>-71.137677702109784</v>
          </cell>
          <cell r="P58">
            <v>-78.492836234666655</v>
          </cell>
          <cell r="Q58">
            <v>0</v>
          </cell>
          <cell r="R58">
            <v>0</v>
          </cell>
          <cell r="S58">
            <v>-518.55800514607313</v>
          </cell>
          <cell r="U58">
            <v>-600.85393258426961</v>
          </cell>
        </row>
        <row r="59">
          <cell r="C59" t="str">
            <v>Cost of Supply</v>
          </cell>
          <cell r="F59">
            <v>-66.378990852400037</v>
          </cell>
          <cell r="G59">
            <v>-1.7354596610912212</v>
          </cell>
          <cell r="H59">
            <v>-4.2187759609792312</v>
          </cell>
          <cell r="I59">
            <v>-4.3021687828896962</v>
          </cell>
          <cell r="J59">
            <v>-5.3649343241302168</v>
          </cell>
          <cell r="K59">
            <v>-4.9800443765319384</v>
          </cell>
          <cell r="L59">
            <v>-4.5310627836749235</v>
          </cell>
          <cell r="M59">
            <v>-5.5852818859324405</v>
          </cell>
          <cell r="N59">
            <v>-6.082528315045006</v>
          </cell>
          <cell r="O59">
            <v>-6.963810420027694</v>
          </cell>
          <cell r="P59">
            <v>-8.3630821090155543</v>
          </cell>
          <cell r="Q59">
            <v>0</v>
          </cell>
          <cell r="R59">
            <v>0</v>
          </cell>
          <cell r="S59">
            <v>-51.025778504965878</v>
          </cell>
          <cell r="U59">
            <v>-97.363295880149806</v>
          </cell>
        </row>
        <row r="60">
          <cell r="B60" t="str">
            <v>Other Direct Cost</v>
          </cell>
          <cell r="F60">
            <v>-21.15809898163759</v>
          </cell>
          <cell r="G60">
            <v>-1.3800732108287861</v>
          </cell>
          <cell r="H60">
            <v>-1.973097531950621</v>
          </cell>
          <cell r="I60">
            <v>-2.46219522606807</v>
          </cell>
          <cell r="J60">
            <v>-2.4178846850274338</v>
          </cell>
          <cell r="K60">
            <v>-3.1373598103552776</v>
          </cell>
          <cell r="L60">
            <v>-2.7516402815286756</v>
          </cell>
          <cell r="M60">
            <v>-3.4106303830156102</v>
          </cell>
          <cell r="N60">
            <v>-3.1432224500575114</v>
          </cell>
          <cell r="O60">
            <v>-3.5782494167618002</v>
          </cell>
          <cell r="P60">
            <v>-3.7976628010960414</v>
          </cell>
          <cell r="Q60">
            <v>0</v>
          </cell>
          <cell r="R60">
            <v>0</v>
          </cell>
          <cell r="S60">
            <v>-27.475305487314127</v>
          </cell>
          <cell r="U60">
            <v>-27.011235955056183</v>
          </cell>
        </row>
        <row r="61">
          <cell r="C61" t="str">
            <v>Direct Wages</v>
          </cell>
          <cell r="F61">
            <v>-7.4048517587834777</v>
          </cell>
          <cell r="G61">
            <v>-1.0166409969865469</v>
          </cell>
          <cell r="H61">
            <v>-1.3808740244375672</v>
          </cell>
          <cell r="I61">
            <v>-1.5675997357802358</v>
          </cell>
          <cell r="J61">
            <v>-1.5107781604068635</v>
          </cell>
          <cell r="K61">
            <v>-2.1169908297257263</v>
          </cell>
          <cell r="L61">
            <v>-2.1152324304071</v>
          </cell>
          <cell r="M61">
            <v>-2.2220720112394186</v>
          </cell>
          <cell r="N61">
            <v>-2.2254943197457417</v>
          </cell>
          <cell r="O61">
            <v>-2.3325633203775462</v>
          </cell>
          <cell r="P61">
            <v>-2.3393525080368849</v>
          </cell>
          <cell r="Q61">
            <v>0</v>
          </cell>
          <cell r="R61">
            <v>0</v>
          </cell>
          <cell r="S61">
            <v>-18.451879211192267</v>
          </cell>
          <cell r="U61">
            <v>-14.486891385767791</v>
          </cell>
        </row>
        <row r="62">
          <cell r="C62" t="str">
            <v>Licence Fees</v>
          </cell>
          <cell r="F62">
            <v>-4.4817124371466699</v>
          </cell>
          <cell r="G62">
            <v>-0.10430100302044863</v>
          </cell>
          <cell r="H62">
            <v>-8.1246217866224435E-2</v>
          </cell>
          <cell r="I62">
            <v>-0.10525651291658365</v>
          </cell>
          <cell r="J62">
            <v>-0.11372607372700984</v>
          </cell>
          <cell r="K62">
            <v>-8.849635116596441E-2</v>
          </cell>
          <cell r="L62">
            <v>-8.7568493985063695E-2</v>
          </cell>
          <cell r="M62">
            <v>-0.12518150253499916</v>
          </cell>
          <cell r="N62">
            <v>-8.6653640687015296E-2</v>
          </cell>
          <cell r="O62">
            <v>-8.5991770149801874E-2</v>
          </cell>
          <cell r="P62">
            <v>-0.1174853029460468</v>
          </cell>
          <cell r="Q62">
            <v>0</v>
          </cell>
          <cell r="R62">
            <v>0</v>
          </cell>
          <cell r="S62">
            <v>-0.98776028056391796</v>
          </cell>
          <cell r="U62">
            <v>-0.61423220973782766</v>
          </cell>
        </row>
        <row r="63">
          <cell r="C63" t="str">
            <v>Direct Selling Expenses</v>
          </cell>
          <cell r="F63">
            <v>-9.271534785707443</v>
          </cell>
          <cell r="G63">
            <v>-0.25913121082179058</v>
          </cell>
          <cell r="H63">
            <v>-0.51097728964682931</v>
          </cell>
          <cell r="I63">
            <v>-0.78933897737125058</v>
          </cell>
          <cell r="J63">
            <v>-0.79338045089356024</v>
          </cell>
          <cell r="K63">
            <v>-0.93187262946358684</v>
          </cell>
          <cell r="L63">
            <v>-0.54883935713651177</v>
          </cell>
          <cell r="M63">
            <v>-1.0633768692411925</v>
          </cell>
          <cell r="N63">
            <v>-0.83107448962475439</v>
          </cell>
          <cell r="O63">
            <v>-1.1596943262344521</v>
          </cell>
          <cell r="P63">
            <v>-1.3408249901131093</v>
          </cell>
          <cell r="Q63">
            <v>0</v>
          </cell>
          <cell r="R63">
            <v>0</v>
          </cell>
          <cell r="S63">
            <v>-8.0356659955579435</v>
          </cell>
          <cell r="U63">
            <v>-11.910112359550562</v>
          </cell>
        </row>
        <row r="64">
          <cell r="B64" t="str">
            <v>Variable Overheads</v>
          </cell>
          <cell r="F64">
            <v>-5.5645576102107883</v>
          </cell>
          <cell r="G64">
            <v>-0.64934428599723604</v>
          </cell>
          <cell r="H64">
            <v>-0.92712614058366916</v>
          </cell>
          <cell r="I64">
            <v>-1.2058192598939064</v>
          </cell>
          <cell r="J64">
            <v>-1.1991268214315502</v>
          </cell>
          <cell r="K64">
            <v>-1.2295880376602311</v>
          </cell>
          <cell r="L64">
            <v>-2.1808449733611908</v>
          </cell>
          <cell r="M64">
            <v>-3.20295724047778</v>
          </cell>
          <cell r="N64">
            <v>-2.5687447772068075</v>
          </cell>
          <cell r="O64">
            <v>-4.8928093461745181</v>
          </cell>
          <cell r="P64">
            <v>-3.2698491900174043</v>
          </cell>
          <cell r="Q64">
            <v>0</v>
          </cell>
          <cell r="R64">
            <v>0</v>
          </cell>
          <cell r="S64">
            <v>-20.666061906300484</v>
          </cell>
          <cell r="U64">
            <v>-5.1385767790262173</v>
          </cell>
        </row>
        <row r="65">
          <cell r="C65" t="str">
            <v>Variable Overheads Personnel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U65">
            <v>0</v>
          </cell>
        </row>
        <row r="66">
          <cell r="C66" t="str">
            <v>Other Variable Overheads</v>
          </cell>
          <cell r="F66">
            <v>-5.5645576102107883</v>
          </cell>
          <cell r="G66">
            <v>-0.64934428599723604</v>
          </cell>
          <cell r="H66">
            <v>-0.92712614058366916</v>
          </cell>
          <cell r="I66">
            <v>-1.2058192598939064</v>
          </cell>
          <cell r="J66">
            <v>-1.1991268214315502</v>
          </cell>
          <cell r="K66">
            <v>-1.2295880376602311</v>
          </cell>
          <cell r="L66">
            <v>-2.1808449733611908</v>
          </cell>
          <cell r="M66">
            <v>-3.20295724047778</v>
          </cell>
          <cell r="N66">
            <v>-2.5687447772068075</v>
          </cell>
          <cell r="O66">
            <v>-4.8928093461745181</v>
          </cell>
          <cell r="P66">
            <v>-3.2698491900174043</v>
          </cell>
          <cell r="Q66">
            <v>0</v>
          </cell>
          <cell r="R66">
            <v>0</v>
          </cell>
          <cell r="S66">
            <v>-20.666061906300484</v>
          </cell>
          <cell r="U66">
            <v>-5.1385767790262173</v>
          </cell>
        </row>
        <row r="67">
          <cell r="A67" t="str">
            <v>Contribution Margin</v>
          </cell>
          <cell r="F67">
            <v>71.517129039604569</v>
          </cell>
          <cell r="G67">
            <v>3.3563233307322515</v>
          </cell>
          <cell r="H67">
            <v>7.5644295963099957</v>
          </cell>
          <cell r="I67">
            <v>7.7439168574473598</v>
          </cell>
          <cell r="J67">
            <v>7.4225299423182411</v>
          </cell>
          <cell r="K67">
            <v>12.047799374308362</v>
          </cell>
          <cell r="L67">
            <v>12.044584803935381</v>
          </cell>
          <cell r="M67">
            <v>11.507904703824661</v>
          </cell>
          <cell r="N67">
            <v>13.276002686448338</v>
          </cell>
          <cell r="O67">
            <v>13.796587223610537</v>
          </cell>
          <cell r="P67">
            <v>16.712374486116087</v>
          </cell>
          <cell r="Q67">
            <v>0</v>
          </cell>
          <cell r="R67">
            <v>0</v>
          </cell>
          <cell r="S67">
            <v>102.96986972877045</v>
          </cell>
          <cell r="U67">
            <v>89.393258426966341</v>
          </cell>
        </row>
        <row r="68">
          <cell r="B68" t="str">
            <v>Fixed Overheads</v>
          </cell>
          <cell r="F68">
            <v>-58.335419910906815</v>
          </cell>
          <cell r="G68">
            <v>-3.8034295761479155</v>
          </cell>
          <cell r="H68">
            <v>-6.3283908472137149</v>
          </cell>
          <cell r="I68">
            <v>-6.5712452526484348</v>
          </cell>
          <cell r="J68">
            <v>-6.4295195631867843</v>
          </cell>
          <cell r="K68">
            <v>-8.773210141031706</v>
          </cell>
          <cell r="L68">
            <v>-9.5517131048378854</v>
          </cell>
          <cell r="M68">
            <v>-7.1437890206178389</v>
          </cell>
          <cell r="N68">
            <v>-7.3106853148635365</v>
          </cell>
          <cell r="O68">
            <v>-8.3306862031119397</v>
          </cell>
          <cell r="P68">
            <v>-8.150797252005253</v>
          </cell>
          <cell r="Q68">
            <v>0</v>
          </cell>
          <cell r="R68">
            <v>0</v>
          </cell>
          <cell r="S68">
            <v>-71.11064580359691</v>
          </cell>
          <cell r="U68">
            <v>-59.715355805243448</v>
          </cell>
        </row>
        <row r="69">
          <cell r="C69" t="str">
            <v>Fixed Overheads Personnel</v>
          </cell>
          <cell r="F69">
            <v>-27.662962604212488</v>
          </cell>
          <cell r="G69">
            <v>-2.1218017422811024</v>
          </cell>
          <cell r="H69">
            <v>-2.4978644966805534</v>
          </cell>
          <cell r="I69">
            <v>-2.6115134130210018</v>
          </cell>
          <cell r="J69">
            <v>-2.8865037041302588</v>
          </cell>
          <cell r="K69">
            <v>-3.4847717815632651</v>
          </cell>
          <cell r="L69">
            <v>-3.8596396481924584</v>
          </cell>
          <cell r="M69">
            <v>-3.4470467931005686</v>
          </cell>
          <cell r="N69">
            <v>-3.6465481146951162</v>
          </cell>
          <cell r="O69">
            <v>-3.8509267610727465</v>
          </cell>
          <cell r="P69">
            <v>-3.3756739188907781</v>
          </cell>
          <cell r="Q69">
            <v>0</v>
          </cell>
          <cell r="R69">
            <v>0</v>
          </cell>
          <cell r="S69">
            <v>-31.232275446293396</v>
          </cell>
          <cell r="U69">
            <v>-28.674157303370787</v>
          </cell>
        </row>
        <row r="70">
          <cell r="C70" t="str">
            <v>Other Fixed Overheads</v>
          </cell>
          <cell r="F70">
            <v>-30.672457306694334</v>
          </cell>
          <cell r="G70">
            <v>-1.6816278338668127</v>
          </cell>
          <cell r="H70">
            <v>-3.8305263505331615</v>
          </cell>
          <cell r="I70">
            <v>-3.9597318396274321</v>
          </cell>
          <cell r="J70">
            <v>-3.5430158590565255</v>
          </cell>
          <cell r="K70">
            <v>-5.2884383594684419</v>
          </cell>
          <cell r="L70">
            <v>-5.6920734566454279</v>
          </cell>
          <cell r="M70">
            <v>-3.6967422275172703</v>
          </cell>
          <cell r="N70">
            <v>-3.6641372001684211</v>
          </cell>
          <cell r="O70">
            <v>-4.4797594420391942</v>
          </cell>
          <cell r="P70">
            <v>-4.7751233331144753</v>
          </cell>
          <cell r="Q70">
            <v>0</v>
          </cell>
          <cell r="R70">
            <v>0</v>
          </cell>
          <cell r="S70">
            <v>-39.878370357303524</v>
          </cell>
          <cell r="U70">
            <v>-31.041198501872657</v>
          </cell>
        </row>
        <row r="71">
          <cell r="A71" t="str">
            <v>Operating Result</v>
          </cell>
          <cell r="F71">
            <v>13.181709128697744</v>
          </cell>
          <cell r="G71">
            <v>-0.44710624541566396</v>
          </cell>
          <cell r="H71">
            <v>1.2360387490962801</v>
          </cell>
          <cell r="I71">
            <v>1.1726716047989254</v>
          </cell>
          <cell r="J71">
            <v>0.99301037913145696</v>
          </cell>
          <cell r="K71">
            <v>3.274589233276656</v>
          </cell>
          <cell r="L71">
            <v>2.4928716990974946</v>
          </cell>
          <cell r="M71">
            <v>4.3641156832068209</v>
          </cell>
          <cell r="N71">
            <v>5.9653173715848018</v>
          </cell>
          <cell r="O71">
            <v>5.4659010204985972</v>
          </cell>
          <cell r="P71">
            <v>8.5615772341108336</v>
          </cell>
          <cell r="Q71">
            <v>0</v>
          </cell>
          <cell r="R71">
            <v>0</v>
          </cell>
          <cell r="S71">
            <v>31.859223925173527</v>
          </cell>
          <cell r="U71">
            <v>29.677902621722886</v>
          </cell>
        </row>
        <row r="72">
          <cell r="B72" t="str">
            <v>Other Result</v>
          </cell>
          <cell r="F72">
            <v>15.088799283688401</v>
          </cell>
          <cell r="G72">
            <v>2.0226726617218018</v>
          </cell>
          <cell r="H72">
            <v>0.48032380805934466</v>
          </cell>
          <cell r="I72">
            <v>1.169398836825259</v>
          </cell>
          <cell r="J72">
            <v>1.2980679848193215</v>
          </cell>
          <cell r="K72">
            <v>1.4834861587442594</v>
          </cell>
          <cell r="L72">
            <v>3.7696225489589424E-2</v>
          </cell>
          <cell r="M72">
            <v>0.43062155525228107</v>
          </cell>
          <cell r="N72">
            <v>-1.054105562435647</v>
          </cell>
          <cell r="O72">
            <v>1.2978190778841665</v>
          </cell>
          <cell r="P72">
            <v>0.9224606874521466</v>
          </cell>
          <cell r="Q72">
            <v>0</v>
          </cell>
          <cell r="R72">
            <v>0</v>
          </cell>
          <cell r="S72">
            <v>8.2314096631567253</v>
          </cell>
          <cell r="U72">
            <v>8.8287463670411963</v>
          </cell>
        </row>
        <row r="73">
          <cell r="C73" t="str">
            <v>Other Income</v>
          </cell>
          <cell r="F73">
            <v>17.852316883129099</v>
          </cell>
          <cell r="G73">
            <v>2.1848212910007216</v>
          </cell>
          <cell r="H73">
            <v>0.49545288489674882</v>
          </cell>
          <cell r="I73">
            <v>1.1050774080611778</v>
          </cell>
          <cell r="J73">
            <v>1.5224163608312842</v>
          </cell>
          <cell r="K73">
            <v>1.8982135605085988</v>
          </cell>
          <cell r="L73">
            <v>0.5323654687004441</v>
          </cell>
          <cell r="M73">
            <v>0.76103537338760108</v>
          </cell>
          <cell r="N73">
            <v>-0.11444873050569983</v>
          </cell>
          <cell r="O73">
            <v>0.14887820419589598</v>
          </cell>
          <cell r="P73">
            <v>1.0888567636673954</v>
          </cell>
          <cell r="Q73">
            <v>0</v>
          </cell>
          <cell r="R73">
            <v>0</v>
          </cell>
          <cell r="S73">
            <v>9.7374981639942195</v>
          </cell>
          <cell r="U73">
            <v>11.601888838951311</v>
          </cell>
        </row>
        <row r="74">
          <cell r="D74" t="str">
            <v>Other income</v>
          </cell>
          <cell r="F74">
            <v>3.0280283885531323</v>
          </cell>
          <cell r="G74">
            <v>3.1125007780316558E-2</v>
          </cell>
          <cell r="H74">
            <v>-0.16376204367806058</v>
          </cell>
          <cell r="I74">
            <v>-7.9402171503016511E-2</v>
          </cell>
          <cell r="J74">
            <v>0.63932554518260531</v>
          </cell>
          <cell r="K74">
            <v>0.68241540783302246</v>
          </cell>
          <cell r="L74">
            <v>0.21225177826914957</v>
          </cell>
          <cell r="M74">
            <v>9.9775511253027666E-2</v>
          </cell>
          <cell r="N74">
            <v>-0.82614143340697666</v>
          </cell>
          <cell r="O74">
            <v>-0.76138580376272602</v>
          </cell>
          <cell r="P74">
            <v>-0.16715147326265029</v>
          </cell>
          <cell r="Q74">
            <v>0</v>
          </cell>
          <cell r="R74">
            <v>0</v>
          </cell>
          <cell r="S74">
            <v>-0.32970783658718977</v>
          </cell>
          <cell r="U74">
            <v>2.2704380524344572</v>
          </cell>
        </row>
        <row r="75">
          <cell r="D75" t="str">
            <v>Monetary Result</v>
          </cell>
          <cell r="F75">
            <v>14.824288494575971</v>
          </cell>
          <cell r="G75">
            <v>2.153696283220405</v>
          </cell>
          <cell r="H75">
            <v>0.65921492857480934</v>
          </cell>
          <cell r="I75">
            <v>1.1844795795641945</v>
          </cell>
          <cell r="J75">
            <v>0.88309081564867886</v>
          </cell>
          <cell r="K75">
            <v>1.2157981526755761</v>
          </cell>
          <cell r="L75">
            <v>0.32011369043129456</v>
          </cell>
          <cell r="M75">
            <v>0.66125986213457333</v>
          </cell>
          <cell r="N75">
            <v>0.71169270290127684</v>
          </cell>
          <cell r="O75">
            <v>0.91026400795862195</v>
          </cell>
          <cell r="P75">
            <v>1.2560082369300456</v>
          </cell>
          <cell r="Q75">
            <v>0</v>
          </cell>
          <cell r="R75">
            <v>0</v>
          </cell>
          <cell r="S75">
            <v>10.067206000581409</v>
          </cell>
          <cell r="U75">
            <v>9.3314507865168537</v>
          </cell>
        </row>
        <row r="76">
          <cell r="C76" t="str">
            <v>Other Expenses</v>
          </cell>
          <cell r="F76">
            <v>-2.7635175994407031</v>
          </cell>
          <cell r="G76">
            <v>-0.1621486292789199</v>
          </cell>
          <cell r="H76">
            <v>-1.5129076837404181E-2</v>
          </cell>
          <cell r="I76">
            <v>6.4321428764081215E-2</v>
          </cell>
          <cell r="J76">
            <v>-0.22434837601196284</v>
          </cell>
          <cell r="K76">
            <v>-0.41472740176433937</v>
          </cell>
          <cell r="L76">
            <v>-0.49466924321085465</v>
          </cell>
          <cell r="M76">
            <v>-0.33041381813532</v>
          </cell>
          <cell r="N76">
            <v>-0.9396568319299472</v>
          </cell>
          <cell r="O76">
            <v>1.1489408736882702</v>
          </cell>
          <cell r="P76">
            <v>-0.16639607621524866</v>
          </cell>
          <cell r="Q76">
            <v>0</v>
          </cell>
          <cell r="R76">
            <v>0</v>
          </cell>
          <cell r="S76">
            <v>-1.5060885008374925</v>
          </cell>
          <cell r="U76">
            <v>-2.7731424719101128</v>
          </cell>
        </row>
        <row r="77">
          <cell r="B77" t="str">
            <v>Exchange Rate Result Operating</v>
          </cell>
          <cell r="F77">
            <v>-6.8099031677532711</v>
          </cell>
          <cell r="G77">
            <v>-1.4166241871528349</v>
          </cell>
          <cell r="H77">
            <v>0.46175589061219335</v>
          </cell>
          <cell r="I77">
            <v>0.9438224447048752</v>
          </cell>
          <cell r="J77">
            <v>1.6780811694995752</v>
          </cell>
          <cell r="K77">
            <v>-1.8552223119174875</v>
          </cell>
          <cell r="L77">
            <v>1.2904380093194661</v>
          </cell>
          <cell r="M77">
            <v>-0.41245168791651343</v>
          </cell>
          <cell r="N77">
            <v>0.68533923848420375</v>
          </cell>
          <cell r="O77">
            <v>0.45150905137026803</v>
          </cell>
          <cell r="P77">
            <v>-0.75217328819965024</v>
          </cell>
          <cell r="Q77">
            <v>0</v>
          </cell>
          <cell r="R77">
            <v>0</v>
          </cell>
          <cell r="S77">
            <v>0.91107859210324871</v>
          </cell>
          <cell r="U77">
            <v>-3.0244946816479401</v>
          </cell>
        </row>
        <row r="78">
          <cell r="B78" t="str">
            <v>Valuation Measures</v>
          </cell>
          <cell r="F78">
            <v>-7.5824282924914232</v>
          </cell>
          <cell r="G78">
            <v>-0.49534834437130437</v>
          </cell>
          <cell r="H78">
            <v>-0.68390375850948149</v>
          </cell>
          <cell r="I78">
            <v>-0.81675987882252066</v>
          </cell>
          <cell r="J78">
            <v>-0.8566164958185114</v>
          </cell>
          <cell r="K78">
            <v>-1.60715494983606</v>
          </cell>
          <cell r="L78">
            <v>-1.7281282451553526</v>
          </cell>
          <cell r="M78">
            <v>-2.1612145233072644</v>
          </cell>
          <cell r="N78">
            <v>-3.3834497676471464</v>
          </cell>
          <cell r="O78">
            <v>-5.3542006074925093</v>
          </cell>
          <cell r="P78">
            <v>-5.8297245730702167</v>
          </cell>
          <cell r="Q78">
            <v>0</v>
          </cell>
          <cell r="R78">
            <v>0</v>
          </cell>
          <cell r="S78">
            <v>-22.187736354431692</v>
          </cell>
          <cell r="U78">
            <v>-8.5476287640449442</v>
          </cell>
        </row>
        <row r="79">
          <cell r="C79" t="str">
            <v>Depreciacion</v>
          </cell>
          <cell r="F79">
            <v>-5.333287089164461</v>
          </cell>
          <cell r="G79">
            <v>-0.49534834437130437</v>
          </cell>
          <cell r="H79">
            <v>-0.68390375850948149</v>
          </cell>
          <cell r="I79">
            <v>-0.6328626228303289</v>
          </cell>
          <cell r="J79">
            <v>-0.8566164958185114</v>
          </cell>
          <cell r="K79">
            <v>-1.0562737286045327</v>
          </cell>
          <cell r="L79">
            <v>-0.91738343050107007</v>
          </cell>
          <cell r="M79">
            <v>-0.80144417513253996</v>
          </cell>
          <cell r="N79">
            <v>-0.77937475143174118</v>
          </cell>
          <cell r="O79">
            <v>-2.0781682097709342</v>
          </cell>
          <cell r="P79">
            <v>-1.9899001919360626</v>
          </cell>
          <cell r="Q79">
            <v>0</v>
          </cell>
          <cell r="R79">
            <v>0</v>
          </cell>
          <cell r="S79">
            <v>-10.070611422769526</v>
          </cell>
          <cell r="U79">
            <v>-8.5476287640449442</v>
          </cell>
        </row>
        <row r="80">
          <cell r="C80" t="str">
            <v>Valuation Measures</v>
          </cell>
          <cell r="F80">
            <v>-2.2491412033269622</v>
          </cell>
          <cell r="G80">
            <v>0</v>
          </cell>
          <cell r="H80">
            <v>0</v>
          </cell>
          <cell r="I80">
            <v>-0.18389725599219192</v>
          </cell>
          <cell r="J80">
            <v>0</v>
          </cell>
          <cell r="K80">
            <v>-0.55088122123152716</v>
          </cell>
          <cell r="L80">
            <v>-0.81074481465428239</v>
          </cell>
          <cell r="M80">
            <v>-1.3597703481747243</v>
          </cell>
          <cell r="N80">
            <v>-2.6040750162154058</v>
          </cell>
          <cell r="O80">
            <v>-3.2760323977215751</v>
          </cell>
          <cell r="P80">
            <v>-3.8398243811341537</v>
          </cell>
          <cell r="Q80">
            <v>0</v>
          </cell>
          <cell r="R80">
            <v>0</v>
          </cell>
          <cell r="S80">
            <v>-12.117124931662165</v>
          </cell>
          <cell r="U80">
            <v>0</v>
          </cell>
        </row>
        <row r="81">
          <cell r="D81" t="str">
            <v>Inventory Valuation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-1.2290804665797763</v>
          </cell>
          <cell r="O81">
            <v>-0.74433188873207512</v>
          </cell>
          <cell r="P81">
            <v>-0.95802024532925711</v>
          </cell>
          <cell r="Q81">
            <v>0</v>
          </cell>
          <cell r="R81">
            <v>0</v>
          </cell>
          <cell r="S81">
            <v>-2.8220078173195593</v>
          </cell>
          <cell r="U81">
            <v>0</v>
          </cell>
        </row>
        <row r="82">
          <cell r="D82" t="str">
            <v>Allowance for Bad Debts</v>
          </cell>
          <cell r="F82">
            <v>0.48313438779961265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-0.55088122123152716</v>
          </cell>
          <cell r="L82">
            <v>-0.74824729240481125</v>
          </cell>
          <cell r="M82">
            <v>-0.66415526171318129</v>
          </cell>
          <cell r="N82">
            <v>-0.64647121369689931</v>
          </cell>
          <cell r="O82">
            <v>-0.65613722924496709</v>
          </cell>
          <cell r="P82">
            <v>-0.64315916239445747</v>
          </cell>
          <cell r="Q82">
            <v>0</v>
          </cell>
          <cell r="R82">
            <v>0</v>
          </cell>
          <cell r="S82">
            <v>-3.7302725308693407</v>
          </cell>
          <cell r="U82">
            <v>0</v>
          </cell>
        </row>
        <row r="83">
          <cell r="D83" t="str">
            <v>Reserves for Restructuring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U83">
            <v>0</v>
          </cell>
        </row>
        <row r="84">
          <cell r="D84" t="str">
            <v>Other Reserves</v>
          </cell>
          <cell r="F84">
            <v>-2.7322755911265748</v>
          </cell>
          <cell r="G84">
            <v>0</v>
          </cell>
          <cell r="H84">
            <v>0</v>
          </cell>
          <cell r="I84">
            <v>-0.18389725599219192</v>
          </cell>
          <cell r="J84">
            <v>0</v>
          </cell>
          <cell r="K84">
            <v>0</v>
          </cell>
          <cell r="L84">
            <v>-6.2497522249471131E-2</v>
          </cell>
          <cell r="M84">
            <v>-0.69561508646154313</v>
          </cell>
          <cell r="N84">
            <v>-0.72852333593873009</v>
          </cell>
          <cell r="O84">
            <v>-1.8755632797445327</v>
          </cell>
          <cell r="P84">
            <v>-2.2386449734104392</v>
          </cell>
          <cell r="Q84">
            <v>0</v>
          </cell>
          <cell r="R84">
            <v>0</v>
          </cell>
          <cell r="S84">
            <v>-5.5648445834732652</v>
          </cell>
          <cell r="U84">
            <v>0</v>
          </cell>
        </row>
        <row r="85">
          <cell r="A85" t="str">
            <v>Operating Profit</v>
          </cell>
          <cell r="F85">
            <v>13.858999077422789</v>
          </cell>
          <cell r="G85">
            <v>-0.33640611521800146</v>
          </cell>
          <cell r="H85">
            <v>1.4942146892583366</v>
          </cell>
          <cell r="I85">
            <v>2.4691330075065392</v>
          </cell>
          <cell r="J85">
            <v>3.1125430376318417</v>
          </cell>
          <cell r="K85">
            <v>1.2956981302673678</v>
          </cell>
          <cell r="L85">
            <v>2.0928776887511975</v>
          </cell>
          <cell r="M85">
            <v>2.2210710272353245</v>
          </cell>
          <cell r="N85">
            <v>2.2131012799862124</v>
          </cell>
          <cell r="O85">
            <v>1.8610285422605222</v>
          </cell>
          <cell r="P85">
            <v>2.9021400602931129</v>
          </cell>
          <cell r="Q85">
            <v>0</v>
          </cell>
          <cell r="R85">
            <v>0</v>
          </cell>
          <cell r="S85">
            <v>18.813975826001808</v>
          </cell>
          <cell r="U85">
            <v>26.934525543071196</v>
          </cell>
        </row>
        <row r="86">
          <cell r="B86" t="str">
            <v>Financial Result</v>
          </cell>
          <cell r="F86">
            <v>-33.425791588904566</v>
          </cell>
          <cell r="G86">
            <v>-4.6369539351274796</v>
          </cell>
          <cell r="H86">
            <v>1.3338357233471678</v>
          </cell>
          <cell r="I86">
            <v>3.2099802461732829</v>
          </cell>
          <cell r="J86">
            <v>1.3131688116816902</v>
          </cell>
          <cell r="K86">
            <v>-3.5259946797924608</v>
          </cell>
          <cell r="L86">
            <v>-0.88692703737347234</v>
          </cell>
          <cell r="M86">
            <v>-1.5052616013945905</v>
          </cell>
          <cell r="N86">
            <v>-0.73859068947282513</v>
          </cell>
          <cell r="O86">
            <v>-4.134600514424272E-2</v>
          </cell>
          <cell r="P86">
            <v>-2.6175275526532658</v>
          </cell>
          <cell r="Q86">
            <v>0</v>
          </cell>
          <cell r="R86">
            <v>0</v>
          </cell>
          <cell r="S86">
            <v>-8.1670477376673638</v>
          </cell>
          <cell r="U86">
            <v>-39.790262172284649</v>
          </cell>
        </row>
        <row r="87">
          <cell r="C87" t="str">
            <v>Result on Interest</v>
          </cell>
          <cell r="F87">
            <v>-7.4342167786364177</v>
          </cell>
          <cell r="G87">
            <v>-1.226024399760729</v>
          </cell>
          <cell r="H87">
            <v>-1.3104699480887609</v>
          </cell>
          <cell r="I87">
            <v>-1.6793858959212247</v>
          </cell>
          <cell r="J87">
            <v>-1.1864821535171954</v>
          </cell>
          <cell r="K87">
            <v>-0.82739010464636886</v>
          </cell>
          <cell r="L87">
            <v>-1.0896459934774145</v>
          </cell>
          <cell r="M87">
            <v>-1.1768803218360298</v>
          </cell>
          <cell r="N87">
            <v>-1.4227521947770709</v>
          </cell>
          <cell r="O87">
            <v>-1.2731266679529831</v>
          </cell>
          <cell r="P87">
            <v>-1.0361595609976069</v>
          </cell>
          <cell r="Q87">
            <v>0</v>
          </cell>
          <cell r="R87">
            <v>0</v>
          </cell>
          <cell r="S87">
            <v>-12.176277398738003</v>
          </cell>
          <cell r="U87">
            <v>-10.771535580524345</v>
          </cell>
        </row>
        <row r="88">
          <cell r="D88" t="str">
            <v>Interest Income</v>
          </cell>
          <cell r="F88">
            <v>4.747816044643856</v>
          </cell>
          <cell r="G88">
            <v>0.54020408311206014</v>
          </cell>
          <cell r="H88">
            <v>0.20087645453453173</v>
          </cell>
          <cell r="I88">
            <v>0.4023611201455779</v>
          </cell>
          <cell r="J88">
            <v>0.27400900788695054</v>
          </cell>
          <cell r="K88">
            <v>0.42373058734836566</v>
          </cell>
          <cell r="L88">
            <v>0.24218608571580483</v>
          </cell>
          <cell r="M88">
            <v>0.29488775091070424</v>
          </cell>
          <cell r="N88">
            <v>0.25074937992502061</v>
          </cell>
          <cell r="O88">
            <v>0.15640215725624004</v>
          </cell>
          <cell r="P88">
            <v>0.34633067610887447</v>
          </cell>
          <cell r="Q88">
            <v>0</v>
          </cell>
          <cell r="R88">
            <v>0</v>
          </cell>
          <cell r="S88">
            <v>3.1423329143847041</v>
          </cell>
          <cell r="U88">
            <v>-1.4681647940074909</v>
          </cell>
        </row>
        <row r="89">
          <cell r="D89" t="str">
            <v>Interest Expenses</v>
          </cell>
          <cell r="F89">
            <v>-12.182032823280274</v>
          </cell>
          <cell r="G89">
            <v>-1.7662284828727892</v>
          </cell>
          <cell r="H89">
            <v>-1.5113464026232926</v>
          </cell>
          <cell r="I89">
            <v>-2.0817470160668026</v>
          </cell>
          <cell r="J89">
            <v>-1.460491161404146</v>
          </cell>
          <cell r="K89">
            <v>-1.2511206919947346</v>
          </cell>
          <cell r="L89">
            <v>-1.3318320791932192</v>
          </cell>
          <cell r="M89">
            <v>-1.4717680727467339</v>
          </cell>
          <cell r="N89">
            <v>-1.6735015747020916</v>
          </cell>
          <cell r="O89">
            <v>-1.4295288252092233</v>
          </cell>
          <cell r="P89">
            <v>-1.3824902371064813</v>
          </cell>
          <cell r="Q89">
            <v>0</v>
          </cell>
          <cell r="R89">
            <v>0</v>
          </cell>
          <cell r="S89">
            <v>-15.318610313122702</v>
          </cell>
          <cell r="U89">
            <v>-9.3033707865168545</v>
          </cell>
        </row>
        <row r="90">
          <cell r="C90" t="str">
            <v>Other Financial Result</v>
          </cell>
          <cell r="F90">
            <v>-25.99157481026813</v>
          </cell>
          <cell r="G90">
            <v>-3.4109295353667508</v>
          </cell>
          <cell r="H90">
            <v>2.6443056714359288</v>
          </cell>
          <cell r="I90">
            <v>4.8893661420945076</v>
          </cell>
          <cell r="J90">
            <v>2.4996509651988856</v>
          </cell>
          <cell r="K90">
            <v>-2.6986045751460921</v>
          </cell>
          <cell r="L90">
            <v>0.20271895610394225</v>
          </cell>
          <cell r="M90">
            <v>-0.32838127955856083</v>
          </cell>
          <cell r="N90">
            <v>0.6841615053042458</v>
          </cell>
          <cell r="O90">
            <v>1.2317806628087404</v>
          </cell>
          <cell r="P90">
            <v>-1.5813679916556589</v>
          </cell>
          <cell r="Q90">
            <v>0</v>
          </cell>
          <cell r="R90">
            <v>0</v>
          </cell>
          <cell r="S90">
            <v>4.0092296610706377</v>
          </cell>
          <cell r="U90">
            <v>-29.018726591760299</v>
          </cell>
        </row>
        <row r="91">
          <cell r="B91" t="str">
            <v>Taxes</v>
          </cell>
          <cell r="F91">
            <v>0.17920103394173897</v>
          </cell>
          <cell r="G91">
            <v>-2.8691788190896253E-2</v>
          </cell>
          <cell r="H91">
            <v>-0.14918244004278775</v>
          </cell>
          <cell r="I91">
            <v>-3.7365259585346693E-2</v>
          </cell>
          <cell r="J91">
            <v>-0.61371341003761071</v>
          </cell>
          <cell r="K91">
            <v>-0.58092923418689413</v>
          </cell>
          <cell r="L91">
            <v>-6.0187765088922305</v>
          </cell>
          <cell r="M91">
            <v>-0.61691258204327515</v>
          </cell>
          <cell r="N91">
            <v>-4.8924186485687002</v>
          </cell>
          <cell r="O91">
            <v>-4.8936116071263731</v>
          </cell>
          <cell r="P91">
            <v>-4.169522727892911</v>
          </cell>
          <cell r="Q91">
            <v>0</v>
          </cell>
          <cell r="R91">
            <v>0</v>
          </cell>
          <cell r="S91">
            <v>-21.09789828293135</v>
          </cell>
          <cell r="U91">
            <v>-6.0074906367041203</v>
          </cell>
        </row>
        <row r="92">
          <cell r="C92" t="str">
            <v>Taxes on Income</v>
          </cell>
          <cell r="F92">
            <v>-5.9802814538571667</v>
          </cell>
          <cell r="G92">
            <v>-0.2729805942180174</v>
          </cell>
          <cell r="H92">
            <v>-0.2852095441831845</v>
          </cell>
          <cell r="I92">
            <v>-0.4757305789452218</v>
          </cell>
          <cell r="J92">
            <v>-0.61371341003761071</v>
          </cell>
          <cell r="K92">
            <v>-0.58092923418689413</v>
          </cell>
          <cell r="L92">
            <v>-8.5298587425945822</v>
          </cell>
          <cell r="M92">
            <v>-0.61691258204327515</v>
          </cell>
          <cell r="N92">
            <v>-4.8924186485687002</v>
          </cell>
          <cell r="O92">
            <v>-4.9371962860985201</v>
          </cell>
          <cell r="P92">
            <v>-4.7494317343996659</v>
          </cell>
          <cell r="Q92">
            <v>0</v>
          </cell>
          <cell r="R92">
            <v>0</v>
          </cell>
          <cell r="S92">
            <v>-24.970880415116383</v>
          </cell>
          <cell r="U92">
            <v>-6.0074906367041203</v>
          </cell>
        </row>
        <row r="93">
          <cell r="C93" t="str">
            <v>Tax Reimbursement</v>
          </cell>
          <cell r="F93">
            <v>6.1594824877989058</v>
          </cell>
          <cell r="G93">
            <v>0.24428880602712114</v>
          </cell>
          <cell r="H93">
            <v>0.13602710414039673</v>
          </cell>
          <cell r="I93">
            <v>0.43836531935987511</v>
          </cell>
          <cell r="J93">
            <v>0</v>
          </cell>
          <cell r="K93">
            <v>0</v>
          </cell>
          <cell r="L93">
            <v>2.5110822337023508</v>
          </cell>
          <cell r="M93">
            <v>0</v>
          </cell>
          <cell r="N93">
            <v>0</v>
          </cell>
          <cell r="O93">
            <v>4.3584678972147059E-2</v>
          </cell>
          <cell r="P93">
            <v>0.57990900650675492</v>
          </cell>
          <cell r="Q93">
            <v>0</v>
          </cell>
          <cell r="R93">
            <v>0</v>
          </cell>
          <cell r="S93">
            <v>3.8729821321850362</v>
          </cell>
          <cell r="U93">
            <v>0</v>
          </cell>
        </row>
        <row r="94">
          <cell r="A94" t="str">
            <v>Net Income</v>
          </cell>
          <cell r="F94">
            <v>-19.387591477540024</v>
          </cell>
          <cell r="G94">
            <v>-5.0020518385363779</v>
          </cell>
          <cell r="H94">
            <v>2.6788679725627169</v>
          </cell>
          <cell r="I94">
            <v>5.6417479940944748</v>
          </cell>
          <cell r="J94">
            <v>3.811998439275921</v>
          </cell>
          <cell r="K94">
            <v>-2.8112257837119872</v>
          </cell>
          <cell r="L94">
            <v>-4.8128258575145049</v>
          </cell>
          <cell r="M94">
            <v>9.8896843797458875E-2</v>
          </cell>
          <cell r="N94">
            <v>-3.4179080580553132</v>
          </cell>
          <cell r="O94">
            <v>-3.0739290700100939</v>
          </cell>
          <cell r="P94">
            <v>-3.8849102202530643</v>
          </cell>
          <cell r="Q94">
            <v>0</v>
          </cell>
          <cell r="R94">
            <v>0</v>
          </cell>
          <cell r="S94">
            <v>-10.450970194596904</v>
          </cell>
          <cell r="U94">
            <v>-18.863227265917573</v>
          </cell>
        </row>
        <row r="95">
          <cell r="A95" t="str">
            <v>Minoritary Interest</v>
          </cell>
          <cell r="F95">
            <v>-7.1149915206228015E-2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0.19674329329697399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0.1881338544879706</v>
          </cell>
          <cell r="T95" t="e">
            <v>#DIV/0!</v>
          </cell>
          <cell r="U95">
            <v>0.14981273408239701</v>
          </cell>
        </row>
        <row r="96">
          <cell r="A96" t="str">
            <v xml:space="preserve">Net Income </v>
          </cell>
          <cell r="F96">
            <v>-19.458741392746251</v>
          </cell>
          <cell r="G96">
            <v>-5.0020518385363779</v>
          </cell>
          <cell r="H96">
            <v>2.6788679725627169</v>
          </cell>
          <cell r="I96">
            <v>5.6417479940944748</v>
          </cell>
          <cell r="J96">
            <v>3.811998439275921</v>
          </cell>
          <cell r="K96">
            <v>-2.6144824904150132</v>
          </cell>
          <cell r="L96">
            <v>-4.8128258575145049</v>
          </cell>
          <cell r="M96">
            <v>9.8896843797458875E-2</v>
          </cell>
          <cell r="N96">
            <v>-3.4179080580553132</v>
          </cell>
          <cell r="O96">
            <v>-3.0739290700100939</v>
          </cell>
          <cell r="P96">
            <v>-3.8849102202530643</v>
          </cell>
          <cell r="Q96">
            <v>0</v>
          </cell>
          <cell r="R96">
            <v>0</v>
          </cell>
          <cell r="S96">
            <v>-10.262836340108933</v>
          </cell>
          <cell r="T96" t="e">
            <v>#DIV/0!</v>
          </cell>
          <cell r="U96">
            <v>-18.713414531835173</v>
          </cell>
        </row>
        <row r="98">
          <cell r="D98" t="str">
            <v>TC. monthly average USD</v>
          </cell>
          <cell r="F98">
            <v>9.134925344776633</v>
          </cell>
          <cell r="G98">
            <v>10.110444999999997</v>
          </cell>
          <cell r="H98">
            <v>10.015031578947369</v>
          </cell>
          <cell r="I98">
            <v>9.7693521739130453</v>
          </cell>
          <cell r="J98">
            <v>9.4460850000000001</v>
          </cell>
          <cell r="K98">
            <v>9.3578857142857146</v>
          </cell>
          <cell r="L98">
            <v>9.5417499999999986</v>
          </cell>
          <cell r="M98">
            <v>9.3670863636363624</v>
          </cell>
          <cell r="N98">
            <v>9.3980727272727265</v>
          </cell>
          <cell r="O98">
            <v>9.343514285714285</v>
          </cell>
          <cell r="P98">
            <v>9.5402666666666676</v>
          </cell>
          <cell r="Q98">
            <v>0.1</v>
          </cell>
          <cell r="R98">
            <v>0.1</v>
          </cell>
          <cell r="S98">
            <v>9.6257135697569005</v>
          </cell>
          <cell r="U98">
            <v>11.038</v>
          </cell>
        </row>
        <row r="99">
          <cell r="A99" t="str">
            <v>Financial Result MBMex 1999</v>
          </cell>
        </row>
        <row r="100">
          <cell r="A100" t="str">
            <v>Trucks NAFTA</v>
          </cell>
        </row>
        <row r="101">
          <cell r="F101" t="str">
            <v>YTD</v>
          </cell>
          <cell r="G101" t="str">
            <v>Jan</v>
          </cell>
          <cell r="H101" t="str">
            <v>Feb</v>
          </cell>
          <cell r="I101" t="str">
            <v>Mar</v>
          </cell>
          <cell r="J101" t="str">
            <v>Apr</v>
          </cell>
          <cell r="K101" t="str">
            <v>May</v>
          </cell>
          <cell r="L101" t="str">
            <v>Jun</v>
          </cell>
          <cell r="M101" t="str">
            <v>Jul</v>
          </cell>
          <cell r="N101" t="str">
            <v>Jul</v>
          </cell>
          <cell r="O101" t="str">
            <v>Jul</v>
          </cell>
          <cell r="P101" t="str">
            <v>Jul</v>
          </cell>
          <cell r="Q101" t="str">
            <v>Jul</v>
          </cell>
          <cell r="R101" t="str">
            <v>Jul</v>
          </cell>
          <cell r="S101" t="str">
            <v>YTD</v>
          </cell>
          <cell r="U101" t="str">
            <v>OP99</v>
          </cell>
        </row>
        <row r="103">
          <cell r="A103" t="str">
            <v>in Mio US$</v>
          </cell>
        </row>
        <row r="105">
          <cell r="A105" t="str">
            <v>Turnover, net</v>
          </cell>
          <cell r="F105">
            <v>407.54512327993547</v>
          </cell>
          <cell r="G105">
            <v>15.585669302389761</v>
          </cell>
          <cell r="H105">
            <v>31.1349398214053</v>
          </cell>
          <cell r="I105">
            <v>30.901599605153827</v>
          </cell>
          <cell r="J105">
            <v>37.207204051202162</v>
          </cell>
          <cell r="K105">
            <v>40.971791482202939</v>
          </cell>
          <cell r="L105">
            <v>39.331365508423509</v>
          </cell>
          <cell r="M105">
            <v>43.818357217607691</v>
          </cell>
          <cell r="N105">
            <v>48.683085984457165</v>
          </cell>
          <cell r="O105">
            <v>53.931994255144133</v>
          </cell>
          <cell r="P105">
            <v>60.524401388850059</v>
          </cell>
          <cell r="Q105">
            <v>0</v>
          </cell>
          <cell r="R105">
            <v>0</v>
          </cell>
          <cell r="S105">
            <v>397.97119011892084</v>
          </cell>
          <cell r="U105">
            <v>495.73292263091133</v>
          </cell>
        </row>
        <row r="106">
          <cell r="B106" t="str">
            <v>Material Cost</v>
          </cell>
          <cell r="F106">
            <v>-351.46849066761649</v>
          </cell>
          <cell r="G106">
            <v>-12.394528694829953</v>
          </cell>
          <cell r="H106">
            <v>-25.14377867158629</v>
          </cell>
          <cell r="I106">
            <v>-24.549487772630552</v>
          </cell>
          <cell r="J106">
            <v>-31.177650741021285</v>
          </cell>
          <cell r="K106">
            <v>-32.056069335411543</v>
          </cell>
          <cell r="L106">
            <v>-30.322966875049129</v>
          </cell>
          <cell r="M106">
            <v>-34.222781122683443</v>
          </cell>
          <cell r="N106">
            <v>-38.387720264502974</v>
          </cell>
          <cell r="O106">
            <v>-41.966776401201145</v>
          </cell>
          <cell r="P106">
            <v>-47.515381420505356</v>
          </cell>
          <cell r="Q106">
            <v>0</v>
          </cell>
          <cell r="R106">
            <v>0</v>
          </cell>
          <cell r="S106">
            <v>-314.52685216109762</v>
          </cell>
          <cell r="U106">
            <v>-422.23228845805392</v>
          </cell>
        </row>
        <row r="107">
          <cell r="C107" t="str">
            <v>Direct Material</v>
          </cell>
          <cell r="F107">
            <v>-313.57844175025861</v>
          </cell>
          <cell r="G107">
            <v>-11.366240113071189</v>
          </cell>
          <cell r="H107">
            <v>-22.728470109719286</v>
          </cell>
          <cell r="I107">
            <v>-22.154813601453696</v>
          </cell>
          <cell r="J107">
            <v>-28.247442302287141</v>
          </cell>
          <cell r="K107">
            <v>-29.35114239755012</v>
          </cell>
          <cell r="L107">
            <v>-27.918687476615926</v>
          </cell>
          <cell r="M107">
            <v>-31.265298572128039</v>
          </cell>
          <cell r="N107">
            <v>-35.089745083905022</v>
          </cell>
          <cell r="O107">
            <v>-38.224867228604715</v>
          </cell>
          <cell r="P107">
            <v>-42.940275384685258</v>
          </cell>
          <cell r="Q107">
            <v>0</v>
          </cell>
          <cell r="R107">
            <v>0</v>
          </cell>
          <cell r="S107">
            <v>-286.35017657289501</v>
          </cell>
          <cell r="U107">
            <v>-363.35386845443014</v>
          </cell>
        </row>
        <row r="108">
          <cell r="C108" t="str">
            <v>Cost of Supply</v>
          </cell>
          <cell r="F108">
            <v>-37.890048917357994</v>
          </cell>
          <cell r="G108">
            <v>-1.0282885817587657</v>
          </cell>
          <cell r="H108">
            <v>-2.415308561867004</v>
          </cell>
          <cell r="I108">
            <v>-2.394674171176852</v>
          </cell>
          <cell r="J108">
            <v>-2.9302084387341418</v>
          </cell>
          <cell r="K108">
            <v>-2.7049269378614214</v>
          </cell>
          <cell r="L108">
            <v>-2.4042793984332018</v>
          </cell>
          <cell r="M108">
            <v>-2.9574825505554028</v>
          </cell>
          <cell r="N108">
            <v>-3.2979751805979567</v>
          </cell>
          <cell r="O108">
            <v>-3.7419091725964235</v>
          </cell>
          <cell r="P108">
            <v>-4.5751060358201023</v>
          </cell>
          <cell r="Q108">
            <v>0</v>
          </cell>
          <cell r="R108">
            <v>0</v>
          </cell>
          <cell r="S108">
            <v>-28.176675588202627</v>
          </cell>
          <cell r="U108">
            <v>-58.878420003623845</v>
          </cell>
        </row>
        <row r="109">
          <cell r="B109" t="str">
            <v>Other Direct Cost</v>
          </cell>
          <cell r="F109">
            <v>-12.077336445128626</v>
          </cell>
          <cell r="G109">
            <v>-0.81771622614039274</v>
          </cell>
          <cell r="H109">
            <v>-1.1296260826357853</v>
          </cell>
          <cell r="I109">
            <v>-1.3705076694596363</v>
          </cell>
          <cell r="J109">
            <v>-1.3205951237999658</v>
          </cell>
          <cell r="K109">
            <v>-1.7040669566690889</v>
          </cell>
          <cell r="L109">
            <v>-1.4600795346765532</v>
          </cell>
          <cell r="M109">
            <v>-1.8059750698650354</v>
          </cell>
          <cell r="N109">
            <v>-1.704269851362175</v>
          </cell>
          <cell r="O109">
            <v>-1.9227238403720839</v>
          </cell>
          <cell r="P109">
            <v>-2.0775486569208406</v>
          </cell>
          <cell r="Q109">
            <v>0</v>
          </cell>
          <cell r="R109">
            <v>0</v>
          </cell>
          <cell r="S109">
            <v>-15.171993296044887</v>
          </cell>
          <cell r="U109">
            <v>-16.334480884218156</v>
          </cell>
        </row>
        <row r="110">
          <cell r="C110" t="str">
            <v>Direct Wages</v>
          </cell>
          <cell r="F110">
            <v>-4.226792118457551</v>
          </cell>
          <cell r="G110">
            <v>-0.60237662239397005</v>
          </cell>
          <cell r="H110">
            <v>-0.79056979676864669</v>
          </cell>
          <cell r="I110">
            <v>-0.87255772319912606</v>
          </cell>
          <cell r="J110">
            <v>-0.82515360808207838</v>
          </cell>
          <cell r="K110">
            <v>-1.149850300434164</v>
          </cell>
          <cell r="L110">
            <v>-1.1223878366127809</v>
          </cell>
          <cell r="M110">
            <v>-1.17661728334075</v>
          </cell>
          <cell r="N110">
            <v>-1.2066733849686784</v>
          </cell>
          <cell r="O110">
            <v>-1.2533712949853679</v>
          </cell>
          <cell r="P110">
            <v>-1.2797657179394006</v>
          </cell>
          <cell r="Q110">
            <v>0</v>
          </cell>
          <cell r="R110">
            <v>0</v>
          </cell>
          <cell r="S110">
            <v>-10.189214741248216</v>
          </cell>
          <cell r="U110">
            <v>-8.7606450443921009</v>
          </cell>
        </row>
        <row r="111">
          <cell r="C111" t="str">
            <v>Licence Fees</v>
          </cell>
          <cell r="F111">
            <v>-2.5582236381781209</v>
          </cell>
          <cell r="G111">
            <v>-6.1800071114575091E-2</v>
          </cell>
          <cell r="H111">
            <v>-4.6514602208469792E-2</v>
          </cell>
          <cell r="I111">
            <v>-5.8587904275616151E-2</v>
          </cell>
          <cell r="J111">
            <v>-6.2114665493693946E-2</v>
          </cell>
          <cell r="K111">
            <v>-4.8067074522327995E-2</v>
          </cell>
          <cell r="L111">
            <v>-4.6465726936882654E-2</v>
          </cell>
          <cell r="M111">
            <v>-6.6285304298076594E-2</v>
          </cell>
          <cell r="N111">
            <v>-4.6984007552805802E-2</v>
          </cell>
          <cell r="O111">
            <v>-4.6206512538873416E-2</v>
          </cell>
          <cell r="P111">
            <v>-6.4271486471377454E-2</v>
          </cell>
          <cell r="Q111">
            <v>0</v>
          </cell>
          <cell r="R111">
            <v>0</v>
          </cell>
          <cell r="S111">
            <v>-0.54544588637002189</v>
          </cell>
          <cell r="U111">
            <v>-0.37144410219242613</v>
          </cell>
        </row>
        <row r="112">
          <cell r="C112" t="str">
            <v>Direct Selling Expenses</v>
          </cell>
          <cell r="F112">
            <v>-5.2923206884929543</v>
          </cell>
          <cell r="G112">
            <v>-0.15353953263184761</v>
          </cell>
          <cell r="H112">
            <v>-0.29254168365866884</v>
          </cell>
          <cell r="I112">
            <v>-0.43936204198489409</v>
          </cell>
          <cell r="J112">
            <v>-0.43332685022419343</v>
          </cell>
          <cell r="K112">
            <v>-0.50614958171259683</v>
          </cell>
          <cell r="L112">
            <v>-0.29122597112688975</v>
          </cell>
          <cell r="M112">
            <v>-0.56307248222620898</v>
          </cell>
          <cell r="N112">
            <v>-0.45061245884069079</v>
          </cell>
          <cell r="O112">
            <v>-0.62314603284784253</v>
          </cell>
          <cell r="P112">
            <v>-0.73351145251006256</v>
          </cell>
          <cell r="Q112">
            <v>0</v>
          </cell>
          <cell r="R112">
            <v>0</v>
          </cell>
          <cell r="S112">
            <v>-4.4373326684266505</v>
          </cell>
          <cell r="U112">
            <v>-7.2023917376336293</v>
          </cell>
        </row>
        <row r="113">
          <cell r="B113" t="str">
            <v>Variable Overheads</v>
          </cell>
          <cell r="F113">
            <v>-3.1763266863030379</v>
          </cell>
          <cell r="G113">
            <v>-0.3847472401066423</v>
          </cell>
          <cell r="H113">
            <v>-0.53079275268333492</v>
          </cell>
          <cell r="I113">
            <v>-0.6711833920276854</v>
          </cell>
          <cell r="J113">
            <v>-0.65493654143489066</v>
          </cell>
          <cell r="K113">
            <v>-0.6678546523024127</v>
          </cell>
          <cell r="L113">
            <v>-1.1572032635522835</v>
          </cell>
          <cell r="M113">
            <v>-1.6960093227786464</v>
          </cell>
          <cell r="N113">
            <v>-1.3927853816256333</v>
          </cell>
          <cell r="O113">
            <v>-2.6290848067261328</v>
          </cell>
          <cell r="P113">
            <v>-1.78880304778343</v>
          </cell>
          <cell r="Q113">
            <v>0</v>
          </cell>
          <cell r="R113">
            <v>0</v>
          </cell>
          <cell r="S113">
            <v>-11.411896870184371</v>
          </cell>
          <cell r="U113">
            <v>-3.1074470012683455</v>
          </cell>
        </row>
        <row r="114">
          <cell r="C114" t="str">
            <v>Variable Overheads Personnel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U114">
            <v>0</v>
          </cell>
        </row>
        <row r="115">
          <cell r="C115" t="str">
            <v>Other Variable Overheads</v>
          </cell>
          <cell r="F115">
            <v>-3.1763266863030379</v>
          </cell>
          <cell r="G115">
            <v>-0.3847472401066423</v>
          </cell>
          <cell r="H115">
            <v>-0.53079275268333492</v>
          </cell>
          <cell r="I115">
            <v>-0.6711833920276854</v>
          </cell>
          <cell r="J115">
            <v>-0.65493654143489066</v>
          </cell>
          <cell r="K115">
            <v>-0.6678546523024127</v>
          </cell>
          <cell r="L115">
            <v>-1.1572032635522835</v>
          </cell>
          <cell r="M115">
            <v>-1.6960093227786464</v>
          </cell>
          <cell r="N115">
            <v>-1.3927853816256333</v>
          </cell>
          <cell r="O115">
            <v>-2.6290848067261328</v>
          </cell>
          <cell r="P115">
            <v>-1.78880304778343</v>
          </cell>
          <cell r="Q115">
            <v>0</v>
          </cell>
          <cell r="R115">
            <v>0</v>
          </cell>
          <cell r="S115">
            <v>-11.411896870184371</v>
          </cell>
          <cell r="U115">
            <v>-3.1074470012683455</v>
          </cell>
        </row>
        <row r="116">
          <cell r="A116" t="str">
            <v>Contribution Margin</v>
          </cell>
          <cell r="F116">
            <v>40.822969480887259</v>
          </cell>
          <cell r="G116">
            <v>1.9886771413127728</v>
          </cell>
          <cell r="H116">
            <v>4.3307423144998909</v>
          </cell>
          <cell r="I116">
            <v>4.3104207710359521</v>
          </cell>
          <cell r="J116">
            <v>4.0540216449460225</v>
          </cell>
          <cell r="K116">
            <v>6.5438005378198998</v>
          </cell>
          <cell r="L116">
            <v>6.3911158351455422</v>
          </cell>
          <cell r="M116">
            <v>6.0935917022805661</v>
          </cell>
          <cell r="N116">
            <v>7.1983104869663803</v>
          </cell>
          <cell r="O116">
            <v>7.4134092068447757</v>
          </cell>
          <cell r="P116">
            <v>9.1426682636404308</v>
          </cell>
          <cell r="Q116">
            <v>0</v>
          </cell>
          <cell r="R116">
            <v>0</v>
          </cell>
          <cell r="S116">
            <v>56.860447791593984</v>
          </cell>
          <cell r="U116">
            <v>54.058706287370924</v>
          </cell>
        </row>
        <row r="117">
          <cell r="B117" t="str">
            <v>Fixed Overheads</v>
          </cell>
          <cell r="F117">
            <v>-33.298667027851643</v>
          </cell>
          <cell r="G117">
            <v>-2.2535949940877984</v>
          </cell>
          <cell r="H117">
            <v>-3.6230927495301799</v>
          </cell>
          <cell r="I117">
            <v>-3.6576880343630096</v>
          </cell>
          <cell r="J117">
            <v>-3.5116613443558893</v>
          </cell>
          <cell r="K117">
            <v>-4.7651969837509078</v>
          </cell>
          <cell r="L117">
            <v>-5.0683444776901521</v>
          </cell>
          <cell r="M117">
            <v>-3.782733227223563</v>
          </cell>
          <cell r="N117">
            <v>-3.9638876257994866</v>
          </cell>
          <cell r="O117">
            <v>-4.4763813540637818</v>
          </cell>
          <cell r="P117">
            <v>-4.4589735241502675</v>
          </cell>
          <cell r="Q117">
            <v>0</v>
          </cell>
          <cell r="R117">
            <v>0</v>
          </cell>
          <cell r="S117">
            <v>-39.267634054432591</v>
          </cell>
          <cell r="U117">
            <v>-36.111614422902704</v>
          </cell>
        </row>
        <row r="118">
          <cell r="C118" t="str">
            <v>Fixed Overheads Personnel</v>
          </cell>
          <cell r="F118">
            <v>-15.79040284904781</v>
          </cell>
          <cell r="G118">
            <v>-1.2572026612082856</v>
          </cell>
          <cell r="H118">
            <v>-1.4300625491892187</v>
          </cell>
          <cell r="I118">
            <v>-1.4536211928074974</v>
          </cell>
          <cell r="J118">
            <v>-1.5765444647173934</v>
          </cell>
          <cell r="K118">
            <v>-1.8927648734756934</v>
          </cell>
          <cell r="L118">
            <v>-2.0480078371367938</v>
          </cell>
          <cell r="M118">
            <v>-1.8252580531736127</v>
          </cell>
          <cell r="N118">
            <v>-1.9771753708690758</v>
          </cell>
          <cell r="O118">
            <v>-2.069243316678032</v>
          </cell>
          <cell r="P118">
            <v>-1.8466955029209524</v>
          </cell>
          <cell r="Q118">
            <v>0</v>
          </cell>
          <cell r="R118">
            <v>0</v>
          </cell>
          <cell r="S118">
            <v>-17.246609829695217</v>
          </cell>
          <cell r="U118">
            <v>-17.340097843812284</v>
          </cell>
        </row>
        <row r="119">
          <cell r="C119" t="str">
            <v>Other Fixed Overheads</v>
          </cell>
          <cell r="F119">
            <v>-17.508264178803834</v>
          </cell>
          <cell r="G119">
            <v>-0.99639233287951257</v>
          </cell>
          <cell r="H119">
            <v>-2.193030200340961</v>
          </cell>
          <cell r="I119">
            <v>-2.204066841555512</v>
          </cell>
          <cell r="J119">
            <v>-1.9351168796384957</v>
          </cell>
          <cell r="K119">
            <v>-2.8724321102752146</v>
          </cell>
          <cell r="L119">
            <v>-3.0203366405533578</v>
          </cell>
          <cell r="M119">
            <v>-1.9216432006707369</v>
          </cell>
          <cell r="N119">
            <v>-1.9867122549304115</v>
          </cell>
          <cell r="O119">
            <v>-2.4071380373857498</v>
          </cell>
          <cell r="P119">
            <v>-2.6122780212293155</v>
          </cell>
          <cell r="Q119">
            <v>0</v>
          </cell>
          <cell r="R119">
            <v>0</v>
          </cell>
          <cell r="S119">
            <v>-22.021024224737381</v>
          </cell>
          <cell r="U119">
            <v>-18.771516579090413</v>
          </cell>
        </row>
        <row r="120">
          <cell r="A120" t="str">
            <v>Operating Result</v>
          </cell>
          <cell r="F120">
            <v>7.5243024530356104</v>
          </cell>
          <cell r="G120">
            <v>-0.26491785277502544</v>
          </cell>
          <cell r="H120">
            <v>0.70764956496971088</v>
          </cell>
          <cell r="I120">
            <v>0.65273273667294296</v>
          </cell>
          <cell r="J120">
            <v>0.54236030059013274</v>
          </cell>
          <cell r="K120">
            <v>1.7786035540689924</v>
          </cell>
          <cell r="L120">
            <v>1.3227713574553905</v>
          </cell>
          <cell r="M120">
            <v>2.3108584750570031</v>
          </cell>
          <cell r="N120">
            <v>3.2344228611668941</v>
          </cell>
          <cell r="O120">
            <v>2.9370278527809943</v>
          </cell>
          <cell r="P120">
            <v>4.6836947394901634</v>
          </cell>
          <cell r="Q120">
            <v>0</v>
          </cell>
          <cell r="R120">
            <v>0</v>
          </cell>
          <cell r="S120">
            <v>17.592813737161386</v>
          </cell>
          <cell r="U120">
            <v>17.947091864468224</v>
          </cell>
        </row>
        <row r="121">
          <cell r="B121" t="str">
            <v>Other Result</v>
          </cell>
          <cell r="F121">
            <v>8.6128959723779595</v>
          </cell>
          <cell r="G121">
            <v>1.1984670397791595</v>
          </cell>
          <cell r="H121">
            <v>0.27499213440218279</v>
          </cell>
          <cell r="I121">
            <v>0.65091104781546183</v>
          </cell>
          <cell r="J121">
            <v>0.70897601598969318</v>
          </cell>
          <cell r="K121">
            <v>0.80576022407381409</v>
          </cell>
          <cell r="L121">
            <v>2.0002428275735569E-2</v>
          </cell>
          <cell r="M121">
            <v>0.22801995701583741</v>
          </cell>
          <cell r="N121">
            <v>-0.57154094524215804</v>
          </cell>
          <cell r="O121">
            <v>0.69736549661644598</v>
          </cell>
          <cell r="P121">
            <v>0.50464116027504469</v>
          </cell>
          <cell r="Q121">
            <v>0</v>
          </cell>
          <cell r="R121">
            <v>0</v>
          </cell>
          <cell r="S121">
            <v>4.5454232450327288</v>
          </cell>
          <cell r="U121">
            <v>5.3389999999999986</v>
          </cell>
        </row>
        <row r="122">
          <cell r="C122" t="str">
            <v>Other Income</v>
          </cell>
          <cell r="F122">
            <v>10.190350159044039</v>
          </cell>
          <cell r="G122">
            <v>1.2945427871869146</v>
          </cell>
          <cell r="H122">
            <v>0.28365374363588203</v>
          </cell>
          <cell r="I122">
            <v>0.61510843943637383</v>
          </cell>
          <cell r="J122">
            <v>0.83151013568054921</v>
          </cell>
          <cell r="K122">
            <v>1.0310207310259338</v>
          </cell>
          <cell r="L122">
            <v>0.28248457148845862</v>
          </cell>
          <cell r="M122">
            <v>0.40297855741501076</v>
          </cell>
          <cell r="N122">
            <v>-6.2054634702666311E-2</v>
          </cell>
          <cell r="O122">
            <v>7.9997685789684525E-2</v>
          </cell>
          <cell r="P122">
            <v>0.59566976464669052</v>
          </cell>
          <cell r="Q122">
            <v>0</v>
          </cell>
          <cell r="R122">
            <v>0</v>
          </cell>
          <cell r="S122">
            <v>5.3770924196851171</v>
          </cell>
          <cell r="U122">
            <v>7.0159999999999991</v>
          </cell>
        </row>
        <row r="123">
          <cell r="D123" t="str">
            <v>Other income</v>
          </cell>
          <cell r="F123">
            <v>1.7284406149009504</v>
          </cell>
          <cell r="G123">
            <v>1.8442082420704536E-2</v>
          </cell>
          <cell r="H123">
            <v>-9.3756072818962657E-2</v>
          </cell>
          <cell r="I123">
            <v>-4.4196854849082146E-2</v>
          </cell>
          <cell r="J123">
            <v>0.34918546890060803</v>
          </cell>
          <cell r="K123">
            <v>0.37065609859980581</v>
          </cell>
          <cell r="L123">
            <v>0.11262536012785916</v>
          </cell>
          <cell r="M123">
            <v>5.2832487156431206E-2</v>
          </cell>
          <cell r="N123">
            <v>-0.44793773278467158</v>
          </cell>
          <cell r="O123">
            <v>-0.40912034520507734</v>
          </cell>
          <cell r="P123">
            <v>-9.1441851730210189E-2</v>
          </cell>
          <cell r="Q123">
            <v>0</v>
          </cell>
          <cell r="R123">
            <v>0</v>
          </cell>
          <cell r="S123">
            <v>-0.18206622265452063</v>
          </cell>
          <cell r="U123">
            <v>1.373</v>
          </cell>
        </row>
        <row r="124">
          <cell r="D124" t="str">
            <v>Monetary Result</v>
          </cell>
          <cell r="F124">
            <v>8.4619095441430918</v>
          </cell>
          <cell r="G124">
            <v>1.2761007047662101</v>
          </cell>
          <cell r="H124">
            <v>0.37740981645484467</v>
          </cell>
          <cell r="I124">
            <v>0.65930529428545603</v>
          </cell>
          <cell r="J124">
            <v>0.48232466677994112</v>
          </cell>
          <cell r="K124">
            <v>0.66036463242612797</v>
          </cell>
          <cell r="L124">
            <v>0.16985921136059948</v>
          </cell>
          <cell r="M124">
            <v>0.35014607025857952</v>
          </cell>
          <cell r="N124">
            <v>0.38588309808200527</v>
          </cell>
          <cell r="O124">
            <v>0.48911803099476187</v>
          </cell>
          <cell r="P124">
            <v>0.68711161637690066</v>
          </cell>
          <cell r="Q124">
            <v>0</v>
          </cell>
          <cell r="R124">
            <v>0</v>
          </cell>
          <cell r="S124">
            <v>5.5591586423396375</v>
          </cell>
          <cell r="U124">
            <v>5.6429999999999998</v>
          </cell>
        </row>
        <row r="125">
          <cell r="C125" t="str">
            <v>Other Expenses</v>
          </cell>
          <cell r="F125">
            <v>-1.5774541866660816</v>
          </cell>
          <cell r="G125">
            <v>-9.6075747407755083E-2</v>
          </cell>
          <cell r="H125">
            <v>-8.6616092336992394E-3</v>
          </cell>
          <cell r="I125">
            <v>3.580260837908792E-2</v>
          </cell>
          <cell r="J125">
            <v>-0.12253411969085605</v>
          </cell>
          <cell r="K125">
            <v>-0.22526050695211983</v>
          </cell>
          <cell r="L125">
            <v>-0.26248214321272306</v>
          </cell>
          <cell r="M125">
            <v>-0.17495860039917335</v>
          </cell>
          <cell r="N125">
            <v>-0.50948631053949178</v>
          </cell>
          <cell r="O125">
            <v>0.6173678108267614</v>
          </cell>
          <cell r="P125">
            <v>-9.1028604371645797E-2</v>
          </cell>
          <cell r="Q125">
            <v>0</v>
          </cell>
          <cell r="R125">
            <v>0</v>
          </cell>
          <cell r="S125">
            <v>-0.83166917465238666</v>
          </cell>
          <cell r="U125">
            <v>-1.677</v>
          </cell>
        </row>
        <row r="126">
          <cell r="B126" t="str">
            <v>Exchange Rate Result Operating</v>
          </cell>
          <cell r="F126">
            <v>-3.8871872084104337</v>
          </cell>
          <cell r="G126">
            <v>-0.83937328475650708</v>
          </cell>
          <cell r="H126">
            <v>0.26436174056260692</v>
          </cell>
          <cell r="I126">
            <v>0.52535066487876225</v>
          </cell>
          <cell r="J126">
            <v>0.91653081038334927</v>
          </cell>
          <cell r="K126">
            <v>-1.0076698976569798</v>
          </cell>
          <cell r="L126">
            <v>0.68473417140461668</v>
          </cell>
          <cell r="M126">
            <v>-0.21839876569749303</v>
          </cell>
          <cell r="N126">
            <v>0.37159412693898558</v>
          </cell>
          <cell r="O126">
            <v>0.24261227100234542</v>
          </cell>
          <cell r="P126">
            <v>-0.41148376949631038</v>
          </cell>
          <cell r="Q126">
            <v>0</v>
          </cell>
          <cell r="R126">
            <v>0</v>
          </cell>
          <cell r="S126">
            <v>0.50310189628074531</v>
          </cell>
          <cell r="U126">
            <v>-1.829</v>
          </cell>
        </row>
        <row r="127">
          <cell r="B127" t="str">
            <v>Valuation Measures</v>
          </cell>
          <cell r="F127">
            <v>-4.3281552675860171</v>
          </cell>
          <cell r="G127">
            <v>-0.29350209511055159</v>
          </cell>
          <cell r="H127">
            <v>-0.39154451876547669</v>
          </cell>
          <cell r="I127">
            <v>-0.45462507041764583</v>
          </cell>
          <cell r="J127">
            <v>-0.46786497898335655</v>
          </cell>
          <cell r="K127">
            <v>-0.87293132117755545</v>
          </cell>
          <cell r="L127">
            <v>-0.91698202740587431</v>
          </cell>
          <cell r="M127">
            <v>-1.1443924176480609</v>
          </cell>
          <cell r="N127">
            <v>-1.8345222217708077</v>
          </cell>
          <cell r="O127">
            <v>-2.877007149344236</v>
          </cell>
          <cell r="P127">
            <v>-3.1892079658849508</v>
          </cell>
          <cell r="Q127">
            <v>0</v>
          </cell>
          <cell r="R127">
            <v>0</v>
          </cell>
          <cell r="S127">
            <v>-12.252172678454061</v>
          </cell>
          <cell r="U127">
            <v>-5.1689999999999996</v>
          </cell>
        </row>
        <row r="128">
          <cell r="C128" t="str">
            <v>Depreciacion</v>
          </cell>
          <cell r="F128">
            <v>-3.0443142642541212</v>
          </cell>
          <cell r="G128">
            <v>-0.29350209511055159</v>
          </cell>
          <cell r="H128">
            <v>-0.39154451876547669</v>
          </cell>
          <cell r="I128">
            <v>-0.35226413775823323</v>
          </cell>
          <cell r="J128">
            <v>-0.46786497898335655</v>
          </cell>
          <cell r="K128">
            <v>-0.57371843426170743</v>
          </cell>
          <cell r="L128">
            <v>-0.48678338564728701</v>
          </cell>
          <cell r="M128">
            <v>-0.42437556628407308</v>
          </cell>
          <cell r="N128">
            <v>-0.42258062001106617</v>
          </cell>
          <cell r="O128">
            <v>-1.1166755292441204</v>
          </cell>
          <cell r="P128">
            <v>-1.0885944033709747</v>
          </cell>
          <cell r="Q128">
            <v>0</v>
          </cell>
          <cell r="R128">
            <v>0</v>
          </cell>
          <cell r="S128">
            <v>-5.5610391325359041</v>
          </cell>
          <cell r="U128">
            <v>-5.1689999999999996</v>
          </cell>
        </row>
        <row r="129">
          <cell r="C129" t="str">
            <v>Valuation Measures</v>
          </cell>
          <cell r="F129">
            <v>-1.2838410033318963</v>
          </cell>
          <cell r="G129">
            <v>0</v>
          </cell>
          <cell r="H129">
            <v>0</v>
          </cell>
          <cell r="I129">
            <v>-0.10236093265941267</v>
          </cell>
          <cell r="J129">
            <v>0</v>
          </cell>
          <cell r="K129">
            <v>-0.29921288691584785</v>
          </cell>
          <cell r="L129">
            <v>-0.43019864175858735</v>
          </cell>
          <cell r="M129">
            <v>-0.72001685136398785</v>
          </cell>
          <cell r="N129">
            <v>-1.4119416017597419</v>
          </cell>
          <cell r="O129">
            <v>-1.7603316201001156</v>
          </cell>
          <cell r="P129">
            <v>-2.1006135625139755</v>
          </cell>
          <cell r="Q129">
            <v>0</v>
          </cell>
          <cell r="R129">
            <v>0</v>
          </cell>
          <cell r="S129">
            <v>-6.6911335459181549</v>
          </cell>
          <cell r="U129">
            <v>0</v>
          </cell>
        </row>
        <row r="130">
          <cell r="D130" t="str">
            <v>Inventory Valuation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-0.66641315318034267</v>
          </cell>
          <cell r="O130">
            <v>-0.39995665503649597</v>
          </cell>
          <cell r="P130">
            <v>-0.52409436493738815</v>
          </cell>
          <cell r="Q130">
            <v>0</v>
          </cell>
          <cell r="R130">
            <v>0</v>
          </cell>
          <cell r="S130">
            <v>-1.5583260286415139</v>
          </cell>
          <cell r="U130">
            <v>0</v>
          </cell>
        </row>
        <row r="131">
          <cell r="D131" t="str">
            <v>Allowance for Bad Debts</v>
          </cell>
          <cell r="F131">
            <v>0.27577981153841613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-0.29921288691584785</v>
          </cell>
          <cell r="L131">
            <v>-0.39703611182435095</v>
          </cell>
          <cell r="M131">
            <v>-0.35167922362585829</v>
          </cell>
          <cell r="N131">
            <v>-0.35051970287912032</v>
          </cell>
          <cell r="O131">
            <v>-0.3525664497604144</v>
          </cell>
          <cell r="P131">
            <v>-0.35184652350737922</v>
          </cell>
          <cell r="Q131">
            <v>0</v>
          </cell>
          <cell r="R131">
            <v>0</v>
          </cell>
          <cell r="S131">
            <v>-2.0598740879114641</v>
          </cell>
          <cell r="U131">
            <v>0</v>
          </cell>
        </row>
        <row r="132">
          <cell r="D132" t="str">
            <v>Reserves for Restructuring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U132">
            <v>0</v>
          </cell>
        </row>
        <row r="133">
          <cell r="D133" t="str">
            <v>Other Reserves</v>
          </cell>
          <cell r="F133">
            <v>-1.5596208148703121</v>
          </cell>
          <cell r="G133">
            <v>0</v>
          </cell>
          <cell r="H133">
            <v>0</v>
          </cell>
          <cell r="I133">
            <v>-0.10236093265941267</v>
          </cell>
          <cell r="J133">
            <v>0</v>
          </cell>
          <cell r="K133">
            <v>0</v>
          </cell>
          <cell r="L133">
            <v>-3.3162529934236386E-2</v>
          </cell>
          <cell r="M133">
            <v>-0.36833762773812956</v>
          </cell>
          <cell r="N133">
            <v>-0.395008745700279</v>
          </cell>
          <cell r="O133">
            <v>-1.007808515303205</v>
          </cell>
          <cell r="P133">
            <v>-1.2246726740692084</v>
          </cell>
          <cell r="Q133">
            <v>0</v>
          </cell>
          <cell r="R133">
            <v>0</v>
          </cell>
          <cell r="S133">
            <v>-3.0729334293651775</v>
          </cell>
          <cell r="U133">
            <v>0</v>
          </cell>
        </row>
        <row r="134">
          <cell r="A134" t="str">
            <v>Operating Profit</v>
          </cell>
          <cell r="F134">
            <v>7.9109089524548306</v>
          </cell>
          <cell r="G134">
            <v>-0.19932619286292466</v>
          </cell>
          <cell r="H134">
            <v>0.85545892116902389</v>
          </cell>
          <cell r="I134">
            <v>1.3743693789495213</v>
          </cell>
          <cell r="J134">
            <v>1.7000021479798182</v>
          </cell>
          <cell r="K134">
            <v>0.70376255930827114</v>
          </cell>
          <cell r="L134">
            <v>1.1105259297298684</v>
          </cell>
          <cell r="M134">
            <v>1.1760872487272869</v>
          </cell>
          <cell r="N134">
            <v>1.1999538210929139</v>
          </cell>
          <cell r="O134">
            <v>0.99999847105554962</v>
          </cell>
          <cell r="P134">
            <v>1.587644164383947</v>
          </cell>
          <cell r="Q134">
            <v>0</v>
          </cell>
          <cell r="R134">
            <v>0</v>
          </cell>
          <cell r="S134">
            <v>10.389166200020801</v>
          </cell>
          <cell r="U134">
            <v>16.288091864468221</v>
          </cell>
        </row>
        <row r="135">
          <cell r="B135" t="str">
            <v>Financial Result</v>
          </cell>
          <cell r="F135">
            <v>-19.079905586711927</v>
          </cell>
          <cell r="G135">
            <v>-2.7474719767527547</v>
          </cell>
          <cell r="H135">
            <v>0.76363970794426905</v>
          </cell>
          <cell r="I135">
            <v>1.7867399382541049</v>
          </cell>
          <cell r="J135">
            <v>0.717223753544458</v>
          </cell>
          <cell r="K135">
            <v>-1.9151552217228556</v>
          </cell>
          <cell r="L135">
            <v>-0.47062256818717751</v>
          </cell>
          <cell r="M135">
            <v>-0.79705644425185096</v>
          </cell>
          <cell r="N135">
            <v>-0.40046731167318644</v>
          </cell>
          <cell r="O135">
            <v>-2.2216715643853708E-2</v>
          </cell>
          <cell r="P135">
            <v>-1.4319441025408095</v>
          </cell>
          <cell r="Q135">
            <v>0</v>
          </cell>
          <cell r="R135">
            <v>0</v>
          </cell>
          <cell r="S135">
            <v>-4.5098822861707442</v>
          </cell>
          <cell r="U135">
            <v>-24.06233013227034</v>
          </cell>
        </row>
        <row r="136">
          <cell r="C136" t="str">
            <v>Result on Interest</v>
          </cell>
          <cell r="F136">
            <v>-4.2435540791984296</v>
          </cell>
          <cell r="G136">
            <v>-0.7264397551245273</v>
          </cell>
          <cell r="H136">
            <v>-0.75026247304052429</v>
          </cell>
          <cell r="I136">
            <v>-0.93478016120511742</v>
          </cell>
          <cell r="J136">
            <v>-0.64803030355962277</v>
          </cell>
          <cell r="K136">
            <v>-0.44939956614131399</v>
          </cell>
          <cell r="L136">
            <v>-0.57818960777635142</v>
          </cell>
          <cell r="M136">
            <v>-0.62317410061050327</v>
          </cell>
          <cell r="N136">
            <v>-0.7714228661969379</v>
          </cell>
          <cell r="O136">
            <v>-0.68409736471135052</v>
          </cell>
          <cell r="P136">
            <v>-0.56684124343135056</v>
          </cell>
          <cell r="Q136">
            <v>0</v>
          </cell>
          <cell r="R136">
            <v>0</v>
          </cell>
          <cell r="S136">
            <v>-6.7237978172702428</v>
          </cell>
          <cell r="U136">
            <v>-6.5138612067403523</v>
          </cell>
        </row>
        <row r="137">
          <cell r="D137" t="str">
            <v>Interest Income</v>
          </cell>
          <cell r="F137">
            <v>2.7101192692456917</v>
          </cell>
          <cell r="G137">
            <v>0.32007986295360896</v>
          </cell>
          <cell r="H137">
            <v>0.11500459493519213</v>
          </cell>
          <cell r="I137">
            <v>0.22396233865357984</v>
          </cell>
          <cell r="J137">
            <v>0.14965765817267151</v>
          </cell>
          <cell r="K137">
            <v>0.23015061582897237</v>
          </cell>
          <cell r="L137">
            <v>0.12850914769303326</v>
          </cell>
          <cell r="M137">
            <v>0.15614706571704895</v>
          </cell>
          <cell r="N137">
            <v>0.13595748161131685</v>
          </cell>
          <cell r="O137">
            <v>8.4040580020365546E-2</v>
          </cell>
          <cell r="P137">
            <v>0.18946359081507155</v>
          </cell>
          <cell r="Q137">
            <v>0</v>
          </cell>
          <cell r="R137">
            <v>0</v>
          </cell>
          <cell r="S137">
            <v>1.735211058271894</v>
          </cell>
          <cell r="U137">
            <v>-0.88784200036238459</v>
          </cell>
        </row>
        <row r="138">
          <cell r="D138" t="str">
            <v>Interest Expenses</v>
          </cell>
          <cell r="F138">
            <v>-6.9536733484441218</v>
          </cell>
          <cell r="G138">
            <v>-1.0465196180781362</v>
          </cell>
          <cell r="H138">
            <v>-0.8652670679757164</v>
          </cell>
          <cell r="I138">
            <v>-1.158742499858697</v>
          </cell>
          <cell r="J138">
            <v>-0.79768796173229439</v>
          </cell>
          <cell r="K138">
            <v>-0.67955018197028638</v>
          </cell>
          <cell r="L138">
            <v>-0.70669875546938465</v>
          </cell>
          <cell r="M138">
            <v>-0.77932116632755222</v>
          </cell>
          <cell r="N138">
            <v>-0.90738034780825483</v>
          </cell>
          <cell r="O138">
            <v>-0.76813794473171615</v>
          </cell>
          <cell r="P138">
            <v>-0.75630483424642214</v>
          </cell>
          <cell r="Q138">
            <v>0</v>
          </cell>
          <cell r="R138">
            <v>0</v>
          </cell>
          <cell r="S138">
            <v>-8.4590088755421355</v>
          </cell>
          <cell r="U138">
            <v>-5.6260192063779666</v>
          </cell>
        </row>
        <row r="139">
          <cell r="C139" t="str">
            <v>Other Financial Result</v>
          </cell>
          <cell r="F139">
            <v>-14.836351507513488</v>
          </cell>
          <cell r="G139">
            <v>-2.0210322216282277</v>
          </cell>
          <cell r="H139">
            <v>1.5139021809847932</v>
          </cell>
          <cell r="I139">
            <v>2.7215200994592221</v>
          </cell>
          <cell r="J139">
            <v>1.3652540571040808</v>
          </cell>
          <cell r="K139">
            <v>-1.4657556555815416</v>
          </cell>
          <cell r="L139">
            <v>0.10756703958917389</v>
          </cell>
          <cell r="M139">
            <v>-0.17388234364134769</v>
          </cell>
          <cell r="N139">
            <v>0.37095555452375151</v>
          </cell>
          <cell r="O139">
            <v>0.66188064906749677</v>
          </cell>
          <cell r="P139">
            <v>-0.86510285910945883</v>
          </cell>
          <cell r="Q139">
            <v>0</v>
          </cell>
          <cell r="R139">
            <v>0</v>
          </cell>
          <cell r="S139">
            <v>2.2139155310994987</v>
          </cell>
          <cell r="U139">
            <v>-17.548468925529985</v>
          </cell>
        </row>
        <row r="140">
          <cell r="B140" t="str">
            <v>Taxes</v>
          </cell>
          <cell r="F140">
            <v>0.10229043640015083</v>
          </cell>
          <cell r="G140">
            <v>-1.7000359529179984E-2</v>
          </cell>
          <cell r="H140">
            <v>-8.5409044720146987E-2</v>
          </cell>
          <cell r="I140">
            <v>-2.079825933008778E-2</v>
          </cell>
          <cell r="J140">
            <v>-0.33519668730484636</v>
          </cell>
          <cell r="K140">
            <v>-0.31553356069441812</v>
          </cell>
          <cell r="L140">
            <v>-3.1936923090628033</v>
          </cell>
          <cell r="M140">
            <v>-0.32666358366019516</v>
          </cell>
          <cell r="N140">
            <v>-2.6526921767325606</v>
          </cell>
          <cell r="O140">
            <v>-2.6295158907783245</v>
          </cell>
          <cell r="P140">
            <v>-2.2809782745415923</v>
          </cell>
          <cell r="Q140">
            <v>0</v>
          </cell>
          <cell r="R140">
            <v>0</v>
          </cell>
          <cell r="S140">
            <v>-11.650358954409674</v>
          </cell>
          <cell r="U140">
            <v>-3.6329045116868999</v>
          </cell>
        </row>
        <row r="141">
          <cell r="C141" t="str">
            <v>Taxes on Income</v>
          </cell>
          <cell r="F141">
            <v>-3.4136276239882606</v>
          </cell>
          <cell r="G141">
            <v>-0.16174552158683428</v>
          </cell>
          <cell r="H141">
            <v>-0.16328647464653132</v>
          </cell>
          <cell r="I141">
            <v>-0.2648012635789565</v>
          </cell>
          <cell r="J141">
            <v>-0.33519668730484636</v>
          </cell>
          <cell r="K141">
            <v>-0.31553356069441812</v>
          </cell>
          <cell r="L141">
            <v>-4.5261265679775731</v>
          </cell>
          <cell r="M141">
            <v>-0.32666358366019516</v>
          </cell>
          <cell r="N141">
            <v>-2.6526921767325606</v>
          </cell>
          <cell r="O141">
            <v>-2.6529355274705453</v>
          </cell>
          <cell r="P141">
            <v>-2.5982231803443647</v>
          </cell>
          <cell r="Q141">
            <v>0</v>
          </cell>
          <cell r="R141">
            <v>0</v>
          </cell>
          <cell r="S141">
            <v>-13.789037957354481</v>
          </cell>
          <cell r="U141">
            <v>-3.6329045116868999</v>
          </cell>
        </row>
        <row r="142">
          <cell r="C142" t="str">
            <v>Tax Reimbursement</v>
          </cell>
          <cell r="F142">
            <v>3.5159180603884113</v>
          </cell>
          <cell r="G142">
            <v>0.14474516205765428</v>
          </cell>
          <cell r="H142">
            <v>7.7877429926384342E-2</v>
          </cell>
          <cell r="I142">
            <v>0.24400300424886873</v>
          </cell>
          <cell r="J142">
            <v>0</v>
          </cell>
          <cell r="K142">
            <v>0</v>
          </cell>
          <cell r="L142">
            <v>1.3324342589147695</v>
          </cell>
          <cell r="M142">
            <v>0</v>
          </cell>
          <cell r="N142">
            <v>0</v>
          </cell>
          <cell r="O142">
            <v>2.3419636692220427E-2</v>
          </cell>
          <cell r="P142">
            <v>0.31724490580277276</v>
          </cell>
          <cell r="Q142">
            <v>0</v>
          </cell>
          <cell r="R142">
            <v>0</v>
          </cell>
          <cell r="S142">
            <v>2.1386790029448086</v>
          </cell>
          <cell r="U142">
            <v>0</v>
          </cell>
        </row>
        <row r="143">
          <cell r="A143" t="str">
            <v>Net Income</v>
          </cell>
          <cell r="F143">
            <v>-11.066706197856938</v>
          </cell>
          <cell r="G143">
            <v>-2.9637985291448596</v>
          </cell>
          <cell r="H143">
            <v>1.533689584393146</v>
          </cell>
          <cell r="I143">
            <v>3.140311057873538</v>
          </cell>
          <cell r="J143">
            <v>2.0820292142194297</v>
          </cell>
          <cell r="K143">
            <v>-1.5269262231090026</v>
          </cell>
          <cell r="L143">
            <v>-2.5537889475201125</v>
          </cell>
          <cell r="M143">
            <v>5.2367220815240659E-2</v>
          </cell>
          <cell r="N143">
            <v>-1.8532056673128332</v>
          </cell>
          <cell r="O143">
            <v>-1.6517341353666288</v>
          </cell>
          <cell r="P143">
            <v>-2.1252782126984546</v>
          </cell>
          <cell r="Q143">
            <v>0</v>
          </cell>
          <cell r="R143">
            <v>0</v>
          </cell>
          <cell r="S143">
            <v>-5.7710750405596141</v>
          </cell>
          <cell r="U143">
            <v>-11.407142779489018</v>
          </cell>
        </row>
        <row r="144">
          <cell r="A144" t="str">
            <v>Minoritary Interest</v>
          </cell>
          <cell r="F144">
            <v>-4.0613358730089512E-2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0.10686174532708853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0.10388840190943426</v>
          </cell>
          <cell r="T144" t="e">
            <v>#DIV/0!</v>
          </cell>
          <cell r="U144">
            <v>9.0596122485957595E-2</v>
          </cell>
        </row>
        <row r="145">
          <cell r="A145" t="str">
            <v xml:space="preserve">Net Income </v>
          </cell>
          <cell r="F145">
            <v>-11.107319556587028</v>
          </cell>
          <cell r="G145">
            <v>-2.9637985291448596</v>
          </cell>
          <cell r="H145">
            <v>1.533689584393146</v>
          </cell>
          <cell r="I145">
            <v>3.140311057873538</v>
          </cell>
          <cell r="J145">
            <v>2.0820292142194297</v>
          </cell>
          <cell r="K145">
            <v>-1.420064477781914</v>
          </cell>
          <cell r="L145">
            <v>-2.5537889475201125</v>
          </cell>
          <cell r="M145">
            <v>5.2367220815240659E-2</v>
          </cell>
          <cell r="N145">
            <v>-1.8532056673128332</v>
          </cell>
          <cell r="O145">
            <v>-1.6517341353666288</v>
          </cell>
          <cell r="P145">
            <v>-2.1252782126984546</v>
          </cell>
          <cell r="Q145">
            <v>0</v>
          </cell>
          <cell r="R145">
            <v>0</v>
          </cell>
          <cell r="S145">
            <v>-5.6671866386501799</v>
          </cell>
          <cell r="T145" t="e">
            <v>#DIV/0!</v>
          </cell>
          <cell r="U145">
            <v>-11.316546657003061</v>
          </cell>
        </row>
      </sheetData>
      <sheetData sheetId="4">
        <row r="1">
          <cell r="C1" t="str">
            <v>Monthly Development of MBMex Resultlines 1999</v>
          </cell>
        </row>
        <row r="6">
          <cell r="D6" t="str">
            <v>Jan</v>
          </cell>
          <cell r="E6">
            <v>2.3062093814861764</v>
          </cell>
          <cell r="F6">
            <v>-0.30297737537764208</v>
          </cell>
          <cell r="G6">
            <v>-0.24443845547846851</v>
          </cell>
          <cell r="H6">
            <v>-2.5287284951354776</v>
          </cell>
        </row>
        <row r="7">
          <cell r="A7" t="str">
            <v>Turnover, net</v>
          </cell>
          <cell r="D7" t="str">
            <v>Feb</v>
          </cell>
          <cell r="E7">
            <v>4.8010313338476509</v>
          </cell>
          <cell r="F7">
            <v>505.83742204999999</v>
          </cell>
          <cell r="G7">
            <v>40.139235020000001</v>
          </cell>
          <cell r="H7">
            <v>45.582418019999999</v>
          </cell>
          <cell r="I7">
            <v>56.566418159999998</v>
          </cell>
          <cell r="J7">
            <v>51.781023910000002</v>
          </cell>
          <cell r="K7">
            <v>27.54458443</v>
          </cell>
          <cell r="L7">
            <v>30.167735749999999</v>
          </cell>
          <cell r="M7">
            <v>7.2665051500000004</v>
          </cell>
          <cell r="N7">
            <v>0.97523959999999998</v>
          </cell>
          <cell r="S7">
            <v>260.02316003999999</v>
          </cell>
          <cell r="U7">
            <v>700.67700000000002</v>
          </cell>
        </row>
        <row r="8">
          <cell r="B8" t="str">
            <v>Material Cost</v>
          </cell>
          <cell r="D8" t="str">
            <v>Mar</v>
          </cell>
          <cell r="E8">
            <v>4.8230631215919617</v>
          </cell>
          <cell r="F8">
            <v>-438.7624781799999</v>
          </cell>
          <cell r="G8">
            <v>-35.760598970000004</v>
          </cell>
          <cell r="H8">
            <v>-39.477209730000006</v>
          </cell>
          <cell r="I8">
            <v>-48.779026960000003</v>
          </cell>
          <cell r="J8">
            <v>-44.780384819999995</v>
          </cell>
          <cell r="K8">
            <v>-26.579403639999999</v>
          </cell>
          <cell r="L8">
            <v>-30.471130299999999</v>
          </cell>
          <cell r="M8">
            <v>-7.0024081799999998</v>
          </cell>
          <cell r="N8">
            <v>-0.96419591999999998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-233.81435852000004</v>
          </cell>
          <cell r="U8">
            <v>-600.83100000000002</v>
          </cell>
        </row>
        <row r="9">
          <cell r="C9" t="str">
            <v>Direct Material</v>
          </cell>
          <cell r="D9" t="str">
            <v>Apr</v>
          </cell>
          <cell r="E9">
            <v>4.6386659446744387</v>
          </cell>
          <cell r="F9">
            <v>-364.36919837999994</v>
          </cell>
          <cell r="G9">
            <v>-29.379571970000001</v>
          </cell>
          <cell r="H9">
            <v>-32.817001490000003</v>
          </cell>
          <cell r="I9">
            <v>-40.148763000000002</v>
          </cell>
          <cell r="J9">
            <v>-37.943694819999997</v>
          </cell>
          <cell r="K9">
            <v>-26.579403639999999</v>
          </cell>
          <cell r="L9">
            <v>-30.471130299999999</v>
          </cell>
          <cell r="M9">
            <v>-7.0024081799999998</v>
          </cell>
          <cell r="N9">
            <v>-0.96419591999999998</v>
          </cell>
          <cell r="S9">
            <v>-205.30616932000001</v>
          </cell>
          <cell r="U9">
            <v>-485.61799999999999</v>
          </cell>
        </row>
        <row r="10">
          <cell r="C10" t="str">
            <v>Cost of Supply</v>
          </cell>
          <cell r="D10" t="str">
            <v>May</v>
          </cell>
          <cell r="E10">
            <v>6.6007732286902456</v>
          </cell>
          <cell r="F10">
            <v>-74.393279800000016</v>
          </cell>
          <cell r="G10">
            <v>-6.3810269999999996</v>
          </cell>
          <cell r="H10">
            <v>-6.6602082400000002</v>
          </cell>
          <cell r="I10">
            <v>-8.6302639600000006</v>
          </cell>
          <cell r="J10">
            <v>-6.8366899999999999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S10">
            <v>-28.5081892</v>
          </cell>
          <cell r="U10">
            <v>-115.21299999999999</v>
          </cell>
        </row>
        <row r="11">
          <cell r="B11" t="str">
            <v>Other Direct Cost</v>
          </cell>
          <cell r="D11" t="str">
            <v>Jun</v>
          </cell>
          <cell r="E11">
            <v>6.3137502575523339</v>
          </cell>
          <cell r="F11">
            <v>-12.376465920000001</v>
          </cell>
          <cell r="G11">
            <v>-1.0923539099999999</v>
          </cell>
          <cell r="H11">
            <v>-1.30456196</v>
          </cell>
          <cell r="I11">
            <v>-1.4856462100000001</v>
          </cell>
          <cell r="J11">
            <v>-1.4220652</v>
          </cell>
          <cell r="K11">
            <v>-0.43203686000000002</v>
          </cell>
          <cell r="L11">
            <v>-0.43480844999999996</v>
          </cell>
          <cell r="M11">
            <v>0</v>
          </cell>
          <cell r="N11">
            <v>0.87752399999999997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-5.2939485900000003</v>
          </cell>
          <cell r="U11">
            <v>-19.240000000000002</v>
          </cell>
        </row>
        <row r="12">
          <cell r="C12" t="str">
            <v>Direct Wages</v>
          </cell>
          <cell r="D12" t="str">
            <v>Jul</v>
          </cell>
          <cell r="E12">
            <v>6.121785845021174</v>
          </cell>
          <cell r="F12">
            <v>-3.56258366</v>
          </cell>
          <cell r="G12">
            <v>-0.51147403999999996</v>
          </cell>
          <cell r="H12">
            <v>-0.62108688999999995</v>
          </cell>
          <cell r="I12">
            <v>-0.69638228999999996</v>
          </cell>
          <cell r="J12">
            <v>-0.56351993</v>
          </cell>
          <cell r="K12">
            <v>0</v>
          </cell>
          <cell r="L12">
            <v>0</v>
          </cell>
          <cell r="N12">
            <v>-6.4008000000000001E-4</v>
          </cell>
          <cell r="S12">
            <v>-2.3931032299999999</v>
          </cell>
          <cell r="U12">
            <v>-6.6109999999999998</v>
          </cell>
        </row>
        <row r="13">
          <cell r="C13" t="str">
            <v>Licence Fees</v>
          </cell>
          <cell r="D13" t="str">
            <v>Aug</v>
          </cell>
          <cell r="F13">
            <v>-0.62184977999999991</v>
          </cell>
          <cell r="G13">
            <v>-3.9873869999999999E-2</v>
          </cell>
          <cell r="H13">
            <v>-7.3077069999999994E-2</v>
          </cell>
          <cell r="I13">
            <v>-0.10356045</v>
          </cell>
          <cell r="J13">
            <v>-5.416236E-2</v>
          </cell>
          <cell r="K13">
            <v>-0.10165486</v>
          </cell>
          <cell r="L13">
            <v>-0.10467559</v>
          </cell>
          <cell r="N13">
            <v>0.20542608000000001</v>
          </cell>
          <cell r="S13">
            <v>-0.27157811999999998</v>
          </cell>
          <cell r="U13">
            <v>-1.9950000000000001</v>
          </cell>
        </row>
        <row r="14">
          <cell r="C14" t="str">
            <v>Direct Selling Expenses</v>
          </cell>
          <cell r="D14" t="str">
            <v>Sep</v>
          </cell>
          <cell r="F14">
            <v>-8.1920324799999999</v>
          </cell>
          <cell r="G14">
            <v>-0.54100599999999999</v>
          </cell>
          <cell r="H14">
            <v>-0.610398</v>
          </cell>
          <cell r="I14">
            <v>-0.68570346999999998</v>
          </cell>
          <cell r="J14">
            <v>-0.80438290999999995</v>
          </cell>
          <cell r="K14">
            <v>-0.33038200000000001</v>
          </cell>
          <cell r="L14">
            <v>-0.33013285999999997</v>
          </cell>
          <cell r="N14">
            <v>0.67273799999999995</v>
          </cell>
          <cell r="S14">
            <v>-2.6292672399999999</v>
          </cell>
          <cell r="U14">
            <v>-10.634</v>
          </cell>
        </row>
        <row r="15">
          <cell r="B15" t="str">
            <v>Variable Overheads</v>
          </cell>
          <cell r="D15" t="str">
            <v>Oct</v>
          </cell>
          <cell r="F15">
            <v>-1.39043238</v>
          </cell>
          <cell r="G15">
            <v>-7.5889890000000002E-2</v>
          </cell>
          <cell r="H15">
            <v>-9.0686950000000002E-2</v>
          </cell>
          <cell r="I15">
            <v>-0.10863405</v>
          </cell>
          <cell r="J15">
            <v>-5.5974139999999999E-2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-0.33118502999999999</v>
          </cell>
          <cell r="U15">
            <v>-2.351</v>
          </cell>
        </row>
        <row r="16">
          <cell r="C16" t="str">
            <v>Variable Overheads Personnel</v>
          </cell>
          <cell r="D16" t="str">
            <v>Nov</v>
          </cell>
          <cell r="F16">
            <v>0</v>
          </cell>
          <cell r="S16">
            <v>0</v>
          </cell>
        </row>
        <row r="17">
          <cell r="C17" t="str">
            <v>Other Variable Overheads</v>
          </cell>
          <cell r="D17" t="str">
            <v>Dec</v>
          </cell>
          <cell r="F17">
            <v>-1.39043238</v>
          </cell>
          <cell r="G17">
            <v>-7.5889890000000002E-2</v>
          </cell>
          <cell r="H17">
            <v>-9.0686950000000002E-2</v>
          </cell>
          <cell r="I17">
            <v>-0.10863405</v>
          </cell>
          <cell r="J17">
            <v>-5.5974139999999999E-2</v>
          </cell>
          <cell r="K17">
            <v>0</v>
          </cell>
          <cell r="L17">
            <v>0</v>
          </cell>
          <cell r="N17">
            <v>0</v>
          </cell>
          <cell r="S17">
            <v>-0.33118502999999999</v>
          </cell>
          <cell r="U17">
            <v>-2.351</v>
          </cell>
        </row>
        <row r="18">
          <cell r="A18" t="str">
            <v>Contribution Margin</v>
          </cell>
          <cell r="D18" t="str">
            <v>ACUMULATED</v>
          </cell>
          <cell r="E18">
            <v>35.605279112863983</v>
          </cell>
          <cell r="F18">
            <v>53.308045570000026</v>
          </cell>
          <cell r="G18">
            <v>3.2103922499999973</v>
          </cell>
          <cell r="H18">
            <v>4.7099593799999928</v>
          </cell>
          <cell r="I18">
            <v>6.1931109399999942</v>
          </cell>
          <cell r="J18">
            <v>5.5225997500000066</v>
          </cell>
          <cell r="K18">
            <v>0.5331439300000016</v>
          </cell>
          <cell r="L18">
            <v>-0.73820300000000016</v>
          </cell>
          <cell r="M18">
            <v>0.26409697000000065</v>
          </cell>
          <cell r="N18">
            <v>0.88856767999999997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20.583667899999998</v>
          </cell>
          <cell r="U18">
            <v>78.254999999999995</v>
          </cell>
        </row>
        <row r="19">
          <cell r="B19" t="str">
            <v>Fixed Overheads</v>
          </cell>
          <cell r="F19">
            <v>-49.19421844</v>
          </cell>
          <cell r="G19">
            <v>-3.59519096</v>
          </cell>
          <cell r="H19">
            <v>-3.4423221399999999</v>
          </cell>
          <cell r="I19">
            <v>-5.2017064800000004</v>
          </cell>
          <cell r="J19">
            <v>-4.2589482000000007</v>
          </cell>
          <cell r="K19">
            <v>-0.71178095000000008</v>
          </cell>
          <cell r="L19">
            <v>-0.83952953000000008</v>
          </cell>
          <cell r="M19">
            <v>-0.52791701000000002</v>
          </cell>
          <cell r="N19">
            <v>1.2605570300000002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-17.316838240000003</v>
          </cell>
          <cell r="U19">
            <v>-51.042000000000002</v>
          </cell>
        </row>
        <row r="20">
          <cell r="C20" t="str">
            <v>Fixed Overheads Personnel</v>
          </cell>
          <cell r="F20">
            <v>-18.755398399999997</v>
          </cell>
          <cell r="G20">
            <v>-1.7925006000000001</v>
          </cell>
          <cell r="H20">
            <v>-1.79638985</v>
          </cell>
          <cell r="I20">
            <v>-2.09797476</v>
          </cell>
          <cell r="J20">
            <v>-2.5182905400000002</v>
          </cell>
          <cell r="K20">
            <v>-0.28805932000000001</v>
          </cell>
          <cell r="L20">
            <v>-0.13068562</v>
          </cell>
          <cell r="M20">
            <v>-0.47591622</v>
          </cell>
          <cell r="N20">
            <v>-0.27028978999999997</v>
          </cell>
          <cell r="S20">
            <v>-9.3701067000000009</v>
          </cell>
          <cell r="U20">
            <v>-24.283999999999999</v>
          </cell>
        </row>
        <row r="21">
          <cell r="C21" t="str">
            <v>Other Fixed Overheads</v>
          </cell>
          <cell r="F21">
            <v>-30.438820040000003</v>
          </cell>
          <cell r="G21">
            <v>-1.8026903599999999</v>
          </cell>
          <cell r="H21">
            <v>-1.64593229</v>
          </cell>
          <cell r="I21">
            <v>-3.1037317199999999</v>
          </cell>
          <cell r="J21">
            <v>-1.7406576600000001</v>
          </cell>
          <cell r="K21">
            <v>-0.42372163000000002</v>
          </cell>
          <cell r="L21">
            <v>-0.70884391000000002</v>
          </cell>
          <cell r="M21">
            <v>-5.2000789999999998E-2</v>
          </cell>
          <cell r="N21">
            <v>1.5308468200000001</v>
          </cell>
          <cell r="S21">
            <v>-7.9467315399999991</v>
          </cell>
          <cell r="U21">
            <v>-26.757999999999999</v>
          </cell>
        </row>
        <row r="22">
          <cell r="A22" t="str">
            <v>Operating Result</v>
          </cell>
          <cell r="F22">
            <v>4.1138271300000149</v>
          </cell>
          <cell r="G22">
            <v>-0.38479871000000276</v>
          </cell>
          <cell r="H22">
            <v>1.2676372399999929</v>
          </cell>
          <cell r="I22">
            <v>0.99140445999999383</v>
          </cell>
          <cell r="J22">
            <v>1.2636515500000058</v>
          </cell>
          <cell r="K22">
            <v>-0.17863701999999848</v>
          </cell>
          <cell r="L22">
            <v>-1.5777325300000002</v>
          </cell>
          <cell r="M22">
            <v>-0.26382003999999937</v>
          </cell>
          <cell r="N22">
            <v>2.1491247100000002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3.266829659999992</v>
          </cell>
          <cell r="U22">
            <v>27.212999999999994</v>
          </cell>
        </row>
        <row r="23">
          <cell r="B23" t="str">
            <v>Other Result</v>
          </cell>
          <cell r="F23">
            <v>16.045258019999999</v>
          </cell>
          <cell r="G23">
            <v>4.7792589399999992</v>
          </cell>
          <cell r="H23">
            <v>3.4589566199999999</v>
          </cell>
          <cell r="I23">
            <v>3.1658637700000001</v>
          </cell>
          <cell r="J23">
            <v>-0.82484066999999994</v>
          </cell>
          <cell r="K23">
            <v>-0.5986477099999945</v>
          </cell>
          <cell r="L23">
            <v>-0.39849340999999999</v>
          </cell>
          <cell r="M23">
            <v>-0.19785477000000001</v>
          </cell>
          <cell r="N23">
            <v>-0.19516873000000001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9.1890740400000031</v>
          </cell>
          <cell r="U23">
            <v>6.5259999999999998</v>
          </cell>
        </row>
        <row r="24">
          <cell r="C24" t="str">
            <v>Other Income</v>
          </cell>
          <cell r="F24">
            <v>16.408023669999999</v>
          </cell>
          <cell r="G24">
            <v>4.7792589399999992</v>
          </cell>
          <cell r="H24">
            <v>3.46669794</v>
          </cell>
          <cell r="I24">
            <v>3.1785036099999999</v>
          </cell>
          <cell r="J24">
            <v>-0.82503066999999997</v>
          </cell>
          <cell r="K24">
            <v>190.60540681000001</v>
          </cell>
          <cell r="L24">
            <v>-0.39849340999999999</v>
          </cell>
          <cell r="M24">
            <v>-0.19785477000000001</v>
          </cell>
          <cell r="N24">
            <v>-0.19516873000000001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200.41331972000003</v>
          </cell>
          <cell r="U24">
            <v>6.6</v>
          </cell>
        </row>
        <row r="25">
          <cell r="D25" t="str">
            <v>Other income</v>
          </cell>
          <cell r="F25">
            <v>-4.0009763300000003</v>
          </cell>
          <cell r="G25">
            <v>-0.41359609000000003</v>
          </cell>
          <cell r="H25">
            <v>-9.8416030000000002E-2</v>
          </cell>
          <cell r="I25">
            <v>-0.5276092</v>
          </cell>
          <cell r="J25">
            <v>-0.54503230999999996</v>
          </cell>
          <cell r="K25">
            <v>188.80226578</v>
          </cell>
          <cell r="L25">
            <v>-0.39849340999999999</v>
          </cell>
          <cell r="M25">
            <v>-0.19785477000000001</v>
          </cell>
          <cell r="N25">
            <v>-0.19516873000000001</v>
          </cell>
          <cell r="S25">
            <v>186.42609524000002</v>
          </cell>
          <cell r="U25">
            <v>6.0999999999999999E-2</v>
          </cell>
        </row>
        <row r="26">
          <cell r="D26" t="str">
            <v>Monetary Result</v>
          </cell>
          <cell r="F26">
            <v>20.408999999999999</v>
          </cell>
          <cell r="G26">
            <v>5.1928550299999996</v>
          </cell>
          <cell r="H26">
            <v>3.5651139700000001</v>
          </cell>
          <cell r="I26">
            <v>3.70611281</v>
          </cell>
          <cell r="J26">
            <v>-0.27999836</v>
          </cell>
          <cell r="K26">
            <v>1.8031410299999999</v>
          </cell>
          <cell r="L26">
            <v>0</v>
          </cell>
          <cell r="M26">
            <v>0</v>
          </cell>
          <cell r="N26">
            <v>0</v>
          </cell>
          <cell r="S26">
            <v>13.987224479999998</v>
          </cell>
          <cell r="U26">
            <v>6.5389999999999997</v>
          </cell>
        </row>
        <row r="27">
          <cell r="C27" t="str">
            <v>Other Expenses</v>
          </cell>
          <cell r="F27">
            <v>-0.36276564999999988</v>
          </cell>
          <cell r="G27">
            <v>0</v>
          </cell>
          <cell r="H27">
            <v>-7.7413200000000003E-3</v>
          </cell>
          <cell r="I27">
            <v>-1.2639839999999999E-2</v>
          </cell>
          <cell r="J27">
            <v>1.9000000000000001E-4</v>
          </cell>
          <cell r="K27">
            <v>-191.20405452</v>
          </cell>
          <cell r="L27">
            <v>0</v>
          </cell>
          <cell r="M27">
            <v>0</v>
          </cell>
          <cell r="N27">
            <v>0</v>
          </cell>
          <cell r="S27">
            <v>-191.22424568</v>
          </cell>
          <cell r="U27">
            <v>-7.3999999999999996E-2</v>
          </cell>
        </row>
        <row r="28">
          <cell r="B28" t="str">
            <v>Exchange Rate Result Operating</v>
          </cell>
          <cell r="F28">
            <v>-12.458854130000001</v>
          </cell>
          <cell r="G28">
            <v>-4.7638197900000003</v>
          </cell>
          <cell r="H28">
            <v>0.43908997999999999</v>
          </cell>
          <cell r="I28">
            <v>-2.50112011</v>
          </cell>
          <cell r="J28">
            <v>-0.85648042000000002</v>
          </cell>
          <cell r="K28">
            <v>-0.40773162000000002</v>
          </cell>
          <cell r="L28">
            <v>-0.42534110000000003</v>
          </cell>
          <cell r="M28">
            <v>5.634045E-2</v>
          </cell>
          <cell r="N28">
            <v>5.542851E-2</v>
          </cell>
          <cell r="S28">
            <v>-8.4036340999999997</v>
          </cell>
          <cell r="U28">
            <v>-5.8280000000000003</v>
          </cell>
        </row>
        <row r="29">
          <cell r="B29" t="str">
            <v>Valuation Measures</v>
          </cell>
          <cell r="F29">
            <v>-6.6704506199999987</v>
          </cell>
          <cell r="G29">
            <v>-8.6745489999999995E-2</v>
          </cell>
          <cell r="H29">
            <v>-5.6590689999999999E-2</v>
          </cell>
          <cell r="I29">
            <v>-0.15305949999999999</v>
          </cell>
          <cell r="J29">
            <v>-0.18293936999999999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-0.47933504999999993</v>
          </cell>
          <cell r="U29">
            <v>-7.3559999999999999</v>
          </cell>
        </row>
        <row r="30">
          <cell r="C30" t="str">
            <v>Depreciation</v>
          </cell>
          <cell r="F30">
            <v>-3.3567409699999997</v>
          </cell>
          <cell r="G30">
            <v>-8.6745489999999995E-2</v>
          </cell>
          <cell r="H30">
            <v>-5.6590689999999999E-2</v>
          </cell>
          <cell r="I30">
            <v>-0.15305949999999999</v>
          </cell>
          <cell r="J30">
            <v>-0.18293936999999999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S30">
            <v>-0.47933504999999993</v>
          </cell>
          <cell r="U30">
            <v>-7.3559999999999999</v>
          </cell>
        </row>
        <row r="31">
          <cell r="C31" t="str">
            <v>Valuation Measures</v>
          </cell>
          <cell r="F31">
            <v>-3.3137096499999998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U31">
            <v>0</v>
          </cell>
        </row>
        <row r="32">
          <cell r="D32" t="str">
            <v>Inventory Valuation</v>
          </cell>
          <cell r="F32">
            <v>0</v>
          </cell>
          <cell r="S32">
            <v>0</v>
          </cell>
        </row>
        <row r="33">
          <cell r="D33" t="str">
            <v>Allowance for Bad Debts</v>
          </cell>
          <cell r="F33">
            <v>0</v>
          </cell>
          <cell r="S33">
            <v>0</v>
          </cell>
        </row>
        <row r="34">
          <cell r="D34" t="str">
            <v>Reserves for Restructuring</v>
          </cell>
          <cell r="F34">
            <v>0</v>
          </cell>
          <cell r="S34">
            <v>0</v>
          </cell>
        </row>
        <row r="35">
          <cell r="D35" t="str">
            <v>Other Reserves</v>
          </cell>
          <cell r="F35">
            <v>-3.3137096499999998</v>
          </cell>
          <cell r="S35">
            <v>0</v>
          </cell>
        </row>
        <row r="36">
          <cell r="A36" t="str">
            <v>Operating Profit</v>
          </cell>
          <cell r="F36">
            <v>1.0297804000000141</v>
          </cell>
          <cell r="G36">
            <v>-0.4561050500000039</v>
          </cell>
          <cell r="H36">
            <v>5.1090931499999925</v>
          </cell>
          <cell r="I36">
            <v>1.5030886199999944</v>
          </cell>
          <cell r="J36">
            <v>-0.60060890999999406</v>
          </cell>
          <cell r="K36">
            <v>-1.1850163499999931</v>
          </cell>
          <cell r="L36">
            <v>-2.4015670400000002</v>
          </cell>
          <cell r="M36">
            <v>-0.40533435999999939</v>
          </cell>
          <cell r="N36">
            <v>2.00938449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3.5729345499999967</v>
          </cell>
          <cell r="U36">
            <v>20.554999999999993</v>
          </cell>
        </row>
        <row r="37">
          <cell r="B37" t="str">
            <v>Financial Result</v>
          </cell>
          <cell r="F37">
            <v>14.720572950000001</v>
          </cell>
          <cell r="G37">
            <v>5.2636865000000004</v>
          </cell>
          <cell r="H37">
            <v>-2.6349853599999999</v>
          </cell>
          <cell r="I37">
            <v>-6.8814275900000004</v>
          </cell>
          <cell r="J37">
            <v>-5.25744524</v>
          </cell>
          <cell r="K37">
            <v>13.00891062</v>
          </cell>
          <cell r="L37">
            <v>-3.70740325</v>
          </cell>
          <cell r="M37">
            <v>0.22918625999999998</v>
          </cell>
          <cell r="N37">
            <v>-6.6397123900000006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-6.6191904500000005</v>
          </cell>
          <cell r="U37">
            <v>20.6</v>
          </cell>
        </row>
        <row r="38">
          <cell r="C38" t="str">
            <v>Result on Interest</v>
          </cell>
          <cell r="F38">
            <v>-6.6054822999999994</v>
          </cell>
          <cell r="G38">
            <v>-0.45683680999999998</v>
          </cell>
          <cell r="H38">
            <v>-0.21011151</v>
          </cell>
          <cell r="I38">
            <v>-0.1609265</v>
          </cell>
          <cell r="J38">
            <v>-0.31578513999999996</v>
          </cell>
          <cell r="K38">
            <v>-0.14583002</v>
          </cell>
          <cell r="L38">
            <v>1.2588000000000001E-4</v>
          </cell>
          <cell r="M38">
            <v>2.6166229999999999E-2</v>
          </cell>
          <cell r="N38">
            <v>-0.36566069000000001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-1.6288585599999998</v>
          </cell>
          <cell r="U38">
            <v>-9.9</v>
          </cell>
        </row>
        <row r="39">
          <cell r="D39" t="str">
            <v>Interest Income</v>
          </cell>
          <cell r="F39">
            <v>2.49946029</v>
          </cell>
          <cell r="G39">
            <v>6.201135E-2</v>
          </cell>
          <cell r="H39">
            <v>0.13426124</v>
          </cell>
          <cell r="I39">
            <v>0.20334337</v>
          </cell>
          <cell r="J39">
            <v>2.7815340000000001E-2</v>
          </cell>
          <cell r="K39">
            <v>2.06222E-3</v>
          </cell>
          <cell r="L39">
            <v>1.2588000000000001E-4</v>
          </cell>
          <cell r="M39">
            <v>2.6166229999999999E-2</v>
          </cell>
          <cell r="N39">
            <v>-0.36566069000000001</v>
          </cell>
          <cell r="S39">
            <v>9.0124940000000042E-2</v>
          </cell>
          <cell r="U39">
            <v>-1</v>
          </cell>
        </row>
        <row r="40">
          <cell r="D40" t="str">
            <v>Interest Expenses</v>
          </cell>
          <cell r="F40">
            <v>-9.1049425900000003</v>
          </cell>
          <cell r="G40">
            <v>-0.51884816</v>
          </cell>
          <cell r="H40">
            <v>-0.34437275000000001</v>
          </cell>
          <cell r="I40">
            <v>-0.36426987</v>
          </cell>
          <cell r="J40">
            <v>-0.34360047999999999</v>
          </cell>
          <cell r="K40">
            <v>-0.14789224000000001</v>
          </cell>
          <cell r="L40">
            <v>0</v>
          </cell>
          <cell r="M40">
            <v>0</v>
          </cell>
          <cell r="N40">
            <v>0</v>
          </cell>
          <cell r="S40">
            <v>-1.7189835000000002</v>
          </cell>
          <cell r="U40">
            <v>-8.9</v>
          </cell>
        </row>
        <row r="41">
          <cell r="C41" t="str">
            <v>Other Financial Result</v>
          </cell>
          <cell r="F41">
            <v>21.326055250000003</v>
          </cell>
          <cell r="G41">
            <v>5.7205233099999999</v>
          </cell>
          <cell r="H41">
            <v>-2.42487385</v>
          </cell>
          <cell r="I41">
            <v>-6.72050109</v>
          </cell>
          <cell r="J41">
            <v>-4.9416601</v>
          </cell>
          <cell r="K41">
            <v>13.15474064</v>
          </cell>
          <cell r="L41">
            <v>-3.7075291300000002</v>
          </cell>
          <cell r="M41">
            <v>0.20302002999999999</v>
          </cell>
          <cell r="N41">
            <v>-6.2740517000000002</v>
          </cell>
          <cell r="S41">
            <v>-4.9903318899999993</v>
          </cell>
          <cell r="U41">
            <v>30.5</v>
          </cell>
        </row>
        <row r="42">
          <cell r="B42" t="str">
            <v>Taxes</v>
          </cell>
          <cell r="F42">
            <v>-8.66574709</v>
          </cell>
          <cell r="G42">
            <v>-0.40882980000000002</v>
          </cell>
          <cell r="H42">
            <v>-0.40882980000000002</v>
          </cell>
          <cell r="I42">
            <v>-0.51020520000000003</v>
          </cell>
          <cell r="J42">
            <v>-0.71564260000000002</v>
          </cell>
          <cell r="K42">
            <v>2.1062999999999998E-2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-2.0224444000000004</v>
          </cell>
          <cell r="U42">
            <v>-9.4</v>
          </cell>
        </row>
        <row r="43">
          <cell r="C43" t="str">
            <v>Taxes on Income</v>
          </cell>
          <cell r="F43">
            <v>-7.3601990900000001</v>
          </cell>
          <cell r="G43">
            <v>-0.40882980000000002</v>
          </cell>
          <cell r="H43">
            <v>-0.40882980000000002</v>
          </cell>
          <cell r="I43">
            <v>-0.51020520000000003</v>
          </cell>
          <cell r="J43">
            <v>-0.71564260000000002</v>
          </cell>
          <cell r="K43">
            <v>2.1062999999999998E-2</v>
          </cell>
          <cell r="L43">
            <v>0</v>
          </cell>
          <cell r="M43">
            <v>0</v>
          </cell>
          <cell r="N43">
            <v>0</v>
          </cell>
          <cell r="S43">
            <v>-2.0224444000000004</v>
          </cell>
          <cell r="U43">
            <v>-9.4</v>
          </cell>
        </row>
        <row r="44">
          <cell r="C44" t="str">
            <v>Tax Reimbursement</v>
          </cell>
          <cell r="F44">
            <v>-1.3055479999999999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S44">
            <v>0</v>
          </cell>
        </row>
        <row r="45">
          <cell r="A45" t="str">
            <v>Net Income before Minoritary Int.</v>
          </cell>
          <cell r="F45">
            <v>7.0846062600000126</v>
          </cell>
          <cell r="G45">
            <v>4.3987516499999959</v>
          </cell>
          <cell r="H45">
            <v>2.0652779899999927</v>
          </cell>
          <cell r="I45">
            <v>-5.8885441700000056</v>
          </cell>
          <cell r="J45">
            <v>-6.5736967499999936</v>
          </cell>
          <cell r="K45">
            <v>11.844957270000007</v>
          </cell>
          <cell r="L45">
            <v>-6.1089702900000002</v>
          </cell>
          <cell r="M45">
            <v>-0.17614809999999942</v>
          </cell>
          <cell r="N45">
            <v>-4.6303279000000011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-5.0687003000000042</v>
          </cell>
          <cell r="U45">
            <v>31.754999999999995</v>
          </cell>
        </row>
        <row r="46">
          <cell r="A46" t="str">
            <v>Minoritary Interest</v>
          </cell>
          <cell r="F46">
            <v>0</v>
          </cell>
          <cell r="S46">
            <v>0</v>
          </cell>
          <cell r="U46">
            <v>0</v>
          </cell>
        </row>
        <row r="47">
          <cell r="A47" t="str">
            <v xml:space="preserve">Net Income </v>
          </cell>
          <cell r="F47">
            <v>7.0846062600000126</v>
          </cell>
          <cell r="G47">
            <v>4.3987516499999959</v>
          </cell>
          <cell r="H47">
            <v>2.0652779899999927</v>
          </cell>
          <cell r="I47">
            <v>-5.8885441700000056</v>
          </cell>
          <cell r="J47">
            <v>-6.5736967499999936</v>
          </cell>
          <cell r="K47">
            <v>11.844957270000007</v>
          </cell>
          <cell r="L47">
            <v>-6.1089702900000002</v>
          </cell>
          <cell r="M47">
            <v>-0.17614809999999942</v>
          </cell>
          <cell r="N47">
            <v>-4.6303279000000011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-5.0687003000000042</v>
          </cell>
          <cell r="U47">
            <v>31.754999999999995</v>
          </cell>
        </row>
        <row r="49">
          <cell r="D49" t="str">
            <v>TC. monthly average DM</v>
          </cell>
          <cell r="F49">
            <v>5.2143421242970787</v>
          </cell>
          <cell r="G49">
            <v>5.9906060527289489</v>
          </cell>
          <cell r="H49">
            <v>5.7337464097963942</v>
          </cell>
          <cell r="I49">
            <v>5.4378190397928448</v>
          </cell>
          <cell r="J49">
            <v>5.1592426500929109</v>
          </cell>
          <cell r="K49">
            <v>5.0827653804216384</v>
          </cell>
          <cell r="L49">
            <v>5.0630578399078487</v>
          </cell>
          <cell r="M49">
            <v>4.9599993403690306</v>
          </cell>
          <cell r="N49">
            <v>5.0956788024045006</v>
          </cell>
          <cell r="O49">
            <v>0.1</v>
          </cell>
          <cell r="P49">
            <v>0.1</v>
          </cell>
          <cell r="Q49">
            <v>0.1</v>
          </cell>
          <cell r="R49">
            <v>0.1</v>
          </cell>
          <cell r="S49">
            <v>5.3153644394392643</v>
          </cell>
          <cell r="U49">
            <v>6.6749999999999998</v>
          </cell>
        </row>
        <row r="50">
          <cell r="A50" t="str">
            <v>Financial Result Total MBMex 1999</v>
          </cell>
          <cell r="H50" t="str">
            <v>Operating Profit (Mio. USD)</v>
          </cell>
        </row>
        <row r="51">
          <cell r="A51" t="str">
            <v>Cars</v>
          </cell>
        </row>
        <row r="52">
          <cell r="F52" t="str">
            <v>YTD</v>
          </cell>
          <cell r="G52" t="str">
            <v>Jul</v>
          </cell>
          <cell r="H52" t="str">
            <v>Feb</v>
          </cell>
          <cell r="I52" t="str">
            <v>Mar</v>
          </cell>
          <cell r="J52" t="str">
            <v>Apr</v>
          </cell>
          <cell r="K52" t="str">
            <v>May</v>
          </cell>
          <cell r="L52" t="str">
            <v>Jun</v>
          </cell>
          <cell r="M52" t="str">
            <v>Jul</v>
          </cell>
          <cell r="N52" t="str">
            <v>Jul</v>
          </cell>
          <cell r="O52" t="str">
            <v>Jul</v>
          </cell>
          <cell r="P52" t="str">
            <v>Jul</v>
          </cell>
          <cell r="Q52" t="str">
            <v>Jul</v>
          </cell>
          <cell r="R52" t="str">
            <v>Jul</v>
          </cell>
          <cell r="S52" t="str">
            <v>YTD</v>
          </cell>
          <cell r="U52" t="str">
            <v>2. EA97</v>
          </cell>
        </row>
        <row r="54">
          <cell r="A54" t="str">
            <v>in Mio DM</v>
          </cell>
        </row>
        <row r="56">
          <cell r="A56" t="str">
            <v>Turnover, net</v>
          </cell>
          <cell r="F56">
            <v>97.014560313458674</v>
          </cell>
          <cell r="G56">
            <v>6.7003629794209303</v>
          </cell>
          <cell r="H56">
            <v>7.9498489752040911</v>
          </cell>
          <cell r="I56">
            <v>10.402409080930893</v>
          </cell>
          <cell r="J56">
            <v>10.036555250811375</v>
          </cell>
          <cell r="K56">
            <v>5.4192122532547531</v>
          </cell>
          <cell r="L56">
            <v>5.9584023536553303</v>
          </cell>
          <cell r="M56">
            <v>1.4650213944301378</v>
          </cell>
          <cell r="N56">
            <v>0.19138561079238611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48.919159354467652</v>
          </cell>
          <cell r="U56">
            <v>104.9703370786517</v>
          </cell>
        </row>
        <row r="57">
          <cell r="B57" t="str">
            <v>Material Cost</v>
          </cell>
          <cell r="F57">
            <v>-84.150256677665666</v>
          </cell>
          <cell r="G57">
            <v>-5.9694459383971159</v>
          </cell>
          <cell r="H57">
            <v>-6.8850637800358951</v>
          </cell>
          <cell r="I57">
            <v>-8.9703292079131511</v>
          </cell>
          <cell r="J57">
            <v>-8.6796430904821964</v>
          </cell>
          <cell r="K57">
            <v>-5.229319406003178</v>
          </cell>
          <cell r="L57">
            <v>-6.0183255383380319</v>
          </cell>
          <cell r="M57">
            <v>-1.4117760304941918</v>
          </cell>
          <cell r="N57">
            <v>-0.18921834703259247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-43.988396502999876</v>
          </cell>
          <cell r="U57">
            <v>-90.012134831460685</v>
          </cell>
        </row>
        <row r="58">
          <cell r="C58" t="str">
            <v>Direct Material</v>
          </cell>
          <cell r="F58">
            <v>-69.882369377386595</v>
          </cell>
          <cell r="G58">
            <v>-4.9042737431576704</v>
          </cell>
          <cell r="H58">
            <v>-5.7234832419394248</v>
          </cell>
          <cell r="I58">
            <v>-7.3832473471808431</v>
          </cell>
          <cell r="J58">
            <v>-7.3545086737327008</v>
          </cell>
          <cell r="K58">
            <v>-5.229319406003178</v>
          </cell>
          <cell r="L58">
            <v>-6.0183255383380319</v>
          </cell>
          <cell r="M58">
            <v>-1.4117760304941918</v>
          </cell>
          <cell r="N58">
            <v>-0.18921834703259247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-38.625040984331534</v>
          </cell>
          <cell r="U58">
            <v>-72.751760299625474</v>
          </cell>
        </row>
        <row r="59">
          <cell r="C59" t="str">
            <v>Cost of Supply</v>
          </cell>
          <cell r="F59">
            <v>-14.26788730027909</v>
          </cell>
          <cell r="G59">
            <v>-1.0651721952394448</v>
          </cell>
          <cell r="H59">
            <v>-1.1615805380964703</v>
          </cell>
          <cell r="I59">
            <v>-1.5870818607323081</v>
          </cell>
          <cell r="J59">
            <v>-1.3251344167494972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-5.3633555186683353</v>
          </cell>
          <cell r="U59">
            <v>-17.260374531835204</v>
          </cell>
        </row>
        <row r="60">
          <cell r="B60" t="str">
            <v>Other Direct Cost</v>
          </cell>
          <cell r="F60">
            <v>-2.3736824266525338</v>
          </cell>
          <cell r="G60">
            <v>-0.1823444740624183</v>
          </cell>
          <cell r="H60">
            <v>-0.22752348408208117</v>
          </cell>
          <cell r="I60">
            <v>-0.27320626139419973</v>
          </cell>
          <cell r="J60">
            <v>-0.27563448677382729</v>
          </cell>
          <cell r="K60">
            <v>-8.5000354662083694E-2</v>
          </cell>
          <cell r="L60">
            <v>-8.5878625871655803E-2</v>
          </cell>
          <cell r="M60">
            <v>0</v>
          </cell>
          <cell r="N60">
            <v>0.17220944137725522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-0.99597095369785726</v>
          </cell>
          <cell r="U60">
            <v>-2.8823970037453188</v>
          </cell>
        </row>
        <row r="61">
          <cell r="C61" t="str">
            <v>Direct Wages</v>
          </cell>
          <cell r="F61">
            <v>-0.68326792816971338</v>
          </cell>
          <cell r="G61">
            <v>-8.5379348182477138E-2</v>
          </cell>
          <cell r="H61">
            <v>-0.10832130436373009</v>
          </cell>
          <cell r="I61">
            <v>-0.12806279225255882</v>
          </cell>
          <cell r="J61">
            <v>-0.10922532011357361</v>
          </cell>
          <cell r="K61">
            <v>0</v>
          </cell>
          <cell r="L61">
            <v>0</v>
          </cell>
          <cell r="M61">
            <v>0</v>
          </cell>
          <cell r="N61">
            <v>-1.2561231286751533E-4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-0.45022373484751244</v>
          </cell>
          <cell r="U61">
            <v>-0.99041198501872663</v>
          </cell>
        </row>
        <row r="62">
          <cell r="C62" t="str">
            <v>Licence Fees</v>
          </cell>
          <cell r="F62">
            <v>-0.11926457070579838</v>
          </cell>
          <cell r="G62">
            <v>-6.6560661223643534E-3</v>
          </cell>
          <cell r="H62">
            <v>-1.2745082320896533E-2</v>
          </cell>
          <cell r="I62">
            <v>-1.904448258431659E-2</v>
          </cell>
          <cell r="J62">
            <v>-1.049812223874072E-2</v>
          </cell>
          <cell r="K62">
            <v>-1.9999911936042829E-2</v>
          </cell>
          <cell r="L62">
            <v>-2.067438163058891E-2</v>
          </cell>
          <cell r="M62">
            <v>0</v>
          </cell>
          <cell r="N62">
            <v>4.0313781140025054E-2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-5.1093038510196614E-2</v>
          </cell>
          <cell r="U62">
            <v>-0.29887640449438202</v>
          </cell>
        </row>
        <row r="63">
          <cell r="C63" t="str">
            <v>Direct Selling Expenses</v>
          </cell>
          <cell r="F63">
            <v>-1.571149927777022</v>
          </cell>
          <cell r="G63">
            <v>-9.0309059757576818E-2</v>
          </cell>
          <cell r="H63">
            <v>-0.10645709739745453</v>
          </cell>
          <cell r="I63">
            <v>-0.12609898655732429</v>
          </cell>
          <cell r="J63">
            <v>-0.15591104442151293</v>
          </cell>
          <cell r="K63">
            <v>-6.5000442726040858E-2</v>
          </cell>
          <cell r="L63">
            <v>-6.5204244241066897E-2</v>
          </cell>
          <cell r="M63">
            <v>0</v>
          </cell>
          <cell r="N63">
            <v>0.13202127255009768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-0.49465418034014808</v>
          </cell>
          <cell r="U63">
            <v>-1.5931086142322097</v>
          </cell>
        </row>
        <row r="64">
          <cell r="B64" t="str">
            <v>Variable Overheads</v>
          </cell>
          <cell r="F64">
            <v>-0.26667102928964864</v>
          </cell>
          <cell r="G64">
            <v>-1.2668148987268037E-2</v>
          </cell>
          <cell r="H64">
            <v>-1.5816351739075307E-2</v>
          </cell>
          <cell r="I64">
            <v>-1.9977503702318575E-2</v>
          </cell>
          <cell r="J64">
            <v>-1.084929393638657E-2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-6.2307116242614181E-2</v>
          </cell>
          <cell r="U64">
            <v>-0.35220973782771536</v>
          </cell>
        </row>
        <row r="65">
          <cell r="C65" t="str">
            <v>Variable Overheads Personnel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U65">
            <v>0</v>
          </cell>
        </row>
        <row r="66">
          <cell r="C66" t="str">
            <v>Other Variable Overheads</v>
          </cell>
          <cell r="F66">
            <v>-0.26667102928964864</v>
          </cell>
          <cell r="G66">
            <v>-1.2668148987268037E-2</v>
          </cell>
          <cell r="H66">
            <v>-1.5816351739075307E-2</v>
          </cell>
          <cell r="I66">
            <v>-1.9977503702318575E-2</v>
          </cell>
          <cell r="J66">
            <v>-1.084929393638657E-2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-6.2307116242614181E-2</v>
          </cell>
          <cell r="U66">
            <v>-0.35220973782771536</v>
          </cell>
        </row>
        <row r="67">
          <cell r="A67" t="str">
            <v>Contribution Margin</v>
          </cell>
          <cell r="F67">
            <v>10.223950179850817</v>
          </cell>
          <cell r="G67">
            <v>0.53590441797412824</v>
          </cell>
          <cell r="H67">
            <v>0.82144535934703888</v>
          </cell>
          <cell r="I67">
            <v>1.1388961079212232</v>
          </cell>
          <cell r="J67">
            <v>1.0704283796189644</v>
          </cell>
          <cell r="K67">
            <v>0.10489249258949168</v>
          </cell>
          <cell r="L67">
            <v>-0.14580181055435779</v>
          </cell>
          <cell r="M67">
            <v>5.3245363935945901E-2</v>
          </cell>
          <cell r="N67">
            <v>0.17437670513704889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3.8724847815273113</v>
          </cell>
          <cell r="U67">
            <v>11.723595505617977</v>
          </cell>
        </row>
        <row r="68">
          <cell r="B68" t="str">
            <v>Fixed Overheads</v>
          </cell>
          <cell r="F68">
            <v>-9.4349592653291143</v>
          </cell>
          <cell r="G68">
            <v>-0.60013810428449954</v>
          </cell>
          <cell r="H68">
            <v>-0.60036176942158082</v>
          </cell>
          <cell r="I68">
            <v>-0.95657954814880353</v>
          </cell>
          <cell r="J68">
            <v>-0.82549871925936702</v>
          </cell>
          <cell r="K68">
            <v>-0.14003812820904879</v>
          </cell>
          <cell r="L68">
            <v>-0.16581472235665395</v>
          </cell>
          <cell r="M68">
            <v>-0.10643489520317603</v>
          </cell>
          <cell r="N68">
            <v>0.24737764660621475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-3.2578835256358856</v>
          </cell>
          <cell r="U68">
            <v>-7.6467415730337081</v>
          </cell>
        </row>
        <row r="69">
          <cell r="C69" t="str">
            <v>Fixed Overheads Personnel</v>
          </cell>
          <cell r="F69">
            <v>-3.5970979013488078</v>
          </cell>
          <cell r="G69">
            <v>-0.29921857391765028</v>
          </cell>
          <cell r="H69">
            <v>-0.31330123824987754</v>
          </cell>
          <cell r="I69">
            <v>-0.38581180150487743</v>
          </cell>
          <cell r="J69">
            <v>-0.48811244416942651</v>
          </cell>
          <cell r="K69">
            <v>-5.667373928168689E-2</v>
          </cell>
          <cell r="L69">
            <v>-2.5811599261204288E-2</v>
          </cell>
          <cell r="M69">
            <v>-9.595086356696797E-2</v>
          </cell>
          <cell r="N69">
            <v>-5.3042940986087701E-2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-1.7628342904345586</v>
          </cell>
          <cell r="U69">
            <v>-3.6380524344569287</v>
          </cell>
        </row>
        <row r="70">
          <cell r="C70" t="str">
            <v>Other Fixed Overheads</v>
          </cell>
          <cell r="F70">
            <v>-5.8378613639803065</v>
          </cell>
          <cell r="G70">
            <v>-0.30091953036684926</v>
          </cell>
          <cell r="H70">
            <v>-0.28706053117170333</v>
          </cell>
          <cell r="I70">
            <v>-0.57076774664392604</v>
          </cell>
          <cell r="J70">
            <v>-0.3373862750899404</v>
          </cell>
          <cell r="K70">
            <v>-8.3364388927361893E-2</v>
          </cell>
          <cell r="L70">
            <v>-0.14000312309544966</v>
          </cell>
          <cell r="M70">
            <v>-1.0484031636208055E-2</v>
          </cell>
          <cell r="N70">
            <v>0.30042058759230245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-1.4950492352013265</v>
          </cell>
          <cell r="U70">
            <v>-4.0086891385767789</v>
          </cell>
        </row>
        <row r="71">
          <cell r="A71" t="str">
            <v>Operating Result</v>
          </cell>
          <cell r="F71">
            <v>0.78899091452170089</v>
          </cell>
          <cell r="G71">
            <v>-6.4233686310371269E-2</v>
          </cell>
          <cell r="H71">
            <v>0.22108358992545796</v>
          </cell>
          <cell r="I71">
            <v>0.18231655977241965</v>
          </cell>
          <cell r="J71">
            <v>0.2449296603595974</v>
          </cell>
          <cell r="K71">
            <v>-3.5145635619557108E-2</v>
          </cell>
          <cell r="L71">
            <v>-0.31161653291101177</v>
          </cell>
          <cell r="M71">
            <v>-5.3189531267230132E-2</v>
          </cell>
          <cell r="N71">
            <v>0.42175435174326364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0.614601255891425</v>
          </cell>
          <cell r="U71">
            <v>4.0768539325842692</v>
          </cell>
        </row>
        <row r="72">
          <cell r="B72" t="str">
            <v>Other Result</v>
          </cell>
          <cell r="F72">
            <v>3.0773200717688902</v>
          </cell>
          <cell r="G72">
            <v>0.79779222635126623</v>
          </cell>
          <cell r="H72">
            <v>0.60326292318931274</v>
          </cell>
          <cell r="I72">
            <v>0.58219366014809582</v>
          </cell>
          <cell r="J72">
            <v>-0.15987630858671587</v>
          </cell>
          <cell r="K72">
            <v>-0.11777992199009076</v>
          </cell>
          <cell r="L72">
            <v>-7.8706074984767088E-2</v>
          </cell>
          <cell r="M72">
            <v>-3.9890079901760502E-2</v>
          </cell>
          <cell r="N72">
            <v>-3.8300830481682958E-2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1.7287759183205487</v>
          </cell>
          <cell r="U72">
            <v>0.97767790262172283</v>
          </cell>
        </row>
        <row r="73">
          <cell r="C73" t="str">
            <v>Other Income</v>
          </cell>
          <cell r="F73">
            <v>3.1468948965988677</v>
          </cell>
          <cell r="G73">
            <v>0.79779222635126623</v>
          </cell>
          <cell r="H73">
            <v>0.60461305614719407</v>
          </cell>
          <cell r="I73">
            <v>0.58451809204027616</v>
          </cell>
          <cell r="J73">
            <v>-0.1599131356973765</v>
          </cell>
          <cell r="K73">
            <v>37.500335456008877</v>
          </cell>
          <cell r="L73">
            <v>-7.8706074984767088E-2</v>
          </cell>
          <cell r="M73">
            <v>-3.9890079901760502E-2</v>
          </cell>
          <cell r="N73">
            <v>-3.8300830481682958E-2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37.704530329653615</v>
          </cell>
          <cell r="U73">
            <v>0.9887640449438202</v>
          </cell>
        </row>
        <row r="74">
          <cell r="D74" t="str">
            <v>Other income</v>
          </cell>
          <cell r="F74">
            <v>-0.76734725933570458</v>
          </cell>
          <cell r="G74">
            <v>-6.9040775901395027E-2</v>
          </cell>
          <cell r="H74">
            <v>-1.7164349967039222E-2</v>
          </cell>
          <cell r="I74">
            <v>-9.7025884116235583E-2</v>
          </cell>
          <cell r="J74">
            <v>-0.10564192207361767</v>
          </cell>
          <cell r="K74">
            <v>37.145579551487778</v>
          </cell>
          <cell r="L74">
            <v>-7.8706074984767088E-2</v>
          </cell>
          <cell r="M74">
            <v>-3.9890079901760502E-2</v>
          </cell>
          <cell r="N74">
            <v>-3.8300830481682958E-2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35.073059874642716</v>
          </cell>
          <cell r="U74">
            <v>9.1385767790262175E-3</v>
          </cell>
        </row>
        <row r="75">
          <cell r="D75" t="str">
            <v>Monetary Result</v>
          </cell>
          <cell r="F75">
            <v>3.9142421559345721</v>
          </cell>
          <cell r="G75">
            <v>0.86683300225266136</v>
          </cell>
          <cell r="H75">
            <v>0.62177740611423338</v>
          </cell>
          <cell r="I75">
            <v>0.68154397615651174</v>
          </cell>
          <cell r="J75">
            <v>-5.4271213623758828E-2</v>
          </cell>
          <cell r="K75">
            <v>0.35475590452109779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2.6314704550108998</v>
          </cell>
          <cell r="U75">
            <v>0.97962546816479401</v>
          </cell>
        </row>
        <row r="76">
          <cell r="C76" t="str">
            <v>Other Expenses</v>
          </cell>
          <cell r="F76">
            <v>-6.9574824829977275E-2</v>
          </cell>
          <cell r="G76">
            <v>0</v>
          </cell>
          <cell r="H76">
            <v>-1.3501329578813541E-3</v>
          </cell>
          <cell r="I76">
            <v>-2.324431892180347E-3</v>
          </cell>
          <cell r="J76">
            <v>3.6827110660627361E-5</v>
          </cell>
          <cell r="K76">
            <v>-37.618115377998969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-35.975754411333064</v>
          </cell>
          <cell r="U76">
            <v>-1.1086142322097379E-2</v>
          </cell>
        </row>
        <row r="77">
          <cell r="B77" t="str">
            <v>Exchange Rate Result Operating</v>
          </cell>
          <cell r="F77">
            <v>-2.3894836616338653</v>
          </cell>
          <cell r="G77">
            <v>-0.79521499962927777</v>
          </cell>
          <cell r="H77">
            <v>7.6579944179218096E-2</v>
          </cell>
          <cell r="I77">
            <v>-0.4599491251358892</v>
          </cell>
          <cell r="J77">
            <v>-0.16600894318947684</v>
          </cell>
          <cell r="K77">
            <v>-8.0218461700110349E-2</v>
          </cell>
          <cell r="L77">
            <v>-8.4008738088550361E-2</v>
          </cell>
          <cell r="M77">
            <v>1.1358963204178207E-2</v>
          </cell>
          <cell r="N77">
            <v>1.0877551774622239E-2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-1.5810080749395479</v>
          </cell>
          <cell r="U77">
            <v>-0.87310861423220976</v>
          </cell>
        </row>
        <row r="78">
          <cell r="B78" t="str">
            <v>Valuation Measures</v>
          </cell>
          <cell r="F78">
            <v>-1.2793257394229947</v>
          </cell>
          <cell r="G78">
            <v>-1.448025278852782E-2</v>
          </cell>
          <cell r="H78">
            <v>-9.8697580875414994E-3</v>
          </cell>
          <cell r="I78">
            <v>-2.8147222053536897E-2</v>
          </cell>
          <cell r="J78">
            <v>-3.5458570648291859E-2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-9.0179150547684106E-2</v>
          </cell>
          <cell r="U78">
            <v>-1.1020224719101124</v>
          </cell>
        </row>
        <row r="79">
          <cell r="C79" t="str">
            <v>Depreciation</v>
          </cell>
          <cell r="F79">
            <v>-0.64378935819132277</v>
          </cell>
          <cell r="G79">
            <v>-1.448025278852782E-2</v>
          </cell>
          <cell r="H79">
            <v>-9.8697580875414994E-3</v>
          </cell>
          <cell r="I79">
            <v>-2.8147222053536897E-2</v>
          </cell>
          <cell r="J79">
            <v>-3.5458570648291859E-2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-9.0179150547684106E-2</v>
          </cell>
          <cell r="U79">
            <v>-1.1020224719101124</v>
          </cell>
        </row>
        <row r="80">
          <cell r="C80" t="str">
            <v>Valuation Measures</v>
          </cell>
          <cell r="F80">
            <v>-0.63553638123167211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U80">
            <v>0</v>
          </cell>
        </row>
        <row r="81">
          <cell r="D81" t="str">
            <v>Inventory Valuation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U81">
            <v>0</v>
          </cell>
        </row>
        <row r="82">
          <cell r="D82" t="str">
            <v>Allowance for Bad Debts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U82">
            <v>0</v>
          </cell>
        </row>
        <row r="83">
          <cell r="D83" t="str">
            <v>Reserves for Restructuring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U83">
            <v>0</v>
          </cell>
        </row>
        <row r="84">
          <cell r="D84" t="str">
            <v>Other Reserves</v>
          </cell>
          <cell r="F84">
            <v>-0.63553638123167211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U84">
            <v>0</v>
          </cell>
        </row>
        <row r="85">
          <cell r="A85" t="str">
            <v>Operating Profit</v>
          </cell>
          <cell r="F85">
            <v>0.19750158523373129</v>
          </cell>
          <cell r="G85">
            <v>-7.6136712376910637E-2</v>
          </cell>
          <cell r="H85">
            <v>0.89105669920644726</v>
          </cell>
          <cell r="I85">
            <v>0.27641387273108947</v>
          </cell>
          <cell r="J85">
            <v>-0.11641416206488717</v>
          </cell>
          <cell r="K85">
            <v>-0.23314401930975823</v>
          </cell>
          <cell r="L85">
            <v>-0.47433134598432919</v>
          </cell>
          <cell r="M85">
            <v>-8.1720647964812432E-2</v>
          </cell>
          <cell r="N85">
            <v>0.39433107303620291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0.67218994872474214</v>
          </cell>
          <cell r="U85">
            <v>3.0794007490636695</v>
          </cell>
        </row>
        <row r="86">
          <cell r="B86" t="str">
            <v>Financial Result</v>
          </cell>
          <cell r="F86">
            <v>2.8232587192121197</v>
          </cell>
          <cell r="G86">
            <v>0.8786567592108967</v>
          </cell>
          <cell r="H86">
            <v>-0.4595573594775651</v>
          </cell>
          <cell r="I86">
            <v>-1.2654756511099623</v>
          </cell>
          <cell r="J86">
            <v>-1.0190343033982556</v>
          </cell>
          <cell r="K86">
            <v>2.5594159175847797</v>
          </cell>
          <cell r="L86">
            <v>-0.73224588128890056</v>
          </cell>
          <cell r="M86">
            <v>4.6206913403127228E-2</v>
          </cell>
          <cell r="N86">
            <v>-1.3030084209520656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-1.2452938129484648</v>
          </cell>
          <cell r="U86">
            <v>3.0861423220973787</v>
          </cell>
        </row>
        <row r="87">
          <cell r="C87" t="str">
            <v>Result on Interest</v>
          </cell>
          <cell r="F87">
            <v>-1.2668654651839706</v>
          </cell>
          <cell r="G87">
            <v>-7.6258863623972314E-2</v>
          </cell>
          <cell r="H87">
            <v>-3.664471620876255E-2</v>
          </cell>
          <cell r="I87">
            <v>-2.9593941766427472E-2</v>
          </cell>
          <cell r="J87">
            <v>-6.1207654188219489E-2</v>
          </cell>
          <cell r="K87">
            <v>-2.8691078396363583E-2</v>
          </cell>
          <cell r="L87">
            <v>2.4862445577412386E-5</v>
          </cell>
          <cell r="M87">
            <v>5.2754502983569339E-3</v>
          </cell>
          <cell r="N87">
            <v>-7.1758975433745056E-2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-0.3064434393085253</v>
          </cell>
          <cell r="U87">
            <v>-1.4831460674157304</v>
          </cell>
        </row>
        <row r="88">
          <cell r="D88" t="str">
            <v>Interest Income</v>
          </cell>
          <cell r="F88">
            <v>0.47937149464463968</v>
          </cell>
          <cell r="G88">
            <v>1.0351431800752693E-2</v>
          </cell>
          <cell r="H88">
            <v>2.3415971060493351E-2</v>
          </cell>
          <cell r="I88">
            <v>3.7394287767204999E-2</v>
          </cell>
          <cell r="J88">
            <v>5.3913610749630244E-3</v>
          </cell>
          <cell r="K88">
            <v>4.0572795430288572E-4</v>
          </cell>
          <cell r="L88">
            <v>2.4862445577412386E-5</v>
          </cell>
          <cell r="M88">
            <v>5.2754502983569339E-3</v>
          </cell>
          <cell r="N88">
            <v>-7.1758975433745056E-2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1.6955552347697089E-2</v>
          </cell>
          <cell r="U88">
            <v>-0.14981273408239701</v>
          </cell>
        </row>
        <row r="89">
          <cell r="D89" t="str">
            <v>Interest Expenses</v>
          </cell>
          <cell r="F89">
            <v>-1.7462369598286105</v>
          </cell>
          <cell r="G89">
            <v>-8.6610295424725009E-2</v>
          </cell>
          <cell r="H89">
            <v>-6.0060687269255897E-2</v>
          </cell>
          <cell r="I89">
            <v>-6.6988229533632468E-2</v>
          </cell>
          <cell r="J89">
            <v>-6.6599015263182515E-2</v>
          </cell>
          <cell r="K89">
            <v>-2.9096806350666471E-2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-0.32339899165622249</v>
          </cell>
          <cell r="U89">
            <v>-1.3333333333333335</v>
          </cell>
        </row>
        <row r="90">
          <cell r="C90" t="str">
            <v>Other Financial Result</v>
          </cell>
          <cell r="F90">
            <v>4.0901241843960907</v>
          </cell>
          <cell r="G90">
            <v>0.95491562283486897</v>
          </cell>
          <cell r="H90">
            <v>-0.42291264326880257</v>
          </cell>
          <cell r="I90">
            <v>-1.2358817093435348</v>
          </cell>
          <cell r="J90">
            <v>-0.95782664921003613</v>
          </cell>
          <cell r="K90">
            <v>2.5881069959811436</v>
          </cell>
          <cell r="L90">
            <v>-0.73227074373447798</v>
          </cell>
          <cell r="M90">
            <v>4.0931463104770298E-2</v>
          </cell>
          <cell r="N90">
            <v>-1.2312494455183205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-0.93885037363993917</v>
          </cell>
          <cell r="U90">
            <v>4.5692883895131091</v>
          </cell>
        </row>
        <row r="91">
          <cell r="B91" t="str">
            <v>Taxes</v>
          </cell>
          <cell r="F91">
            <v>-1.6620036538951124</v>
          </cell>
          <cell r="G91">
            <v>-6.8245148554504351E-2</v>
          </cell>
          <cell r="H91">
            <v>-7.1302386045796126E-2</v>
          </cell>
          <cell r="I91">
            <v>-9.3825336272947479E-2</v>
          </cell>
          <cell r="J91">
            <v>-0.13871078538767939</v>
          </cell>
          <cell r="K91">
            <v>4.1440039867141629E-3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-0.3804902604596111</v>
          </cell>
          <cell r="U91">
            <v>-1.4082397003745319</v>
          </cell>
        </row>
        <row r="92">
          <cell r="C92" t="str">
            <v>Taxes on Income</v>
          </cell>
          <cell r="F92">
            <v>-1.4116126000367131</v>
          </cell>
          <cell r="G92">
            <v>-6.8245148554504351E-2</v>
          </cell>
          <cell r="H92">
            <v>-7.1302386045796126E-2</v>
          </cell>
          <cell r="I92">
            <v>-9.3825336272947479E-2</v>
          </cell>
          <cell r="J92">
            <v>-0.13871078538767939</v>
          </cell>
          <cell r="K92">
            <v>4.1440039867141629E-3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-0.3804902604596111</v>
          </cell>
          <cell r="U92">
            <v>-1.4082397003745319</v>
          </cell>
        </row>
        <row r="93">
          <cell r="C93" t="str">
            <v>Tax Reimbursement</v>
          </cell>
          <cell r="F93">
            <v>-0.25039105385839916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U93">
            <v>0</v>
          </cell>
        </row>
        <row r="94">
          <cell r="A94" t="str">
            <v>Net Income</v>
          </cell>
          <cell r="F94">
            <v>1.3587566505507382</v>
          </cell>
          <cell r="G94">
            <v>0.73427489827948167</v>
          </cell>
          <cell r="H94">
            <v>0.36019695368308602</v>
          </cell>
          <cell r="I94">
            <v>-1.0828871146518202</v>
          </cell>
          <cell r="J94">
            <v>-1.2741592508508222</v>
          </cell>
          <cell r="K94">
            <v>2.3304159022617359</v>
          </cell>
          <cell r="L94">
            <v>-1.2065772272732298</v>
          </cell>
          <cell r="M94">
            <v>-3.5513734561685197E-2</v>
          </cell>
          <cell r="N94">
            <v>-0.90867734791586274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-0.95359412468333371</v>
          </cell>
          <cell r="U94">
            <v>4.7573033707865164</v>
          </cell>
        </row>
        <row r="95">
          <cell r="A95" t="str">
            <v>Minoritary Interest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 t="e">
            <v>#DIV/0!</v>
          </cell>
          <cell r="U95">
            <v>0</v>
          </cell>
        </row>
        <row r="96">
          <cell r="A96" t="str">
            <v xml:space="preserve">Net Income </v>
          </cell>
          <cell r="F96">
            <v>1.3587566505507382</v>
          </cell>
          <cell r="G96">
            <v>0.73427489827948167</v>
          </cell>
          <cell r="H96">
            <v>0.36019695368308602</v>
          </cell>
          <cell r="I96">
            <v>-1.0828871146518202</v>
          </cell>
          <cell r="J96">
            <v>-1.2741592508508222</v>
          </cell>
          <cell r="K96">
            <v>2.3304159022617359</v>
          </cell>
          <cell r="L96">
            <v>-1.2065772272732298</v>
          </cell>
          <cell r="M96">
            <v>-3.5513734561685197E-2</v>
          </cell>
          <cell r="N96">
            <v>-0.90867734791586274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-0.95359412468333371</v>
          </cell>
          <cell r="T96" t="e">
            <v>#DIV/0!</v>
          </cell>
          <cell r="U96">
            <v>4.7573033707865164</v>
          </cell>
        </row>
        <row r="98"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</row>
        <row r="99">
          <cell r="A99" t="str">
            <v>Financial Result Total MBMex 1999</v>
          </cell>
        </row>
        <row r="100">
          <cell r="A100" t="str">
            <v>Cars</v>
          </cell>
        </row>
        <row r="101">
          <cell r="F101" t="str">
            <v>YTD</v>
          </cell>
          <cell r="G101" t="str">
            <v>Jan</v>
          </cell>
          <cell r="H101" t="str">
            <v>Feb</v>
          </cell>
          <cell r="I101" t="str">
            <v>Mar</v>
          </cell>
          <cell r="J101" t="str">
            <v>Apr</v>
          </cell>
          <cell r="K101" t="str">
            <v>May</v>
          </cell>
          <cell r="L101" t="str">
            <v>Jun</v>
          </cell>
          <cell r="M101" t="str">
            <v>Jul</v>
          </cell>
          <cell r="N101" t="str">
            <v>Jul</v>
          </cell>
          <cell r="O101" t="str">
            <v>Jul</v>
          </cell>
          <cell r="P101" t="str">
            <v>Jul</v>
          </cell>
          <cell r="Q101" t="str">
            <v>Jul</v>
          </cell>
          <cell r="R101" t="str">
            <v>Jul</v>
          </cell>
          <cell r="S101" t="str">
            <v>YTD</v>
          </cell>
          <cell r="U101" t="str">
            <v>2. EA97</v>
          </cell>
        </row>
        <row r="102">
          <cell r="A102" t="str">
            <v>in Mio usd</v>
          </cell>
        </row>
        <row r="103">
          <cell r="D103" t="str">
            <v>TC. monthly average USD</v>
          </cell>
          <cell r="F103">
            <v>9.134925344776633</v>
          </cell>
          <cell r="G103">
            <v>10.110444999999997</v>
          </cell>
          <cell r="H103">
            <v>10.015031578947369</v>
          </cell>
          <cell r="I103">
            <v>9.7693521739130453</v>
          </cell>
          <cell r="J103">
            <v>9.4460850000000001</v>
          </cell>
          <cell r="K103">
            <v>9.3578857142857146</v>
          </cell>
          <cell r="L103">
            <v>9.5417499999999986</v>
          </cell>
          <cell r="M103">
            <v>9.3670863636363624</v>
          </cell>
          <cell r="N103">
            <v>9.3980727272727265</v>
          </cell>
          <cell r="O103">
            <v>0.1</v>
          </cell>
          <cell r="P103">
            <v>0.1</v>
          </cell>
          <cell r="Q103">
            <v>0.1</v>
          </cell>
          <cell r="R103">
            <v>0.1</v>
          </cell>
          <cell r="S103">
            <v>9.6257135697569005</v>
          </cell>
          <cell r="U103">
            <v>11.038</v>
          </cell>
        </row>
        <row r="104">
          <cell r="A104" t="str">
            <v>Turnover, net</v>
          </cell>
          <cell r="F104">
            <v>55.377254804360057</v>
          </cell>
          <cell r="G104">
            <v>3.9700759976440221</v>
          </cell>
          <cell r="H104">
            <v>4.5514003286638607</v>
          </cell>
          <cell r="I104">
            <v>5.7901913200599378</v>
          </cell>
          <cell r="J104">
            <v>5.4817444380396747</v>
          </cell>
          <cell r="K104">
            <v>2.9434623664991482</v>
          </cell>
          <cell r="L104">
            <v>3.1616564833494909</v>
          </cell>
          <cell r="M104">
            <v>0.7757487086068775</v>
          </cell>
          <cell r="N104">
            <v>0.10377016951251128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27.013390555996665</v>
          </cell>
          <cell r="U104">
            <v>63.478619315093312</v>
          </cell>
        </row>
        <row r="105">
          <cell r="B105" t="str">
            <v>Material Cost</v>
          </cell>
          <cell r="F105">
            <v>-48.034132101765728</v>
          </cell>
          <cell r="G105">
            <v>-3.5369955496518712</v>
          </cell>
          <cell r="H105">
            <v>-3.9417958314764756</v>
          </cell>
          <cell r="I105">
            <v>-4.9930666938442352</v>
          </cell>
          <cell r="J105">
            <v>-4.7406290352034723</v>
          </cell>
          <cell r="K105">
            <v>-2.84032146272357</v>
          </cell>
          <cell r="L105">
            <v>-3.1934530143841542</v>
          </cell>
          <cell r="M105">
            <v>-0.7475545658662659</v>
          </cell>
          <cell r="N105">
            <v>-0.10259506900834602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-24.290600050122318</v>
          </cell>
          <cell r="U105">
            <v>-54.432958869360391</v>
          </cell>
        </row>
        <row r="106">
          <cell r="C106" t="str">
            <v>Direct Material</v>
          </cell>
          <cell r="F106">
            <v>-39.889824402029284</v>
          </cell>
          <cell r="G106">
            <v>-2.905863388802373</v>
          </cell>
          <cell r="H106">
            <v>-3.2767746393316153</v>
          </cell>
          <cell r="I106">
            <v>-4.109664825801719</v>
          </cell>
          <cell r="J106">
            <v>-4.0168699328875395</v>
          </cell>
          <cell r="K106">
            <v>-2.84032146272357</v>
          </cell>
          <cell r="L106">
            <v>-3.1934530143841542</v>
          </cell>
          <cell r="M106">
            <v>-0.7475545658662659</v>
          </cell>
          <cell r="N106">
            <v>-0.10259506900834602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-21.328929832802523</v>
          </cell>
          <cell r="U106">
            <v>-43.995107809385757</v>
          </cell>
        </row>
        <row r="107">
          <cell r="C107" t="str">
            <v>Cost of Supply</v>
          </cell>
          <cell r="F107">
            <v>-8.1443076997364532</v>
          </cell>
          <cell r="G107">
            <v>-0.63113216084949786</v>
          </cell>
          <cell r="H107">
            <v>-0.66502119214486011</v>
          </cell>
          <cell r="I107">
            <v>-0.88340186804251619</v>
          </cell>
          <cell r="J107">
            <v>-0.72375910231593299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-2.9616702173197931</v>
          </cell>
          <cell r="U107">
            <v>-10.437851059974632</v>
          </cell>
        </row>
        <row r="108">
          <cell r="B108" t="str">
            <v>Other Direct Cost</v>
          </cell>
          <cell r="F108">
            <v>-1.3549308077123088</v>
          </cell>
          <cell r="G108">
            <v>-0.10804211980778297</v>
          </cell>
          <cell r="H108">
            <v>-0.13026039406029674</v>
          </cell>
          <cell r="I108">
            <v>-0.15207213165752165</v>
          </cell>
          <cell r="J108">
            <v>-0.1505454587800131</v>
          </cell>
          <cell r="K108">
            <v>-4.6168212905235005E-2</v>
          </cell>
          <cell r="L108">
            <v>-4.5569046558545344E-2</v>
          </cell>
          <cell r="M108">
            <v>0</v>
          </cell>
          <cell r="N108">
            <v>9.3372761146385916E-2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-0.5499798588058028</v>
          </cell>
          <cell r="U108">
            <v>-1.7430693966298243</v>
          </cell>
        </row>
        <row r="109">
          <cell r="C109" t="str">
            <v>Direct Wages</v>
          </cell>
          <cell r="F109">
            <v>-0.39001879754592117</v>
          </cell>
          <cell r="G109">
            <v>-5.0588677352975078E-2</v>
          </cell>
          <cell r="H109">
            <v>-6.2015469956738706E-2</v>
          </cell>
          <cell r="I109">
            <v>-7.128234069189758E-2</v>
          </cell>
          <cell r="J109">
            <v>-5.9656453440764083E-2</v>
          </cell>
          <cell r="K109">
            <v>0</v>
          </cell>
          <cell r="L109">
            <v>0</v>
          </cell>
          <cell r="M109">
            <v>0</v>
          </cell>
          <cell r="N109">
            <v>-6.8107581051434144E-5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-0.24861567016900527</v>
          </cell>
          <cell r="U109">
            <v>-0.59893096575466565</v>
          </cell>
        </row>
        <row r="110">
          <cell r="C110" t="str">
            <v>Licence Fees</v>
          </cell>
          <cell r="F110">
            <v>-6.8077868927798199E-2</v>
          </cell>
          <cell r="G110">
            <v>-3.9438293764517797E-3</v>
          </cell>
          <cell r="H110">
            <v>-7.2967388493927017E-3</v>
          </cell>
          <cell r="I110">
            <v>-1.0600544248628472E-2</v>
          </cell>
          <cell r="J110">
            <v>-5.7338421155431057E-3</v>
          </cell>
          <cell r="K110">
            <v>-1.086301576058084E-2</v>
          </cell>
          <cell r="L110">
            <v>-1.0970271700683838E-2</v>
          </cell>
          <cell r="M110">
            <v>0</v>
          </cell>
          <cell r="N110">
            <v>2.1858319887636538E-2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-2.8213816880368562E-2</v>
          </cell>
          <cell r="U110">
            <v>-0.18073926435948542</v>
          </cell>
        </row>
        <row r="111">
          <cell r="C111" t="str">
            <v>Direct Selling Expenses</v>
          </cell>
          <cell r="F111">
            <v>-0.89683414123858929</v>
          </cell>
          <cell r="G111">
            <v>-5.3509613078356111E-2</v>
          </cell>
          <cell r="H111">
            <v>-6.0948185254165316E-2</v>
          </cell>
          <cell r="I111">
            <v>-7.0189246716995599E-2</v>
          </cell>
          <cell r="J111">
            <v>-8.5155163223705893E-2</v>
          </cell>
          <cell r="K111">
            <v>-3.5305197144654167E-2</v>
          </cell>
          <cell r="L111">
            <v>-3.4598774857861503E-2</v>
          </cell>
          <cell r="M111">
            <v>0</v>
          </cell>
          <cell r="N111">
            <v>7.1582548839800808E-2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-0.27315037175642892</v>
          </cell>
          <cell r="U111">
            <v>-0.96339916651567314</v>
          </cell>
        </row>
        <row r="112">
          <cell r="B112" t="str">
            <v>Variable Overheads</v>
          </cell>
          <cell r="F112">
            <v>-0.15221951725802091</v>
          </cell>
          <cell r="G112">
            <v>-7.5060880109629226E-3</v>
          </cell>
          <cell r="H112">
            <v>-9.0550837793295976E-3</v>
          </cell>
          <cell r="I112">
            <v>-1.1119882676569269E-2</v>
          </cell>
          <cell r="J112">
            <v>-5.9256443277823558E-3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-3.4406283503028039E-2</v>
          </cell>
          <cell r="U112">
            <v>-0.21299148396448631</v>
          </cell>
        </row>
        <row r="113">
          <cell r="C113" t="str">
            <v>Variable Overheads Personnel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U113">
            <v>0</v>
          </cell>
        </row>
        <row r="114">
          <cell r="C114" t="str">
            <v>Other Variable Overheads</v>
          </cell>
          <cell r="F114">
            <v>-0.15221951725802091</v>
          </cell>
          <cell r="G114">
            <v>-7.5060880109629226E-3</v>
          </cell>
          <cell r="H114">
            <v>-9.0550837793295976E-3</v>
          </cell>
          <cell r="I114">
            <v>-1.1119882676569269E-2</v>
          </cell>
          <cell r="J114">
            <v>-5.9256443277823558E-3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-3.4406283503028039E-2</v>
          </cell>
          <cell r="U114">
            <v>-0.21299148396448631</v>
          </cell>
        </row>
        <row r="115">
          <cell r="A115" t="str">
            <v>Contribution Margin</v>
          </cell>
          <cell r="F115">
            <v>5.8359723776239907</v>
          </cell>
          <cell r="G115">
            <v>0.31753224017340465</v>
          </cell>
          <cell r="H115">
            <v>0.47028901934775863</v>
          </cell>
          <cell r="I115">
            <v>0.63393261188161132</v>
          </cell>
          <cell r="J115">
            <v>0.5846442997284067</v>
          </cell>
          <cell r="K115">
            <v>5.697269087034329E-2</v>
          </cell>
          <cell r="L115">
            <v>-7.736557759320882E-2</v>
          </cell>
          <cell r="M115">
            <v>2.8194142740611664E-2</v>
          </cell>
          <cell r="N115">
            <v>9.4547861650551179E-2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2.1384043635655203</v>
          </cell>
          <cell r="U115">
            <v>7.0895995651386112</v>
          </cell>
        </row>
        <row r="116">
          <cell r="B116" t="str">
            <v>Fixed Overheads</v>
          </cell>
          <cell r="F116">
            <v>-5.3856054350679257</v>
          </cell>
          <cell r="G116">
            <v>-0.35559176277602034</v>
          </cell>
          <cell r="H116">
            <v>-0.34371555524958269</v>
          </cell>
          <cell r="I116">
            <v>-0.53245152671331053</v>
          </cell>
          <cell r="J116">
            <v>-0.45086913784917249</v>
          </cell>
          <cell r="K116">
            <v>-7.6062154607573151E-2</v>
          </cell>
          <cell r="L116">
            <v>-8.7984859171535645E-2</v>
          </cell>
          <cell r="M116">
            <v>-5.6358721325492217E-2</v>
          </cell>
          <cell r="N116">
            <v>0.13412931210267484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-1.7990186508777803</v>
          </cell>
          <cell r="U116">
            <v>-4.6242072839282482</v>
          </cell>
        </row>
        <row r="117">
          <cell r="C117" t="str">
            <v>Fixed Overheads Personnel</v>
          </cell>
          <cell r="F117">
            <v>-2.0532733065594009</v>
          </cell>
          <cell r="G117">
            <v>-0.17729195895927435</v>
          </cell>
          <cell r="H117">
            <v>-0.17936936452364236</v>
          </cell>
          <cell r="I117">
            <v>-0.21475065312950747</v>
          </cell>
          <cell r="J117">
            <v>-0.26659621843335096</v>
          </cell>
          <cell r="K117">
            <v>-3.07825216929343E-2</v>
          </cell>
          <cell r="L117">
            <v>-1.3696189902271599E-2</v>
          </cell>
          <cell r="M117">
            <v>-5.0807284306413326E-2</v>
          </cell>
          <cell r="N117">
            <v>-2.876012963973271E-2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-0.9734454107838828</v>
          </cell>
          <cell r="U117">
            <v>-2.2000362384489942</v>
          </cell>
        </row>
        <row r="118">
          <cell r="C118" t="str">
            <v>Other Fixed Overheads</v>
          </cell>
          <cell r="F118">
            <v>-3.3323321285085243</v>
          </cell>
          <cell r="G118">
            <v>-0.17829980381674601</v>
          </cell>
          <cell r="H118">
            <v>-0.16434619072594037</v>
          </cell>
          <cell r="I118">
            <v>-0.31770087358380306</v>
          </cell>
          <cell r="J118">
            <v>-0.1842729194158215</v>
          </cell>
          <cell r="K118">
            <v>-4.5279632914638837E-2</v>
          </cell>
          <cell r="L118">
            <v>-7.4288669269264043E-2</v>
          </cell>
          <cell r="M118">
            <v>-5.5514370190788932E-3</v>
          </cell>
          <cell r="N118">
            <v>0.16288944174240755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-0.82557324009389732</v>
          </cell>
          <cell r="U118">
            <v>-2.4241710454792536</v>
          </cell>
        </row>
        <row r="119">
          <cell r="A119" t="str">
            <v>Operating Result</v>
          </cell>
          <cell r="F119">
            <v>0.45036694255606441</v>
          </cell>
          <cell r="G119">
            <v>-3.8059522602615699E-2</v>
          </cell>
          <cell r="H119">
            <v>0.12657346409817591</v>
          </cell>
          <cell r="I119">
            <v>0.10148108516830075</v>
          </cell>
          <cell r="J119">
            <v>0.13377516187923419</v>
          </cell>
          <cell r="K119">
            <v>-1.9089463737229858E-2</v>
          </cell>
          <cell r="L119">
            <v>-0.16535043676474445</v>
          </cell>
          <cell r="M119">
            <v>-2.8164578584880556E-2</v>
          </cell>
          <cell r="N119">
            <v>0.22867717375322605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0.33938571268773965</v>
          </cell>
          <cell r="U119">
            <v>2.4653922812103635</v>
          </cell>
        </row>
        <row r="120">
          <cell r="B120" t="str">
            <v>Other Result</v>
          </cell>
          <cell r="F120">
            <v>1.7565769218383624</v>
          </cell>
          <cell r="G120">
            <v>0.47270510249548864</v>
          </cell>
          <cell r="H120">
            <v>0.34537650657748142</v>
          </cell>
          <cell r="I120">
            <v>0.3240607681698443</v>
          </cell>
          <cell r="J120">
            <v>-8.7320902786710036E-2</v>
          </cell>
          <cell r="K120">
            <v>-6.397253912666416E-2</v>
          </cell>
          <cell r="L120">
            <v>-4.1763136741163838E-2</v>
          </cell>
          <cell r="M120">
            <v>-2.1122338614073751E-2</v>
          </cell>
          <cell r="N120">
            <v>-2.0766888665761263E-2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0.95463821704306906</v>
          </cell>
          <cell r="U120">
            <v>0.59123029534335925</v>
          </cell>
        </row>
        <row r="121">
          <cell r="C121" t="str">
            <v>Other Income</v>
          </cell>
          <cell r="F121">
            <v>1.7962911955528398</v>
          </cell>
          <cell r="G121">
            <v>0.47270510249548864</v>
          </cell>
          <cell r="H121">
            <v>0.34614947668136736</v>
          </cell>
          <cell r="I121">
            <v>0.32535459398091005</v>
          </cell>
          <cell r="J121">
            <v>-8.7341016939822158E-2</v>
          </cell>
          <cell r="K121">
            <v>20.368426440496329</v>
          </cell>
          <cell r="L121">
            <v>-4.1763136741163838E-2</v>
          </cell>
          <cell r="M121">
            <v>-2.1122338614073751E-2</v>
          </cell>
          <cell r="N121">
            <v>-2.0766888665761263E-2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20.82061950707531</v>
          </cell>
          <cell r="U121">
            <v>0.59793440840732015</v>
          </cell>
        </row>
        <row r="122">
          <cell r="D122" t="str">
            <v>Other income</v>
          </cell>
          <cell r="F122">
            <v>-0.43801244438321285</v>
          </cell>
          <cell r="G122">
            <v>-4.0907802772281551E-2</v>
          </cell>
          <cell r="H122">
            <v>-9.8268317203193522E-3</v>
          </cell>
          <cell r="I122">
            <v>-5.4006569791686589E-2</v>
          </cell>
          <cell r="J122">
            <v>-5.7699280707298309E-2</v>
          </cell>
          <cell r="K122">
            <v>20.175739642959641</v>
          </cell>
          <cell r="L122">
            <v>-4.1763136741163838E-2</v>
          </cell>
          <cell r="M122">
            <v>-2.1122338614073751E-2</v>
          </cell>
          <cell r="N122">
            <v>-2.0766888665761263E-2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19.36750910869959</v>
          </cell>
          <cell r="U122">
            <v>5.5263634716434138E-3</v>
          </cell>
        </row>
        <row r="123">
          <cell r="D123" t="str">
            <v>Monetary Result</v>
          </cell>
          <cell r="F123">
            <v>2.2343036399360527</v>
          </cell>
          <cell r="G123">
            <v>0.51361290526777026</v>
          </cell>
          <cell r="H123">
            <v>0.3559763084016867</v>
          </cell>
          <cell r="I123">
            <v>0.37936116377259665</v>
          </cell>
          <cell r="J123">
            <v>-2.9641736232523846E-2</v>
          </cell>
          <cell r="K123">
            <v>0.19268679753668411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1.4531103983757174</v>
          </cell>
          <cell r="U123">
            <v>0.59240804493567667</v>
          </cell>
        </row>
        <row r="124">
          <cell r="C124" t="str">
            <v>Other Expenses</v>
          </cell>
          <cell r="F124">
            <v>-3.9714273714477333E-2</v>
          </cell>
          <cell r="G124">
            <v>0</v>
          </cell>
          <cell r="H124">
            <v>-7.7297010388594834E-4</v>
          </cell>
          <cell r="I124">
            <v>-1.2938258110657506E-3</v>
          </cell>
          <cell r="J124">
            <v>2.0114153112109408E-5</v>
          </cell>
          <cell r="K124">
            <v>-20.432398979622992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-19.865981290032238</v>
          </cell>
          <cell r="U124">
            <v>-6.704113063960862E-3</v>
          </cell>
        </row>
        <row r="125">
          <cell r="B125" t="str">
            <v>Exchange Rate Result Operating</v>
          </cell>
          <cell r="F125">
            <v>-1.3639503715072432</v>
          </cell>
          <cell r="G125">
            <v>-0.47117805299371113</v>
          </cell>
          <cell r="H125">
            <v>4.3843094905762707E-2</v>
          </cell>
          <cell r="I125">
            <v>-0.25601698715281279</v>
          </cell>
          <cell r="J125">
            <v>-9.0670412133704067E-2</v>
          </cell>
          <cell r="K125">
            <v>-4.357091253824124E-2</v>
          </cell>
          <cell r="L125">
            <v>-4.457684387035922E-2</v>
          </cell>
          <cell r="M125">
            <v>6.0147251570901797E-3</v>
          </cell>
          <cell r="N125">
            <v>5.8978592322603864E-3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-0.87304011688062677</v>
          </cell>
          <cell r="U125">
            <v>-0.52799420184816093</v>
          </cell>
        </row>
        <row r="126">
          <cell r="B126" t="str">
            <v>Valuation Measures</v>
          </cell>
          <cell r="F126">
            <v>-0.7302568523827575</v>
          </cell>
          <cell r="G126">
            <v>-8.5797895147048438E-3</v>
          </cell>
          <cell r="H126">
            <v>-5.6505752931383137E-3</v>
          </cell>
          <cell r="I126">
            <v>-1.5667313172383374E-2</v>
          </cell>
          <cell r="J126">
            <v>-1.936668683375176E-2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-4.9797352323678754E-2</v>
          </cell>
          <cell r="U126">
            <v>-0.66642507700670406</v>
          </cell>
        </row>
        <row r="127">
          <cell r="C127" t="str">
            <v>Depreciation</v>
          </cell>
          <cell r="F127">
            <v>-0.36748388297287843</v>
          </cell>
          <cell r="G127">
            <v>-8.5797895147048438E-3</v>
          </cell>
          <cell r="H127">
            <v>-5.6505752931383137E-3</v>
          </cell>
          <cell r="I127">
            <v>-1.5667313172383374E-2</v>
          </cell>
          <cell r="J127">
            <v>-1.936668683375176E-2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-4.9797352323678754E-2</v>
          </cell>
          <cell r="U127">
            <v>-0.66642507700670406</v>
          </cell>
        </row>
        <row r="128">
          <cell r="C128" t="str">
            <v>Valuation Measures</v>
          </cell>
          <cell r="F128">
            <v>-0.36277296940987913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U128">
            <v>0</v>
          </cell>
        </row>
        <row r="129">
          <cell r="D129" t="str">
            <v>Inventory Valuation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U129">
            <v>0</v>
          </cell>
        </row>
        <row r="130">
          <cell r="D130" t="str">
            <v>Allowance for Bad Debts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U130">
            <v>0</v>
          </cell>
        </row>
        <row r="131">
          <cell r="D131" t="str">
            <v>Reserves for Restructuring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U131">
            <v>0</v>
          </cell>
        </row>
        <row r="132">
          <cell r="D132" t="str">
            <v>Other Reserves</v>
          </cell>
          <cell r="F132">
            <v>-0.36277296940987913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U132">
            <v>0</v>
          </cell>
        </row>
        <row r="133">
          <cell r="A133" t="str">
            <v>Operating Profit</v>
          </cell>
          <cell r="F133">
            <v>0.11273664050442628</v>
          </cell>
          <cell r="G133">
            <v>-4.511226261554304E-2</v>
          </cell>
          <cell r="H133">
            <v>0.51014249028828174</v>
          </cell>
          <cell r="I133">
            <v>0.15385755301294896</v>
          </cell>
          <cell r="J133">
            <v>-6.3582839874931685E-2</v>
          </cell>
          <cell r="K133">
            <v>-0.12663291540213525</v>
          </cell>
          <cell r="L133">
            <v>-0.25169041737626752</v>
          </cell>
          <cell r="M133">
            <v>-4.3272192041864131E-2</v>
          </cell>
          <cell r="N133">
            <v>0.21380814431972514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0.37118646052650328</v>
          </cell>
          <cell r="U133">
            <v>1.8622032976988578</v>
          </cell>
        </row>
        <row r="134">
          <cell r="B134" t="str">
            <v>Financial Result</v>
          </cell>
          <cell r="F134">
            <v>1.6115551827198393</v>
          </cell>
          <cell r="G134">
            <v>0.52061867702163478</v>
          </cell>
          <cell r="H134">
            <v>-0.26310305057240274</v>
          </cell>
          <cell r="I134">
            <v>-0.70438934614061444</v>
          </cell>
          <cell r="J134">
            <v>-0.55657399229416205</v>
          </cell>
          <cell r="K134">
            <v>1.3901548936572974</v>
          </cell>
          <cell r="L134">
            <v>-0.38854541881730298</v>
          </cell>
          <cell r="M134">
            <v>2.4467187672114983E-2</v>
          </cell>
          <cell r="N134">
            <v>-0.70649723434592016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-0.68765711778468908</v>
          </cell>
          <cell r="U134">
            <v>1.8662801232107267</v>
          </cell>
        </row>
        <row r="135">
          <cell r="C135" t="str">
            <v>Result on Interest</v>
          </cell>
          <cell r="F135">
            <v>-0.72314435525616971</v>
          </cell>
          <cell r="G135">
            <v>-4.518463925178369E-2</v>
          </cell>
          <cell r="H135">
            <v>-2.0979615325594791E-2</v>
          </cell>
          <cell r="I135">
            <v>-1.6472586629614972E-2</v>
          </cell>
          <cell r="J135">
            <v>-3.3430266613099495E-2</v>
          </cell>
          <cell r="K135">
            <v>-1.5583650458284228E-2</v>
          </cell>
          <cell r="L135">
            <v>1.3192548536694005E-5</v>
          </cell>
          <cell r="M135">
            <v>2.7934225205373362E-3</v>
          </cell>
          <cell r="N135">
            <v>-3.8908050683505717E-2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-0.16921951273490232</v>
          </cell>
          <cell r="U135">
            <v>-0.89690161261098023</v>
          </cell>
        </row>
        <row r="136">
          <cell r="D136" t="str">
            <v>Interest Income</v>
          </cell>
          <cell r="F136">
            <v>0.27363188905985703</v>
          </cell>
          <cell r="G136">
            <v>6.133394721992951E-3</v>
          </cell>
          <cell r="H136">
            <v>1.3405972706289914E-2</v>
          </cell>
          <cell r="I136">
            <v>2.0814417003308033E-2</v>
          </cell>
          <cell r="J136">
            <v>2.9446421453967436E-3</v>
          </cell>
          <cell r="K136">
            <v>2.2037242844842852E-4</v>
          </cell>
          <cell r="L136">
            <v>1.3192548536694005E-5</v>
          </cell>
          <cell r="M136">
            <v>2.7934225205373362E-3</v>
          </cell>
          <cell r="N136">
            <v>-3.8908050683505717E-2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9.3629359887836515E-3</v>
          </cell>
          <cell r="U136">
            <v>-9.0596122485957595E-2</v>
          </cell>
        </row>
        <row r="137">
          <cell r="D137" t="str">
            <v>Interest Expenses</v>
          </cell>
          <cell r="F137">
            <v>-0.99677624431602685</v>
          </cell>
          <cell r="G137">
            <v>-5.1318033973776642E-2</v>
          </cell>
          <cell r="H137">
            <v>-3.4385588031884705E-2</v>
          </cell>
          <cell r="I137">
            <v>-3.7287003632923005E-2</v>
          </cell>
          <cell r="J137">
            <v>-3.6374908758496242E-2</v>
          </cell>
          <cell r="K137">
            <v>-1.5804022886732657E-2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-0.178582448723686</v>
          </cell>
          <cell r="U137">
            <v>-0.80630549012502262</v>
          </cell>
        </row>
        <row r="138">
          <cell r="C138" t="str">
            <v>Other Financial Result</v>
          </cell>
          <cell r="F138">
            <v>2.3346995379760096</v>
          </cell>
          <cell r="G138">
            <v>0.5658033162734184</v>
          </cell>
          <cell r="H138">
            <v>-0.24212343524680796</v>
          </cell>
          <cell r="I138">
            <v>-0.6879167595109994</v>
          </cell>
          <cell r="J138">
            <v>-0.5231437256810626</v>
          </cell>
          <cell r="K138">
            <v>1.4057385441155816</v>
          </cell>
          <cell r="L138">
            <v>-0.38855861136583969</v>
          </cell>
          <cell r="M138">
            <v>2.1673765151577647E-2</v>
          </cell>
          <cell r="N138">
            <v>-0.66758918366241438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-0.51843760504978653</v>
          </cell>
          <cell r="U138">
            <v>2.7631817358217066</v>
          </cell>
        </row>
        <row r="139">
          <cell r="B139" t="str">
            <v>Taxes</v>
          </cell>
          <cell r="F139">
            <v>-0.94869470654869215</v>
          </cell>
          <cell r="G139">
            <v>-4.043638039670857E-2</v>
          </cell>
          <cell r="H139">
            <v>-4.0821618661632829E-2</v>
          </cell>
          <cell r="I139">
            <v>-5.2225080119682174E-2</v>
          </cell>
          <cell r="J139">
            <v>-7.5760762262884571E-2</v>
          </cell>
          <cell r="K139">
            <v>2.2508289418244655E-3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-0.21010851666668465</v>
          </cell>
          <cell r="U139">
            <v>-0.85160355136800148</v>
          </cell>
        </row>
        <row r="140">
          <cell r="C140" t="str">
            <v>Taxes on Income</v>
          </cell>
          <cell r="F140">
            <v>-0.80576802476559473</v>
          </cell>
          <cell r="G140">
            <v>-4.043638039670857E-2</v>
          </cell>
          <cell r="H140">
            <v>-4.0821618661632829E-2</v>
          </cell>
          <cell r="I140">
            <v>-5.2225080119682174E-2</v>
          </cell>
          <cell r="J140">
            <v>-7.5760762262884571E-2</v>
          </cell>
          <cell r="K140">
            <v>2.2508289418244655E-3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-0.21010851666668465</v>
          </cell>
          <cell r="U140">
            <v>-0.85160355136800148</v>
          </cell>
        </row>
        <row r="141">
          <cell r="C141" t="str">
            <v>Tax Reimbursement</v>
          </cell>
          <cell r="F141">
            <v>-0.14292668178309734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U141">
            <v>0</v>
          </cell>
        </row>
        <row r="142">
          <cell r="A142" t="str">
            <v>Net Income</v>
          </cell>
          <cell r="F142">
            <v>0.77559711667557318</v>
          </cell>
          <cell r="G142">
            <v>0.4350700340093831</v>
          </cell>
          <cell r="H142">
            <v>0.20621782105424613</v>
          </cell>
          <cell r="I142">
            <v>-0.60275687324734761</v>
          </cell>
          <cell r="J142">
            <v>-0.69591759443197831</v>
          </cell>
          <cell r="K142">
            <v>1.2657728071969867</v>
          </cell>
          <cell r="L142">
            <v>-0.6402358361935705</v>
          </cell>
          <cell r="M142">
            <v>-1.8805004369749145E-2</v>
          </cell>
          <cell r="N142">
            <v>-0.4926890900261951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-0.52657917392487041</v>
          </cell>
          <cell r="U142">
            <v>2.8768798695415829</v>
          </cell>
        </row>
        <row r="143">
          <cell r="A143" t="str">
            <v>Minoritary Interest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 t="e">
            <v>#DIV/0!</v>
          </cell>
          <cell r="U143">
            <v>0</v>
          </cell>
        </row>
        <row r="144">
          <cell r="A144" t="str">
            <v xml:space="preserve">Net Income </v>
          </cell>
          <cell r="F144">
            <v>0.77559711667557318</v>
          </cell>
          <cell r="G144">
            <v>0.4350700340093831</v>
          </cell>
          <cell r="H144">
            <v>0.20621782105424613</v>
          </cell>
          <cell r="I144">
            <v>-0.60275687324734761</v>
          </cell>
          <cell r="J144">
            <v>-0.69591759443197831</v>
          </cell>
          <cell r="K144">
            <v>1.2657728071969867</v>
          </cell>
          <cell r="L144">
            <v>-0.6402358361935705</v>
          </cell>
          <cell r="M144">
            <v>-1.8805004369749145E-2</v>
          </cell>
          <cell r="N144">
            <v>-0.4926890900261951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-0.52657917392487041</v>
          </cell>
          <cell r="T144" t="e">
            <v>#DIV/0!</v>
          </cell>
          <cell r="U144">
            <v>2.8768798695415829</v>
          </cell>
        </row>
      </sheetData>
      <sheetData sheetId="5">
        <row r="3">
          <cell r="B3" t="str">
            <v>Operating Profit Total MBMex 99</v>
          </cell>
        </row>
        <row r="5">
          <cell r="B5" t="str">
            <v>In Mio. MXP $</v>
          </cell>
        </row>
        <row r="6">
          <cell r="B6" t="str">
            <v xml:space="preserve">  -  In Mio Mex Peso  -</v>
          </cell>
          <cell r="D6">
            <v>36161</v>
          </cell>
          <cell r="E6">
            <v>36192</v>
          </cell>
          <cell r="F6">
            <v>36220</v>
          </cell>
          <cell r="G6">
            <v>36251</v>
          </cell>
          <cell r="H6">
            <v>36281</v>
          </cell>
          <cell r="I6">
            <v>36312</v>
          </cell>
          <cell r="J6">
            <v>36342</v>
          </cell>
          <cell r="K6">
            <v>36373</v>
          </cell>
          <cell r="L6">
            <v>36404</v>
          </cell>
          <cell r="M6">
            <v>36434</v>
          </cell>
          <cell r="N6">
            <v>36465</v>
          </cell>
          <cell r="O6">
            <v>36495</v>
          </cell>
          <cell r="P6" t="str">
            <v>TOTAL</v>
          </cell>
        </row>
        <row r="7">
          <cell r="B7" t="str">
            <v>Turnover, net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</row>
        <row r="8">
          <cell r="B8" t="str">
            <v>Material Cost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</row>
        <row r="9">
          <cell r="B9" t="str">
            <v>Other Direct Cost &amp; Variable Overheads</v>
          </cell>
          <cell r="C9" t="str">
            <v>Direct Material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</row>
        <row r="10">
          <cell r="B10" t="str">
            <v>Contribution Margin</v>
          </cell>
          <cell r="C10">
            <v>0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</row>
        <row r="11">
          <cell r="B11" t="str">
            <v>Fixed Overheads Personnel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</row>
        <row r="12">
          <cell r="B12" t="str">
            <v>Other Fixed Overheads</v>
          </cell>
          <cell r="C12" t="str">
            <v>Direct Wages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</row>
        <row r="13">
          <cell r="B13" t="str">
            <v>Monetary Result</v>
          </cell>
          <cell r="C13" t="str">
            <v>Licence Fees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</row>
        <row r="14">
          <cell r="B14" t="str">
            <v>Other Income &amp; Expenses</v>
          </cell>
          <cell r="C14" t="str">
            <v>Direct Selling Expenses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</row>
        <row r="15">
          <cell r="B15" t="str">
            <v>Exchange Rate Result Operating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</row>
        <row r="16">
          <cell r="B16" t="str">
            <v>Depreciation</v>
          </cell>
          <cell r="C16" t="str">
            <v>Variable Overheads Personnel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</row>
        <row r="17">
          <cell r="B17" t="str">
            <v>Valuation Measures</v>
          </cell>
          <cell r="C17" t="str">
            <v>Other Variable Overheads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</row>
        <row r="18">
          <cell r="B18" t="str">
            <v>Operating Profit</v>
          </cell>
          <cell r="C18">
            <v>0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</row>
        <row r="19">
          <cell r="B19" t="str">
            <v>Fixed Overheads</v>
          </cell>
          <cell r="F19">
            <v>-304.18083737999996</v>
          </cell>
          <cell r="G19">
            <v>-22.784848240000002</v>
          </cell>
          <cell r="H19">
            <v>-36.285388300000001</v>
          </cell>
          <cell r="I19">
            <v>-35.73324255</v>
          </cell>
          <cell r="J19">
            <v>-33.17145155</v>
          </cell>
          <cell r="K19">
            <v>-44.592168779999994</v>
          </cell>
          <cell r="L19">
            <v>-48.360875919999998</v>
          </cell>
          <cell r="M19">
            <v>-35.433188830000006</v>
          </cell>
          <cell r="N19">
            <v>-37.252904189999995</v>
          </cell>
          <cell r="O19">
            <v>-41.825133129999998</v>
          </cell>
          <cell r="P19">
            <v>-42.53979648</v>
          </cell>
        </row>
        <row r="20">
          <cell r="C20" t="str">
            <v>Fixed Overheads Personnel</v>
          </cell>
          <cell r="F20">
            <v>-144.24415119</v>
          </cell>
          <cell r="G20">
            <v>-12.710878360000001</v>
          </cell>
          <cell r="H20">
            <v>-14.32212159</v>
          </cell>
          <cell r="I20">
            <v>-14.200937359999999</v>
          </cell>
          <cell r="J20">
            <v>-14.89217302</v>
          </cell>
          <cell r="K20">
            <v>-17.712277369999999</v>
          </cell>
          <cell r="L20">
            <v>-19.541578779999998</v>
          </cell>
          <cell r="M20">
            <v>-17.097349820000002</v>
          </cell>
          <cell r="N20">
            <v>-18.581637929999999</v>
          </cell>
          <cell r="O20">
            <v>-19.334004490000002</v>
          </cell>
          <cell r="P20">
            <v>-17.617967549999999</v>
          </cell>
        </row>
        <row r="21">
          <cell r="C21" t="str">
            <v>Other Fixed Overheads</v>
          </cell>
          <cell r="F21">
            <v>-159.93668618999999</v>
          </cell>
          <cell r="G21">
            <v>-10.07396988</v>
          </cell>
          <cell r="H21">
            <v>-21.963266709999999</v>
          </cell>
          <cell r="I21">
            <v>-21.532305189999999</v>
          </cell>
          <cell r="J21">
            <v>-18.279278529999999</v>
          </cell>
          <cell r="K21">
            <v>-26.879891409999999</v>
          </cell>
          <cell r="L21">
            <v>-28.81929714</v>
          </cell>
          <cell r="M21">
            <v>-18.335839010000001</v>
          </cell>
          <cell r="N21">
            <v>-18.671266259999999</v>
          </cell>
          <cell r="O21">
            <v>-22.491128639999999</v>
          </cell>
          <cell r="P21">
            <v>-24.92182893</v>
          </cell>
        </row>
        <row r="22">
          <cell r="D22" t="e">
            <v>#REF!</v>
          </cell>
          <cell r="E22" t="e">
            <v>#REF!</v>
          </cell>
          <cell r="F22" t="e">
            <v>#REF!</v>
          </cell>
          <cell r="G22">
            <v>-2.6784373799999912</v>
          </cell>
          <cell r="H22">
            <v>7.0871327400000226</v>
          </cell>
          <cell r="I22">
            <v>6.3767759800000263</v>
          </cell>
          <cell r="J22">
            <v>5.1231814999999443</v>
          </cell>
          <cell r="K22">
            <v>16.643968790000024</v>
          </cell>
          <cell r="L22">
            <v>12.62155359999997</v>
          </cell>
          <cell r="M22">
            <v>21.646010909999973</v>
          </cell>
          <cell r="N22">
            <v>30.397341280000006</v>
          </cell>
          <cell r="O22">
            <v>27.442161699999971</v>
          </cell>
          <cell r="P22">
            <v>44.683696800000028</v>
          </cell>
        </row>
        <row r="23">
          <cell r="B23" t="str">
            <v xml:space="preserve">  -  In Mio USD -</v>
          </cell>
          <cell r="D23">
            <v>36161</v>
          </cell>
          <cell r="E23">
            <v>36192</v>
          </cell>
          <cell r="F23">
            <v>36220</v>
          </cell>
          <cell r="G23">
            <v>36251</v>
          </cell>
          <cell r="H23">
            <v>36281</v>
          </cell>
          <cell r="I23">
            <v>36312</v>
          </cell>
          <cell r="J23">
            <v>36342</v>
          </cell>
          <cell r="K23">
            <v>36373</v>
          </cell>
          <cell r="L23">
            <v>36404</v>
          </cell>
          <cell r="M23">
            <v>36434</v>
          </cell>
          <cell r="N23">
            <v>36465</v>
          </cell>
          <cell r="O23">
            <v>36495</v>
          </cell>
          <cell r="P23" t="str">
            <v>TOTAL</v>
          </cell>
        </row>
        <row r="24">
          <cell r="B24" t="str">
            <v>Turnover, net</v>
          </cell>
          <cell r="C24" t="str">
            <v>Other Income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</row>
        <row r="25">
          <cell r="B25" t="str">
            <v>Material Cost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</row>
        <row r="26">
          <cell r="B26" t="str">
            <v>Other Direct Cost &amp; Variable Overheads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</row>
        <row r="27">
          <cell r="B27" t="str">
            <v>Contribution Margin</v>
          </cell>
          <cell r="C27">
            <v>0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</row>
        <row r="28">
          <cell r="B28" t="str">
            <v>Fixed Overheads Personnel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</row>
        <row r="29">
          <cell r="B29" t="str">
            <v>Other Fixed Overheads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</row>
        <row r="30">
          <cell r="B30" t="str">
            <v>Monetary Result</v>
          </cell>
          <cell r="C30" t="str">
            <v>Depreciation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</row>
        <row r="31">
          <cell r="B31" t="str">
            <v>Other Income &amp; Expenses</v>
          </cell>
          <cell r="C31" t="str">
            <v>Valuation Measures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</row>
        <row r="32">
          <cell r="B32" t="str">
            <v>Exchange Rate Result Operating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</row>
        <row r="33">
          <cell r="B33" t="str">
            <v>Depreciation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</row>
        <row r="34">
          <cell r="B34" t="str">
            <v>Valuation Measures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</row>
        <row r="35">
          <cell r="B35" t="str">
            <v>Operating Profit</v>
          </cell>
          <cell r="C35">
            <v>0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</row>
        <row r="36">
          <cell r="F36">
            <v>72.265562689999996</v>
          </cell>
          <cell r="G36">
            <v>-2.0152765099999916</v>
          </cell>
          <cell r="H36">
            <v>8.5674481100000222</v>
          </cell>
          <cell r="I36">
            <v>13.426698480000027</v>
          </cell>
          <cell r="J36">
            <v>16.058364789999942</v>
          </cell>
          <cell r="K36">
            <v>6.5857296000000236</v>
          </cell>
          <cell r="L36">
            <v>10.59636078999997</v>
          </cell>
          <cell r="M36">
            <v>11.016510829999975</v>
          </cell>
          <cell r="N36">
            <v>11.277253280000011</v>
          </cell>
          <cell r="O36">
            <v>9.3434999999999704</v>
          </cell>
          <cell r="P36">
            <v>15.146548700000025</v>
          </cell>
        </row>
        <row r="37">
          <cell r="B37" t="str">
            <v>Financial Result</v>
          </cell>
          <cell r="F37">
            <v>-174.29351312000006</v>
          </cell>
          <cell r="G37">
            <v>-27.778164309999998</v>
          </cell>
          <cell r="H37">
            <v>7.6478757900000005</v>
          </cell>
          <cell r="I37">
            <v>17.4552917</v>
          </cell>
          <cell r="J37">
            <v>6.7749565400000016</v>
          </cell>
          <cell r="K37">
            <v>-17.921803690000001</v>
          </cell>
          <cell r="L37">
            <v>-4.4905628900000005</v>
          </cell>
          <cell r="M37">
            <v>-7.4660965499999996</v>
          </cell>
          <cell r="N37">
            <v>-3.7636209200000001</v>
          </cell>
          <cell r="O37">
            <v>-0.20758219999999916</v>
          </cell>
          <cell r="P37">
            <v>-13.661128590000001</v>
          </cell>
        </row>
        <row r="38">
          <cell r="C38" t="str">
            <v>Result on Interest</v>
          </cell>
          <cell r="F38">
            <v>-38.764549710000004</v>
          </cell>
          <cell r="G38">
            <v>-7.3446291899999991</v>
          </cell>
          <cell r="H38">
            <v>-7.5139023599999994</v>
          </cell>
          <cell r="I38">
            <v>-9.1321966000000003</v>
          </cell>
          <cell r="J38">
            <v>-6.1213493299999993</v>
          </cell>
          <cell r="K38">
            <v>-4.2054297800000002</v>
          </cell>
          <cell r="L38">
            <v>-5.5169406900000002</v>
          </cell>
          <cell r="M38">
            <v>-5.8373256199999997</v>
          </cell>
          <cell r="N38">
            <v>-7.2498882</v>
          </cell>
          <cell r="O38">
            <v>-6.3918734999999991</v>
          </cell>
          <cell r="P38">
            <v>-5.4078166200000002</v>
          </cell>
        </row>
        <row r="39">
          <cell r="D39" t="e">
            <v>#REF!</v>
          </cell>
          <cell r="E39" t="e">
            <v>#REF!</v>
          </cell>
          <cell r="F39" t="e">
            <v>#REF!</v>
          </cell>
          <cell r="G39">
            <v>3.2361498499999999</v>
          </cell>
          <cell r="H39">
            <v>1.1517746499999999</v>
          </cell>
          <cell r="I39">
            <v>2.1879669599999998</v>
          </cell>
          <cell r="J39">
            <v>1.4136789599999999</v>
          </cell>
          <cell r="K39">
            <v>2.1537231600000002</v>
          </cell>
          <cell r="L39">
            <v>1.2262021599999999</v>
          </cell>
          <cell r="M39">
            <v>1.4626430500000001</v>
          </cell>
          <cell r="N39">
            <v>1.2777383</v>
          </cell>
          <cell r="O39">
            <v>0.78523436000000002</v>
          </cell>
          <cell r="P39">
            <v>1.8075331800000001</v>
          </cell>
        </row>
        <row r="40">
          <cell r="B40" t="str">
            <v xml:space="preserve">  -  In Mio DEM -</v>
          </cell>
          <cell r="D40">
            <v>36161</v>
          </cell>
          <cell r="E40">
            <v>36192</v>
          </cell>
          <cell r="F40">
            <v>36220</v>
          </cell>
          <cell r="G40">
            <v>36251</v>
          </cell>
          <cell r="H40">
            <v>36281</v>
          </cell>
          <cell r="I40">
            <v>36312</v>
          </cell>
          <cell r="J40">
            <v>36342</v>
          </cell>
          <cell r="K40">
            <v>36373</v>
          </cell>
          <cell r="L40">
            <v>36404</v>
          </cell>
          <cell r="M40">
            <v>36434</v>
          </cell>
          <cell r="N40">
            <v>36465</v>
          </cell>
          <cell r="O40">
            <v>36495</v>
          </cell>
          <cell r="P40" t="str">
            <v>TOTAL</v>
          </cell>
        </row>
        <row r="41">
          <cell r="B41" t="str">
            <v>Turnover, net</v>
          </cell>
          <cell r="C41" t="str">
            <v>Other Financial Result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</row>
        <row r="42">
          <cell r="B42" t="str">
            <v>Material Cost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</row>
        <row r="43">
          <cell r="B43" t="str">
            <v>Other Direct Cost &amp; Variable Overheads</v>
          </cell>
          <cell r="C43" t="str">
            <v>Taxes on Income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</row>
        <row r="44">
          <cell r="B44" t="str">
            <v>Contribution Margin</v>
          </cell>
          <cell r="C44">
            <v>0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</row>
        <row r="45">
          <cell r="B45" t="str">
            <v>Fixed Overheads Personnel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</row>
        <row r="46">
          <cell r="B46" t="str">
            <v>Other Fixed Overheads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</row>
        <row r="47">
          <cell r="B47" t="str">
            <v>Monetary Result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</row>
        <row r="48">
          <cell r="B48" t="str">
            <v>Other Income &amp; Expenses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</row>
        <row r="49">
          <cell r="B49" t="str">
            <v>Exchange Rate Result Operating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</row>
        <row r="50">
          <cell r="B50" t="str">
            <v>Depreciation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</row>
        <row r="51">
          <cell r="B51" t="str">
            <v>Valuation Measures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</row>
        <row r="52">
          <cell r="B52" t="str">
            <v>Operating Profit</v>
          </cell>
          <cell r="C52">
            <v>0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</row>
        <row r="55">
          <cell r="B55" t="str">
            <v>Operating Profit TRUCKS NAFTA MBMex 99</v>
          </cell>
        </row>
        <row r="56">
          <cell r="F56">
            <v>713.97200011916482</v>
          </cell>
          <cell r="G56">
            <v>26.304192077230184</v>
          </cell>
          <cell r="H56">
            <v>54.382838590008845</v>
          </cell>
          <cell r="I56">
            <v>55.516486861890968</v>
          </cell>
          <cell r="J56">
            <v>68.12286917221671</v>
          </cell>
          <cell r="K56">
            <v>75.433216665254477</v>
          </cell>
          <cell r="L56">
            <v>74.123201572358596</v>
          </cell>
          <cell r="M56">
            <v>82.752094950775131</v>
          </cell>
          <cell r="N56">
            <v>89.787288487277962</v>
          </cell>
          <cell r="O56">
            <v>100.36913410868434</v>
          </cell>
          <cell r="P56">
            <v>110.63580482091174</v>
          </cell>
        </row>
        <row r="57">
          <cell r="B57" t="str">
            <v>Material Cost</v>
          </cell>
          <cell r="F57">
            <v>-615.73221448771176</v>
          </cell>
          <cell r="G57">
            <v>-20.918451249671911</v>
          </cell>
          <cell r="H57">
            <v>-43.918185321164557</v>
          </cell>
          <cell r="I57">
            <v>-44.104555518481632</v>
          </cell>
          <cell r="J57">
            <v>-57.083327723439481</v>
          </cell>
          <cell r="K57">
            <v>-59.018469442930602</v>
          </cell>
          <cell r="L57">
            <v>-57.146131513533348</v>
          </cell>
          <cell r="M57">
            <v>-64.630602623457079</v>
          </cell>
          <cell r="N57">
            <v>-70.799318573565316</v>
          </cell>
          <cell r="O57">
            <v>-78.101488122137482</v>
          </cell>
          <cell r="P57">
            <v>-86.855918343682205</v>
          </cell>
        </row>
        <row r="58">
          <cell r="B58" t="str">
            <v xml:space="preserve">  -  In Mio Mex Peso  -</v>
          </cell>
          <cell r="C58" t="str">
            <v>Direct Material</v>
          </cell>
          <cell r="D58">
            <v>36161</v>
          </cell>
          <cell r="E58">
            <v>36192</v>
          </cell>
          <cell r="F58">
            <v>36220</v>
          </cell>
          <cell r="G58">
            <v>36251</v>
          </cell>
          <cell r="H58">
            <v>36281</v>
          </cell>
          <cell r="I58">
            <v>36312</v>
          </cell>
          <cell r="J58">
            <v>36342</v>
          </cell>
          <cell r="K58">
            <v>36373</v>
          </cell>
          <cell r="L58">
            <v>36404</v>
          </cell>
          <cell r="M58">
            <v>36434</v>
          </cell>
          <cell r="N58">
            <v>36465</v>
          </cell>
          <cell r="O58">
            <v>36495</v>
          </cell>
          <cell r="P58" t="str">
            <v>TOTAL</v>
          </cell>
        </row>
        <row r="59">
          <cell r="B59" t="str">
            <v>Turnover, net</v>
          </cell>
          <cell r="C59" t="str">
            <v>Cost of Supply</v>
          </cell>
          <cell r="D59">
            <v>157.57805227</v>
          </cell>
          <cell r="E59">
            <v>311.81740552000002</v>
          </cell>
          <cell r="F59">
            <v>301.88860928000003</v>
          </cell>
          <cell r="G59">
            <v>351.46241207999998</v>
          </cell>
          <cell r="H59">
            <v>383.40934220000003</v>
          </cell>
          <cell r="I59">
            <v>375.29005683999998</v>
          </cell>
          <cell r="J59">
            <v>410.45033637</v>
          </cell>
          <cell r="K59">
            <v>457.52718267</v>
          </cell>
          <cell r="L59">
            <v>503.91435877999999</v>
          </cell>
          <cell r="M59">
            <v>577.41892909000001</v>
          </cell>
          <cell r="N59">
            <v>0</v>
          </cell>
          <cell r="O59">
            <v>0</v>
          </cell>
          <cell r="P59">
            <v>3830.7566850999997</v>
          </cell>
        </row>
        <row r="60">
          <cell r="B60" t="str">
            <v>Material Cost</v>
          </cell>
          <cell r="D60">
            <v>-125.31420066999999</v>
          </cell>
          <cell r="E60">
            <v>-251.81573741</v>
          </cell>
          <cell r="F60">
            <v>-239.83259174</v>
          </cell>
          <cell r="G60">
            <v>-294.50673900000004</v>
          </cell>
          <cell r="H60">
            <v>-299.97703329000001</v>
          </cell>
          <cell r="I60">
            <v>-289.33416918</v>
          </cell>
          <cell r="J60">
            <v>-320.56774638000002</v>
          </cell>
          <cell r="K60">
            <v>-360.77058688</v>
          </cell>
          <cell r="L60">
            <v>-392.11717483000001</v>
          </cell>
          <cell r="M60">
            <v>-453.30940951999997</v>
          </cell>
          <cell r="N60">
            <v>0</v>
          </cell>
          <cell r="O60">
            <v>0</v>
          </cell>
          <cell r="P60">
            <v>-3027.5453889</v>
          </cell>
        </row>
        <row r="61">
          <cell r="B61" t="str">
            <v>Other Direct Cost &amp; Variable Overheads</v>
          </cell>
          <cell r="C61" t="str">
            <v>Direct Wages</v>
          </cell>
          <cell r="D61">
            <v>-12.15744074</v>
          </cell>
          <cell r="E61">
            <v>-16.629147069999998</v>
          </cell>
          <cell r="F61">
            <v>-19.945999009999998</v>
          </cell>
          <cell r="G61">
            <v>-18.661040029999999</v>
          </cell>
          <cell r="H61">
            <v>-22.196171339999999</v>
          </cell>
          <cell r="I61">
            <v>-24.973458139999998</v>
          </cell>
          <cell r="J61">
            <v>-32.80339025</v>
          </cell>
          <cell r="K61">
            <v>-29.106350320000001</v>
          </cell>
          <cell r="L61">
            <v>-42.52988912</v>
          </cell>
          <cell r="M61">
            <v>-36.886026290000004</v>
          </cell>
          <cell r="N61">
            <v>0</v>
          </cell>
          <cell r="O61">
            <v>0</v>
          </cell>
          <cell r="P61">
            <v>-255.88891230999999</v>
          </cell>
        </row>
        <row r="62">
          <cell r="B62" t="str">
            <v>Contribution Margin</v>
          </cell>
          <cell r="C62">
            <v>0</v>
          </cell>
          <cell r="D62">
            <v>20.106410860000011</v>
          </cell>
          <cell r="E62">
            <v>43.372521040000024</v>
          </cell>
          <cell r="F62">
            <v>42.110018530000026</v>
          </cell>
          <cell r="G62">
            <v>38.294633049999945</v>
          </cell>
          <cell r="H62">
            <v>61.236137570000018</v>
          </cell>
          <cell r="I62">
            <v>60.982429519999968</v>
          </cell>
          <cell r="J62">
            <v>57.079199739999979</v>
          </cell>
          <cell r="K62">
            <v>67.650245470000002</v>
          </cell>
          <cell r="L62">
            <v>69.267294829999969</v>
          </cell>
          <cell r="M62">
            <v>87.223493280000028</v>
          </cell>
          <cell r="N62">
            <v>0</v>
          </cell>
          <cell r="O62">
            <v>0</v>
          </cell>
          <cell r="P62">
            <v>547.32238388999997</v>
          </cell>
        </row>
        <row r="63">
          <cell r="B63" t="str">
            <v>Fixed Overheads Personnel</v>
          </cell>
          <cell r="C63" t="str">
            <v>Direct Selling Expenses</v>
          </cell>
          <cell r="D63">
            <v>-12.710878360000001</v>
          </cell>
          <cell r="E63">
            <v>-14.32212159</v>
          </cell>
          <cell r="F63">
            <v>-14.200937359999999</v>
          </cell>
          <cell r="G63">
            <v>-14.89217302</v>
          </cell>
          <cell r="H63">
            <v>-17.712277369999999</v>
          </cell>
          <cell r="I63">
            <v>-19.541578779999998</v>
          </cell>
          <cell r="J63">
            <v>-17.097349820000002</v>
          </cell>
          <cell r="K63">
            <v>-18.581637929999999</v>
          </cell>
          <cell r="L63">
            <v>-19.334004490000002</v>
          </cell>
          <cell r="M63">
            <v>-17.617967549999999</v>
          </cell>
          <cell r="N63">
            <v>0</v>
          </cell>
          <cell r="O63">
            <v>0</v>
          </cell>
          <cell r="P63">
            <v>-166.01092627</v>
          </cell>
        </row>
        <row r="64">
          <cell r="B64" t="str">
            <v>Other Fixed Overheads</v>
          </cell>
          <cell r="D64">
            <v>-10.07396988</v>
          </cell>
          <cell r="E64">
            <v>-21.963266709999999</v>
          </cell>
          <cell r="F64">
            <v>-21.532305189999999</v>
          </cell>
          <cell r="G64">
            <v>-18.279278529999999</v>
          </cell>
          <cell r="H64">
            <v>-26.879891409999999</v>
          </cell>
          <cell r="I64">
            <v>-28.81929714</v>
          </cell>
          <cell r="J64">
            <v>-18.335839010000001</v>
          </cell>
          <cell r="K64">
            <v>-18.671266259999999</v>
          </cell>
          <cell r="L64">
            <v>-22.491128639999999</v>
          </cell>
          <cell r="M64">
            <v>-24.92182893</v>
          </cell>
          <cell r="N64">
            <v>0</v>
          </cell>
          <cell r="O64">
            <v>0</v>
          </cell>
          <cell r="P64">
            <v>-211.96807170000002</v>
          </cell>
        </row>
        <row r="65">
          <cell r="B65" t="str">
            <v>Monetary Result</v>
          </cell>
          <cell r="C65" t="str">
            <v>Variable Overheads Personnel</v>
          </cell>
          <cell r="D65">
            <v>12.90194599</v>
          </cell>
          <cell r="E65">
            <v>3.7797712299999997</v>
          </cell>
          <cell r="F65">
            <v>6.4409856100000002</v>
          </cell>
          <cell r="G65">
            <v>4.5560798</v>
          </cell>
          <cell r="H65">
            <v>6.17961676</v>
          </cell>
          <cell r="I65">
            <v>1.6207541299999999</v>
          </cell>
          <cell r="J65">
            <v>3.2798484800000001</v>
          </cell>
          <cell r="K65">
            <v>3.6265574200000001</v>
          </cell>
          <cell r="L65">
            <v>4.57008131</v>
          </cell>
          <cell r="M65">
            <v>6.5552280500000002</v>
          </cell>
          <cell r="N65">
            <v>0</v>
          </cell>
          <cell r="O65">
            <v>0</v>
          </cell>
          <cell r="P65">
            <v>53.510868779999996</v>
          </cell>
        </row>
        <row r="66">
          <cell r="B66" t="str">
            <v>Other Income &amp; Expenses</v>
          </cell>
          <cell r="C66" t="str">
            <v>Other Variable Overheads</v>
          </cell>
          <cell r="D66">
            <v>-0.78491090000000008</v>
          </cell>
          <cell r="E66">
            <v>-1.0257163200000001</v>
          </cell>
          <cell r="F66">
            <v>-8.2006350000000006E-2</v>
          </cell>
          <cell r="G66">
            <v>2.1409679099999996</v>
          </cell>
          <cell r="H66">
            <v>1.3605953299999998</v>
          </cell>
          <cell r="I66">
            <v>-1.4298959599999999</v>
          </cell>
          <cell r="J66">
            <v>-1.1439658500000001</v>
          </cell>
          <cell r="K66">
            <v>-8.9979407900000012</v>
          </cell>
          <cell r="L66">
            <v>1.9457631699999998</v>
          </cell>
          <cell r="M66">
            <v>-1.7408168100000001</v>
          </cell>
          <cell r="N66">
            <v>0</v>
          </cell>
          <cell r="O66">
            <v>0</v>
          </cell>
          <cell r="P66">
            <v>-9.7579265700000004</v>
          </cell>
        </row>
        <row r="67">
          <cell r="B67" t="str">
            <v>Exchange Rate Result Operating</v>
          </cell>
          <cell r="D67">
            <v>-8.4864374300000005</v>
          </cell>
          <cell r="E67">
            <v>2.64759118</v>
          </cell>
          <cell r="F67">
            <v>5.1323356599999999</v>
          </cell>
          <cell r="G67">
            <v>8.6576279399999994</v>
          </cell>
          <cell r="H67">
            <v>-9.42965974</v>
          </cell>
          <cell r="I67">
            <v>6.5335622799999999</v>
          </cell>
          <cell r="J67">
            <v>-2.0457600999999999</v>
          </cell>
          <cell r="K67">
            <v>3.4922686299999999</v>
          </cell>
          <cell r="L67">
            <v>2.2668512199999999</v>
          </cell>
          <cell r="M67">
            <v>-3.9256648900000002</v>
          </cell>
          <cell r="N67">
            <v>0</v>
          </cell>
          <cell r="O67">
            <v>0</v>
          </cell>
          <cell r="P67">
            <v>4.842714749999999</v>
          </cell>
        </row>
        <row r="68">
          <cell r="B68" t="str">
            <v>Depreciation</v>
          </cell>
          <cell r="D68">
            <v>-2.9674367899999998</v>
          </cell>
          <cell r="E68">
            <v>-3.9213307199999998</v>
          </cell>
          <cell r="F68">
            <v>-3.4413924200000001</v>
          </cell>
          <cell r="G68">
            <v>-4.4194923599999996</v>
          </cell>
          <cell r="H68">
            <v>-5.3687915400000001</v>
          </cell>
          <cell r="I68">
            <v>-4.64476537</v>
          </cell>
          <cell r="J68">
            <v>-3.9751625800000001</v>
          </cell>
          <cell r="K68">
            <v>-3.9714434000000001</v>
          </cell>
          <cell r="L68">
            <v>-10.43367376</v>
          </cell>
          <cell r="M68">
            <v>-10.385480899999999</v>
          </cell>
          <cell r="N68">
            <v>0</v>
          </cell>
          <cell r="O68">
            <v>0</v>
          </cell>
          <cell r="P68">
            <v>-53.528969839999995</v>
          </cell>
        </row>
        <row r="69">
          <cell r="B69" t="str">
            <v>Valuation Measures</v>
          </cell>
          <cell r="C69" t="str">
            <v>Fixed Overheads Personnel</v>
          </cell>
          <cell r="D69">
            <v>0</v>
          </cell>
          <cell r="E69">
            <v>0</v>
          </cell>
          <cell r="F69">
            <v>-1</v>
          </cell>
          <cell r="G69">
            <v>0</v>
          </cell>
          <cell r="H69">
            <v>-2.8</v>
          </cell>
          <cell r="I69">
            <v>-4.1048478900000003</v>
          </cell>
          <cell r="J69">
            <v>-6.7444600299999999</v>
          </cell>
          <cell r="K69">
            <v>-13.269529859999999</v>
          </cell>
          <cell r="L69">
            <v>-16.447683640000001</v>
          </cell>
          <cell r="M69">
            <v>-20.04041355</v>
          </cell>
          <cell r="N69">
            <v>0</v>
          </cell>
          <cell r="O69">
            <v>0</v>
          </cell>
          <cell r="P69">
            <v>-64.406934969999995</v>
          </cell>
        </row>
        <row r="70">
          <cell r="B70" t="str">
            <v>Operating Profit</v>
          </cell>
          <cell r="C70">
            <v>0</v>
          </cell>
          <cell r="D70">
            <v>-2.0152765099999916</v>
          </cell>
          <cell r="E70">
            <v>8.5674481100000222</v>
          </cell>
          <cell r="F70">
            <v>13.426698480000027</v>
          </cell>
          <cell r="G70">
            <v>16.058364789999942</v>
          </cell>
          <cell r="H70">
            <v>6.5857296000000236</v>
          </cell>
          <cell r="I70">
            <v>10.59636078999997</v>
          </cell>
          <cell r="J70">
            <v>11.016510829999975</v>
          </cell>
          <cell r="K70">
            <v>11.277253280000011</v>
          </cell>
          <cell r="L70">
            <v>9.3434999999999704</v>
          </cell>
          <cell r="M70">
            <v>15.146548700000025</v>
          </cell>
          <cell r="N70">
            <v>0</v>
          </cell>
          <cell r="O70">
            <v>0</v>
          </cell>
          <cell r="P70">
            <v>100.00313806999996</v>
          </cell>
        </row>
        <row r="71">
          <cell r="F71">
            <v>13.181709128697744</v>
          </cell>
          <cell r="G71">
            <v>-0.44710624541566396</v>
          </cell>
          <cell r="H71">
            <v>1.2360387490962801</v>
          </cell>
          <cell r="I71">
            <v>1.1726716047989254</v>
          </cell>
          <cell r="J71">
            <v>0.99301037913145696</v>
          </cell>
          <cell r="K71">
            <v>3.274589233276656</v>
          </cell>
          <cell r="L71">
            <v>2.4928716990974946</v>
          </cell>
          <cell r="M71">
            <v>4.3641156832068209</v>
          </cell>
          <cell r="N71">
            <v>5.9653173715848018</v>
          </cell>
          <cell r="O71">
            <v>5.4659010204985972</v>
          </cell>
          <cell r="P71">
            <v>8.5615772341108336</v>
          </cell>
        </row>
        <row r="72">
          <cell r="B72" t="str">
            <v>Other Result</v>
          </cell>
          <cell r="F72">
            <v>15.088799283688401</v>
          </cell>
          <cell r="G72">
            <v>2.0226726617218018</v>
          </cell>
          <cell r="H72">
            <v>0.48032380805934466</v>
          </cell>
          <cell r="I72">
            <v>1.169398836825259</v>
          </cell>
          <cell r="J72">
            <v>1.2980679848193215</v>
          </cell>
          <cell r="K72">
            <v>1.4834861587442594</v>
          </cell>
          <cell r="L72">
            <v>3.7696225489589424E-2</v>
          </cell>
          <cell r="M72">
            <v>0.43062155525228107</v>
          </cell>
          <cell r="N72">
            <v>-1.054105562435647</v>
          </cell>
          <cell r="O72">
            <v>1.2978190778841665</v>
          </cell>
          <cell r="P72">
            <v>0.9224606874521466</v>
          </cell>
        </row>
        <row r="73">
          <cell r="C73" t="str">
            <v>Other Income</v>
          </cell>
          <cell r="F73">
            <v>17.852316883129099</v>
          </cell>
          <cell r="G73">
            <v>2.1848212910007216</v>
          </cell>
          <cell r="H73">
            <v>0.49545288489674882</v>
          </cell>
          <cell r="I73">
            <v>1.1050774080611778</v>
          </cell>
          <cell r="J73">
            <v>1.5224163608312842</v>
          </cell>
          <cell r="K73">
            <v>1.8982135605085988</v>
          </cell>
          <cell r="L73">
            <v>0.5323654687004441</v>
          </cell>
          <cell r="M73">
            <v>0.76103537338760108</v>
          </cell>
          <cell r="N73">
            <v>-0.11444873050569983</v>
          </cell>
          <cell r="O73">
            <v>0.14887820419589598</v>
          </cell>
          <cell r="P73">
            <v>1.0888567636673954</v>
          </cell>
        </row>
        <row r="74">
          <cell r="D74">
            <v>10.110444999999997</v>
          </cell>
          <cell r="E74">
            <v>10.015031578947369</v>
          </cell>
          <cell r="F74">
            <v>9.7693521739130453</v>
          </cell>
          <cell r="G74">
            <v>3.1125007780316558E-2</v>
          </cell>
          <cell r="H74">
            <v>-0.16376204367806058</v>
          </cell>
          <cell r="I74">
            <v>-7.9402171503016511E-2</v>
          </cell>
          <cell r="J74">
            <v>0.63932554518260531</v>
          </cell>
          <cell r="K74">
            <v>0.68241540783302246</v>
          </cell>
          <cell r="L74">
            <v>0.21225177826914957</v>
          </cell>
          <cell r="M74">
            <v>9.9775511253027666E-2</v>
          </cell>
          <cell r="N74">
            <v>-0.82614143340697666</v>
          </cell>
          <cell r="O74">
            <v>-0.76138580376272602</v>
          </cell>
          <cell r="P74">
            <v>-0.16715147326265029</v>
          </cell>
        </row>
        <row r="75">
          <cell r="B75" t="str">
            <v xml:space="preserve">  -  In Mio USD -</v>
          </cell>
          <cell r="D75">
            <v>36161</v>
          </cell>
          <cell r="E75">
            <v>36192</v>
          </cell>
          <cell r="F75">
            <v>36220</v>
          </cell>
          <cell r="G75">
            <v>36251</v>
          </cell>
          <cell r="H75">
            <v>36281</v>
          </cell>
          <cell r="I75">
            <v>36312</v>
          </cell>
          <cell r="J75">
            <v>36342</v>
          </cell>
          <cell r="K75">
            <v>36373</v>
          </cell>
          <cell r="L75">
            <v>36404</v>
          </cell>
          <cell r="M75">
            <v>36434</v>
          </cell>
          <cell r="N75">
            <v>36465</v>
          </cell>
          <cell r="O75">
            <v>36495</v>
          </cell>
          <cell r="P75" t="str">
            <v>TOTAL</v>
          </cell>
        </row>
        <row r="76">
          <cell r="B76" t="str">
            <v>Turnover, net</v>
          </cell>
          <cell r="C76" t="str">
            <v>Other Expenses</v>
          </cell>
          <cell r="D76">
            <v>15.585669302389761</v>
          </cell>
          <cell r="E76">
            <v>31.1349398214053</v>
          </cell>
          <cell r="F76">
            <v>30.901599605153827</v>
          </cell>
          <cell r="G76">
            <v>37.207204051202162</v>
          </cell>
          <cell r="H76">
            <v>40.971791482202939</v>
          </cell>
          <cell r="I76">
            <v>39.331365508423509</v>
          </cell>
          <cell r="J76">
            <v>43.818357217607691</v>
          </cell>
          <cell r="K76">
            <v>48.683085984457165</v>
          </cell>
          <cell r="L76">
            <v>53.931994255144133</v>
          </cell>
          <cell r="M76">
            <v>60.524401388850059</v>
          </cell>
          <cell r="N76">
            <v>0</v>
          </cell>
          <cell r="O76">
            <v>0</v>
          </cell>
          <cell r="P76">
            <v>397.97119011892084</v>
          </cell>
        </row>
        <row r="77">
          <cell r="B77" t="str">
            <v>Material Cost</v>
          </cell>
          <cell r="D77">
            <v>-12.394528694829953</v>
          </cell>
          <cell r="E77">
            <v>-25.14377867158629</v>
          </cell>
          <cell r="F77">
            <v>-24.549487772630552</v>
          </cell>
          <cell r="G77">
            <v>-31.177650741021285</v>
          </cell>
          <cell r="H77">
            <v>-32.056069335411543</v>
          </cell>
          <cell r="I77">
            <v>-30.322966875049129</v>
          </cell>
          <cell r="J77">
            <v>-34.222781122683443</v>
          </cell>
          <cell r="K77">
            <v>-38.387720264502974</v>
          </cell>
          <cell r="L77">
            <v>-41.966776401201145</v>
          </cell>
          <cell r="M77">
            <v>-47.515381420505356</v>
          </cell>
          <cell r="N77">
            <v>0</v>
          </cell>
          <cell r="O77">
            <v>0</v>
          </cell>
          <cell r="P77">
            <v>-314.52685216109762</v>
          </cell>
        </row>
        <row r="78">
          <cell r="B78" t="str">
            <v>Other Direct Cost &amp; Variable Overheads</v>
          </cell>
          <cell r="D78">
            <v>-1.202463466247035</v>
          </cell>
          <cell r="E78">
            <v>-1.6604188353191203</v>
          </cell>
          <cell r="F78">
            <v>-2.1416910614873217</v>
          </cell>
          <cell r="G78">
            <v>-2.0755316652348563</v>
          </cell>
          <cell r="H78">
            <v>-2.4719216089715017</v>
          </cell>
          <cell r="I78">
            <v>-2.7172827982288368</v>
          </cell>
          <cell r="J78">
            <v>-3.6019843926436819</v>
          </cell>
          <cell r="K78">
            <v>-3.1970552329878084</v>
          </cell>
          <cell r="L78">
            <v>-4.6518086470982158</v>
          </cell>
          <cell r="M78">
            <v>-3.9663517047042709</v>
          </cell>
          <cell r="N78">
            <v>-0.1</v>
          </cell>
          <cell r="O78">
            <v>-0.1</v>
          </cell>
          <cell r="P78">
            <v>-26.58389016622926</v>
          </cell>
        </row>
        <row r="79">
          <cell r="B79" t="str">
            <v>Contribution Margin</v>
          </cell>
          <cell r="C79">
            <v>0</v>
          </cell>
          <cell r="D79">
            <v>1.9886771413127728</v>
          </cell>
          <cell r="E79">
            <v>4.3307423144998909</v>
          </cell>
          <cell r="F79">
            <v>4.3104207710359521</v>
          </cell>
          <cell r="G79">
            <v>4.0540216449460225</v>
          </cell>
          <cell r="H79">
            <v>6.5438005378198998</v>
          </cell>
          <cell r="I79">
            <v>6.3911158351455422</v>
          </cell>
          <cell r="J79">
            <v>6.0935917022805661</v>
          </cell>
          <cell r="K79">
            <v>7.1983104869663803</v>
          </cell>
          <cell r="L79">
            <v>7.4134092068447757</v>
          </cell>
          <cell r="M79">
            <v>9.1426682636404308</v>
          </cell>
          <cell r="N79">
            <v>0</v>
          </cell>
          <cell r="O79">
            <v>0</v>
          </cell>
          <cell r="P79">
            <v>56.860447791593984</v>
          </cell>
        </row>
        <row r="80">
          <cell r="B80" t="str">
            <v>Fixed Overheads Personnel</v>
          </cell>
          <cell r="C80" t="str">
            <v>Valuation Measures</v>
          </cell>
          <cell r="D80">
            <v>-1.2572026612082856</v>
          </cell>
          <cell r="E80">
            <v>-1.4300625491892187</v>
          </cell>
          <cell r="F80">
            <v>-1.4536211928074974</v>
          </cell>
          <cell r="G80">
            <v>-1.5765444647173934</v>
          </cell>
          <cell r="H80">
            <v>-1.8927648734756934</v>
          </cell>
          <cell r="I80">
            <v>-2.0480078371367938</v>
          </cell>
          <cell r="J80">
            <v>-1.8252580531736127</v>
          </cell>
          <cell r="K80">
            <v>-1.9771753708690758</v>
          </cell>
          <cell r="L80">
            <v>-2.069243316678032</v>
          </cell>
          <cell r="M80">
            <v>-1.8466955029209524</v>
          </cell>
          <cell r="N80">
            <v>0</v>
          </cell>
          <cell r="O80">
            <v>0</v>
          </cell>
          <cell r="P80">
            <v>-17.246609829695217</v>
          </cell>
        </row>
        <row r="81">
          <cell r="B81" t="str">
            <v>Other Fixed Overheads</v>
          </cell>
          <cell r="D81">
            <v>-0.99639233287951257</v>
          </cell>
          <cell r="E81">
            <v>-2.193030200340961</v>
          </cell>
          <cell r="F81">
            <v>-2.204066841555512</v>
          </cell>
          <cell r="G81">
            <v>-1.9351168796384957</v>
          </cell>
          <cell r="H81">
            <v>-2.8724321102752146</v>
          </cell>
          <cell r="I81">
            <v>-3.0203366405533578</v>
          </cell>
          <cell r="J81">
            <v>-1.9216432006707369</v>
          </cell>
          <cell r="K81">
            <v>-1.9867122549304115</v>
          </cell>
          <cell r="L81">
            <v>-2.4071380373857498</v>
          </cell>
          <cell r="M81">
            <v>-2.6122780212293155</v>
          </cell>
          <cell r="N81">
            <v>0</v>
          </cell>
          <cell r="O81">
            <v>0</v>
          </cell>
          <cell r="P81">
            <v>-22.021024224737381</v>
          </cell>
        </row>
        <row r="82">
          <cell r="B82" t="str">
            <v>Monetary Result</v>
          </cell>
          <cell r="D82">
            <v>1.2761007047662101</v>
          </cell>
          <cell r="E82">
            <v>0.37740981645484467</v>
          </cell>
          <cell r="F82">
            <v>0.65930529428545603</v>
          </cell>
          <cell r="G82">
            <v>0.48232466677994112</v>
          </cell>
          <cell r="H82">
            <v>0.66036463242612797</v>
          </cell>
          <cell r="I82">
            <v>0.16985921136059948</v>
          </cell>
          <cell r="J82">
            <v>0.35014607025857952</v>
          </cell>
          <cell r="K82">
            <v>0.38588309808200527</v>
          </cell>
          <cell r="L82">
            <v>0.48911803099476187</v>
          </cell>
          <cell r="M82">
            <v>0.68711161637690066</v>
          </cell>
          <cell r="N82">
            <v>0</v>
          </cell>
          <cell r="O82">
            <v>0</v>
          </cell>
          <cell r="P82">
            <v>5.5591586423396375</v>
          </cell>
        </row>
        <row r="83">
          <cell r="B83" t="str">
            <v>Other Income &amp; Expenses</v>
          </cell>
          <cell r="D83">
            <v>-7.7633664987050544E-2</v>
          </cell>
          <cell r="E83">
            <v>-0.1024176820526619</v>
          </cell>
          <cell r="F83">
            <v>-8.3942464699942251E-3</v>
          </cell>
          <cell r="G83">
            <v>0.226651349209752</v>
          </cell>
          <cell r="H83">
            <v>0.14539559164768598</v>
          </cell>
          <cell r="I83">
            <v>-0.14985678308486389</v>
          </cell>
          <cell r="J83">
            <v>-0.12212611324274214</v>
          </cell>
          <cell r="K83">
            <v>-0.95742404332416342</v>
          </cell>
          <cell r="L83">
            <v>0.20824746562168406</v>
          </cell>
          <cell r="M83">
            <v>-0.18247045610185597</v>
          </cell>
          <cell r="N83">
            <v>0</v>
          </cell>
          <cell r="O83">
            <v>0</v>
          </cell>
          <cell r="P83">
            <v>-1.0137353973069072</v>
          </cell>
        </row>
        <row r="84">
          <cell r="B84" t="str">
            <v>Exchange Rate Result Operating</v>
          </cell>
          <cell r="D84">
            <v>-0.83937328475650708</v>
          </cell>
          <cell r="E84">
            <v>0.26436174056260692</v>
          </cell>
          <cell r="F84">
            <v>0.52535066487876225</v>
          </cell>
          <cell r="G84">
            <v>0.91653081038334927</v>
          </cell>
          <cell r="H84">
            <v>-1.0076698976569798</v>
          </cell>
          <cell r="I84">
            <v>0.68473417140461668</v>
          </cell>
          <cell r="J84">
            <v>-0.21839876569749303</v>
          </cell>
          <cell r="K84">
            <v>0.37159412693898558</v>
          </cell>
          <cell r="L84">
            <v>0.24261227100234542</v>
          </cell>
          <cell r="M84">
            <v>-0.41148376949631038</v>
          </cell>
          <cell r="N84">
            <v>0</v>
          </cell>
          <cell r="O84">
            <v>0</v>
          </cell>
          <cell r="P84">
            <v>0.50310189628074531</v>
          </cell>
        </row>
        <row r="85">
          <cell r="B85" t="str">
            <v>Depreciation</v>
          </cell>
          <cell r="D85">
            <v>-0.29350209511055159</v>
          </cell>
          <cell r="E85">
            <v>-0.39154451876547669</v>
          </cell>
          <cell r="F85">
            <v>-0.35226413775823323</v>
          </cell>
          <cell r="G85">
            <v>-0.46786497898335655</v>
          </cell>
          <cell r="H85">
            <v>-0.57371843426170743</v>
          </cell>
          <cell r="I85">
            <v>-0.48678338564728701</v>
          </cell>
          <cell r="J85">
            <v>-0.42437556628407308</v>
          </cell>
          <cell r="K85">
            <v>-0.42258062001106617</v>
          </cell>
          <cell r="L85">
            <v>-1.1166755292441204</v>
          </cell>
          <cell r="M85">
            <v>-1.0885944033709747</v>
          </cell>
          <cell r="N85">
            <v>0</v>
          </cell>
          <cell r="O85">
            <v>0</v>
          </cell>
          <cell r="P85">
            <v>-5.5610391325359041</v>
          </cell>
        </row>
        <row r="86">
          <cell r="B86" t="str">
            <v>Valuation Measures</v>
          </cell>
          <cell r="D86">
            <v>0</v>
          </cell>
          <cell r="E86">
            <v>0</v>
          </cell>
          <cell r="F86">
            <v>-0.10236093265941267</v>
          </cell>
          <cell r="G86">
            <v>0</v>
          </cell>
          <cell r="H86">
            <v>-0.29921288691584785</v>
          </cell>
          <cell r="I86">
            <v>-0.43019864175858735</v>
          </cell>
          <cell r="J86">
            <v>-0.72001685136398785</v>
          </cell>
          <cell r="K86">
            <v>-1.4119416017597419</v>
          </cell>
          <cell r="L86">
            <v>-1.7603316201001156</v>
          </cell>
          <cell r="M86">
            <v>-2.1006135625139755</v>
          </cell>
          <cell r="N86">
            <v>0</v>
          </cell>
          <cell r="O86">
            <v>0</v>
          </cell>
          <cell r="P86">
            <v>-6.6911335459181549</v>
          </cell>
        </row>
        <row r="87">
          <cell r="B87" t="str">
            <v>Operating Profit</v>
          </cell>
          <cell r="C87">
            <v>0</v>
          </cell>
          <cell r="D87">
            <v>-0.19932619286292466</v>
          </cell>
          <cell r="E87">
            <v>0.85545892116902389</v>
          </cell>
          <cell r="F87">
            <v>1.3743693789495213</v>
          </cell>
          <cell r="G87">
            <v>1.7000021479798182</v>
          </cell>
          <cell r="H87">
            <v>0.70376255930827114</v>
          </cell>
          <cell r="I87">
            <v>1.1105259297298684</v>
          </cell>
          <cell r="J87">
            <v>1.1760872487272869</v>
          </cell>
          <cell r="K87">
            <v>1.1999538210929139</v>
          </cell>
          <cell r="L87">
            <v>0.99999847105554962</v>
          </cell>
          <cell r="M87">
            <v>1.587644164383947</v>
          </cell>
          <cell r="N87">
            <v>0</v>
          </cell>
          <cell r="O87">
            <v>0</v>
          </cell>
          <cell r="P87">
            <v>10.389166200020801</v>
          </cell>
        </row>
        <row r="88">
          <cell r="D88" t="str">
            <v>Interest Income</v>
          </cell>
          <cell r="F88">
            <v>4.747816044643856</v>
          </cell>
          <cell r="G88">
            <v>0.54020408311206014</v>
          </cell>
          <cell r="H88">
            <v>0.20087645453453173</v>
          </cell>
          <cell r="I88">
            <v>0.4023611201455779</v>
          </cell>
          <cell r="J88">
            <v>0.27400900788695054</v>
          </cell>
          <cell r="K88">
            <v>0.42373058734836566</v>
          </cell>
          <cell r="L88">
            <v>0.24218608571580483</v>
          </cell>
          <cell r="M88">
            <v>0.29488775091070424</v>
          </cell>
          <cell r="N88">
            <v>0.25074937992502061</v>
          </cell>
          <cell r="O88">
            <v>0.15640215725624004</v>
          </cell>
          <cell r="P88">
            <v>0.34633067610887447</v>
          </cell>
        </row>
        <row r="89">
          <cell r="D89" t="str">
            <v>Interest Expenses</v>
          </cell>
          <cell r="F89">
            <v>-12.182032823280274</v>
          </cell>
          <cell r="G89">
            <v>-1.7662284828727892</v>
          </cell>
          <cell r="H89">
            <v>-1.5113464026232926</v>
          </cell>
          <cell r="I89">
            <v>-2.0817470160668026</v>
          </cell>
          <cell r="J89">
            <v>-1.460491161404146</v>
          </cell>
          <cell r="K89">
            <v>-1.2511206919947346</v>
          </cell>
          <cell r="L89">
            <v>-1.3318320791932192</v>
          </cell>
          <cell r="M89">
            <v>-1.4717680727467339</v>
          </cell>
          <cell r="N89">
            <v>-1.6735015747020916</v>
          </cell>
          <cell r="O89">
            <v>-1.4295288252092233</v>
          </cell>
          <cell r="P89">
            <v>-1.3824902371064813</v>
          </cell>
        </row>
        <row r="90">
          <cell r="C90" t="str">
            <v>Other Financial Result</v>
          </cell>
          <cell r="F90">
            <v>-25.99157481026813</v>
          </cell>
          <cell r="G90">
            <v>-3.4109295353667508</v>
          </cell>
          <cell r="H90">
            <v>2.6443056714359288</v>
          </cell>
          <cell r="I90">
            <v>4.8893661420945076</v>
          </cell>
          <cell r="J90">
            <v>2.4996509651988856</v>
          </cell>
          <cell r="K90">
            <v>-2.6986045751460921</v>
          </cell>
          <cell r="L90">
            <v>0.20271895610394225</v>
          </cell>
          <cell r="M90">
            <v>-0.32838127955856083</v>
          </cell>
          <cell r="N90">
            <v>0.6841615053042458</v>
          </cell>
          <cell r="O90">
            <v>1.2317806628087404</v>
          </cell>
          <cell r="P90">
            <v>-1.5813679916556589</v>
          </cell>
        </row>
        <row r="91">
          <cell r="B91" t="str">
            <v>Taxes</v>
          </cell>
          <cell r="D91">
            <v>5.9906060527289489</v>
          </cell>
          <cell r="E91">
            <v>5.7337464097963942</v>
          </cell>
          <cell r="F91">
            <v>5.4378190397928448</v>
          </cell>
          <cell r="G91">
            <v>-2.8691788190896253E-2</v>
          </cell>
          <cell r="H91">
            <v>-0.14918244004278775</v>
          </cell>
          <cell r="I91">
            <v>-3.7365259585346693E-2</v>
          </cell>
          <cell r="J91">
            <v>-0.61371341003761071</v>
          </cell>
          <cell r="K91">
            <v>-0.58092923418689413</v>
          </cell>
          <cell r="L91">
            <v>-6.0187765088922305</v>
          </cell>
          <cell r="M91">
            <v>-0.61691258204327515</v>
          </cell>
          <cell r="N91">
            <v>-4.8924186485687002</v>
          </cell>
          <cell r="O91">
            <v>-4.8936116071263731</v>
          </cell>
          <cell r="P91">
            <v>-4.169522727892911</v>
          </cell>
        </row>
        <row r="92">
          <cell r="B92" t="str">
            <v xml:space="preserve">  -  In Mio DEM -</v>
          </cell>
          <cell r="C92" t="str">
            <v>Taxes on Income</v>
          </cell>
          <cell r="D92">
            <v>36161</v>
          </cell>
          <cell r="E92">
            <v>36192</v>
          </cell>
          <cell r="F92">
            <v>36220</v>
          </cell>
          <cell r="G92">
            <v>36251</v>
          </cell>
          <cell r="H92">
            <v>36281</v>
          </cell>
          <cell r="I92">
            <v>36312</v>
          </cell>
          <cell r="J92">
            <v>36342</v>
          </cell>
          <cell r="K92">
            <v>36373</v>
          </cell>
          <cell r="L92">
            <v>36404</v>
          </cell>
          <cell r="M92">
            <v>36434</v>
          </cell>
          <cell r="N92">
            <v>36465</v>
          </cell>
          <cell r="O92">
            <v>36495</v>
          </cell>
          <cell r="P92" t="str">
            <v>TOTAL</v>
          </cell>
        </row>
        <row r="93">
          <cell r="B93" t="str">
            <v>Turnover, net</v>
          </cell>
          <cell r="C93" t="str">
            <v>Tax Reimbursement</v>
          </cell>
          <cell r="D93">
            <v>26.304192077230184</v>
          </cell>
          <cell r="E93">
            <v>54.382838590008845</v>
          </cell>
          <cell r="F93">
            <v>55.516486861890968</v>
          </cell>
          <cell r="G93">
            <v>68.12286917221671</v>
          </cell>
          <cell r="H93">
            <v>75.433216665254477</v>
          </cell>
          <cell r="I93">
            <v>74.123201572358596</v>
          </cell>
          <cell r="J93">
            <v>82.752094950775131</v>
          </cell>
          <cell r="K93">
            <v>89.787288487277962</v>
          </cell>
          <cell r="L93">
            <v>100.36913410868434</v>
          </cell>
          <cell r="M93">
            <v>110.63580482091174</v>
          </cell>
          <cell r="N93">
            <v>0</v>
          </cell>
          <cell r="O93">
            <v>0</v>
          </cell>
          <cell r="P93">
            <v>720.69502077342395</v>
          </cell>
        </row>
        <row r="94">
          <cell r="B94" t="str">
            <v>Material Cost</v>
          </cell>
          <cell r="D94">
            <v>-20.918451249671911</v>
          </cell>
          <cell r="E94">
            <v>-43.918185321164557</v>
          </cell>
          <cell r="F94">
            <v>-44.104555518481632</v>
          </cell>
          <cell r="G94">
            <v>-57.083327723439481</v>
          </cell>
          <cell r="H94">
            <v>-59.018469442930602</v>
          </cell>
          <cell r="I94">
            <v>-57.146131513533348</v>
          </cell>
          <cell r="J94">
            <v>-64.630602623457079</v>
          </cell>
          <cell r="K94">
            <v>-70.799318573565316</v>
          </cell>
          <cell r="L94">
            <v>-78.101488122137482</v>
          </cell>
          <cell r="M94">
            <v>-86.855918343682205</v>
          </cell>
          <cell r="N94">
            <v>0</v>
          </cell>
          <cell r="O94">
            <v>0</v>
          </cell>
          <cell r="P94">
            <v>-569.58378365103897</v>
          </cell>
        </row>
        <row r="95">
          <cell r="B95" t="str">
            <v>Other Direct Cost &amp; Variable Overheads</v>
          </cell>
          <cell r="D95">
            <v>-2.0294174968260221</v>
          </cell>
          <cell r="E95">
            <v>-2.90022367253429</v>
          </cell>
          <cell r="F95">
            <v>-3.6680144859619763</v>
          </cell>
          <cell r="G95">
            <v>-3.6170115064589838</v>
          </cell>
          <cell r="H95">
            <v>-4.3669478480155082</v>
          </cell>
          <cell r="I95">
            <v>-4.9324852548898663</v>
          </cell>
          <cell r="J95">
            <v>-6.6135876234933901</v>
          </cell>
          <cell r="K95">
            <v>-5.7119672272643189</v>
          </cell>
          <cell r="L95">
            <v>-8.4710587629363179</v>
          </cell>
          <cell r="M95">
            <v>-7.0675119911134452</v>
          </cell>
          <cell r="N95">
            <v>0</v>
          </cell>
          <cell r="O95">
            <v>0</v>
          </cell>
          <cell r="P95">
            <v>-48.141367393614615</v>
          </cell>
        </row>
        <row r="96">
          <cell r="B96" t="str">
            <v>Contribution Margin</v>
          </cell>
          <cell r="C96">
            <v>0</v>
          </cell>
          <cell r="D96">
            <v>3.3563233307322515</v>
          </cell>
          <cell r="E96">
            <v>7.5644295963099957</v>
          </cell>
          <cell r="F96">
            <v>7.7439168574473598</v>
          </cell>
          <cell r="G96">
            <v>7.4225299423182411</v>
          </cell>
          <cell r="H96">
            <v>12.047799374308362</v>
          </cell>
          <cell r="I96">
            <v>12.044584803935381</v>
          </cell>
          <cell r="J96">
            <v>11.507904703824661</v>
          </cell>
          <cell r="K96">
            <v>13.276002686448338</v>
          </cell>
          <cell r="L96">
            <v>13.796587223610537</v>
          </cell>
          <cell r="M96">
            <v>16.712374486116087</v>
          </cell>
          <cell r="N96">
            <v>0</v>
          </cell>
          <cell r="O96">
            <v>0</v>
          </cell>
          <cell r="P96">
            <v>102.96986972877045</v>
          </cell>
        </row>
        <row r="97">
          <cell r="B97" t="str">
            <v>Fixed Overheads Personnel</v>
          </cell>
          <cell r="D97">
            <v>-2.1218017422811024</v>
          </cell>
          <cell r="E97">
            <v>-2.4978644966805534</v>
          </cell>
          <cell r="F97">
            <v>-2.6115134130210018</v>
          </cell>
          <cell r="G97">
            <v>-2.8865037041302588</v>
          </cell>
          <cell r="H97">
            <v>-3.4847717815632651</v>
          </cell>
          <cell r="I97">
            <v>-3.8596396481924584</v>
          </cell>
          <cell r="J97">
            <v>-3.4470467931005686</v>
          </cell>
          <cell r="K97">
            <v>-3.6465481146951162</v>
          </cell>
          <cell r="L97">
            <v>-3.8509267610727465</v>
          </cell>
          <cell r="M97">
            <v>-3.3756739188907781</v>
          </cell>
          <cell r="N97">
            <v>0</v>
          </cell>
          <cell r="O97">
            <v>0</v>
          </cell>
          <cell r="P97">
            <v>-31.232275446293396</v>
          </cell>
        </row>
        <row r="98">
          <cell r="B98" t="str">
            <v>Other Fixed Overheads</v>
          </cell>
          <cell r="D98">
            <v>-1.6816278338668127</v>
          </cell>
          <cell r="E98">
            <v>-3.8305263505331615</v>
          </cell>
          <cell r="F98">
            <v>-3.9597318396274321</v>
          </cell>
          <cell r="G98">
            <v>-3.5430158590565255</v>
          </cell>
          <cell r="H98">
            <v>-5.2884383594684419</v>
          </cell>
          <cell r="I98">
            <v>-5.6920734566454279</v>
          </cell>
          <cell r="J98">
            <v>-3.6967422275172703</v>
          </cell>
          <cell r="K98">
            <v>-3.6641372001684211</v>
          </cell>
          <cell r="L98">
            <v>-4.4797594420391942</v>
          </cell>
          <cell r="M98">
            <v>-4.7751233331144753</v>
          </cell>
          <cell r="N98">
            <v>0</v>
          </cell>
          <cell r="O98">
            <v>0</v>
          </cell>
          <cell r="P98">
            <v>-39.878370357303524</v>
          </cell>
        </row>
        <row r="99">
          <cell r="B99" t="str">
            <v>Monetary Result</v>
          </cell>
          <cell r="D99">
            <v>2.153696283220405</v>
          </cell>
          <cell r="E99">
            <v>0.65921492857480934</v>
          </cell>
          <cell r="F99">
            <v>1.1844795795641945</v>
          </cell>
          <cell r="G99">
            <v>0.88309081564867886</v>
          </cell>
          <cell r="H99">
            <v>1.2157981526755761</v>
          </cell>
          <cell r="I99">
            <v>0.32011369043129456</v>
          </cell>
          <cell r="J99">
            <v>0.66125986213457333</v>
          </cell>
          <cell r="K99">
            <v>0.71169270290127684</v>
          </cell>
          <cell r="L99">
            <v>0.91026400795862195</v>
          </cell>
          <cell r="M99">
            <v>1.2560082369300456</v>
          </cell>
          <cell r="N99">
            <v>0</v>
          </cell>
          <cell r="O99">
            <v>0</v>
          </cell>
          <cell r="P99">
            <v>10.067206000581409</v>
          </cell>
        </row>
        <row r="100">
          <cell r="B100" t="str">
            <v>Other Income &amp; Expenses</v>
          </cell>
          <cell r="D100">
            <v>-0.13102362149860336</v>
          </cell>
          <cell r="E100">
            <v>-0.17889112051546477</v>
          </cell>
          <cell r="F100">
            <v>0.14372360026709774</v>
          </cell>
          <cell r="G100">
            <v>-0.86367392119456809</v>
          </cell>
          <cell r="H100">
            <v>-1.0971428095973619</v>
          </cell>
          <cell r="I100">
            <v>-0.70692102148000424</v>
          </cell>
          <cell r="J100">
            <v>-0.43018932938834764</v>
          </cell>
          <cell r="K100">
            <v>-0.11351539852297055</v>
          </cell>
          <cell r="L100">
            <v>1.9103266774509962</v>
          </cell>
          <cell r="M100">
            <v>7.5539704740162916E-4</v>
          </cell>
          <cell r="N100">
            <v>0</v>
          </cell>
          <cell r="O100">
            <v>0</v>
          </cell>
          <cell r="P100">
            <v>-1.8357963374246822</v>
          </cell>
        </row>
        <row r="101">
          <cell r="B101" t="str">
            <v>Exchange Rate Result Operating</v>
          </cell>
          <cell r="D101">
            <v>-1.4166241871528349</v>
          </cell>
          <cell r="E101">
            <v>0.46175589061219335</v>
          </cell>
          <cell r="F101">
            <v>0.9438224447048752</v>
          </cell>
          <cell r="G101">
            <v>1.6780811694995752</v>
          </cell>
          <cell r="H101">
            <v>-1.8552223119174875</v>
          </cell>
          <cell r="I101">
            <v>1.2904380093194661</v>
          </cell>
          <cell r="J101">
            <v>-0.41245168791651343</v>
          </cell>
          <cell r="K101">
            <v>0.68533923848420375</v>
          </cell>
          <cell r="L101">
            <v>0.45150905137026803</v>
          </cell>
          <cell r="M101">
            <v>-0.75217328819965024</v>
          </cell>
          <cell r="N101">
            <v>0</v>
          </cell>
          <cell r="O101">
            <v>0</v>
          </cell>
          <cell r="P101">
            <v>0.91107859210324871</v>
          </cell>
        </row>
        <row r="102">
          <cell r="B102" t="str">
            <v>Depreciation</v>
          </cell>
          <cell r="D102">
            <v>-0.49534834437130437</v>
          </cell>
          <cell r="E102">
            <v>-0.68390375850948149</v>
          </cell>
          <cell r="F102">
            <v>-0.6328626228303289</v>
          </cell>
          <cell r="G102">
            <v>-0.8566164958185114</v>
          </cell>
          <cell r="H102">
            <v>-1.0562737286045327</v>
          </cell>
          <cell r="I102">
            <v>-0.91738343050107007</v>
          </cell>
          <cell r="J102">
            <v>-0.80144417513253996</v>
          </cell>
          <cell r="K102">
            <v>-0.77937475143174118</v>
          </cell>
          <cell r="L102">
            <v>-2.0781682097709342</v>
          </cell>
          <cell r="M102">
            <v>-1.9899001919360626</v>
          </cell>
          <cell r="N102">
            <v>0</v>
          </cell>
          <cell r="O102">
            <v>0</v>
          </cell>
          <cell r="P102">
            <v>-10.070611422769526</v>
          </cell>
        </row>
        <row r="103">
          <cell r="B103" t="str">
            <v>Valuation Measures</v>
          </cell>
          <cell r="D103">
            <v>0</v>
          </cell>
          <cell r="E103">
            <v>0</v>
          </cell>
          <cell r="F103">
            <v>-0.18389725599219192</v>
          </cell>
          <cell r="G103">
            <v>0</v>
          </cell>
          <cell r="H103">
            <v>-0.55088122123152716</v>
          </cell>
          <cell r="I103">
            <v>-0.81074481465428239</v>
          </cell>
          <cell r="J103">
            <v>-1.3597703481747243</v>
          </cell>
          <cell r="K103">
            <v>-2.6040750162154058</v>
          </cell>
          <cell r="L103">
            <v>-3.2760323977215751</v>
          </cell>
          <cell r="M103">
            <v>-3.8398243811341537</v>
          </cell>
          <cell r="N103">
            <v>0</v>
          </cell>
          <cell r="O103">
            <v>0</v>
          </cell>
          <cell r="P103">
            <v>-12.117124931662165</v>
          </cell>
        </row>
        <row r="104">
          <cell r="B104" t="str">
            <v>Operating Profit</v>
          </cell>
          <cell r="C104">
            <v>0</v>
          </cell>
          <cell r="D104">
            <v>-0.33640611521800146</v>
          </cell>
          <cell r="E104">
            <v>1.4942146892583366</v>
          </cell>
          <cell r="F104">
            <v>2.4691330075065392</v>
          </cell>
          <cell r="G104">
            <v>3.1125430376318417</v>
          </cell>
          <cell r="H104">
            <v>1.2956981302673678</v>
          </cell>
          <cell r="I104">
            <v>2.0928776887511975</v>
          </cell>
          <cell r="J104">
            <v>2.2210710272353245</v>
          </cell>
          <cell r="K104">
            <v>2.2131012799862124</v>
          </cell>
          <cell r="L104">
            <v>1.8610285422605222</v>
          </cell>
          <cell r="M104">
            <v>2.9021400602931129</v>
          </cell>
          <cell r="N104">
            <v>0</v>
          </cell>
          <cell r="O104">
            <v>0</v>
          </cell>
          <cell r="P104">
            <v>18.813975826001808</v>
          </cell>
        </row>
        <row r="108">
          <cell r="B108" t="str">
            <v>Operating Profit CARS MBMex 99</v>
          </cell>
          <cell r="C108" t="str">
            <v>Cost of Supply</v>
          </cell>
          <cell r="F108">
            <v>-37.890048917357994</v>
          </cell>
          <cell r="G108">
            <v>-1.0282885817587657</v>
          </cell>
          <cell r="H108">
            <v>-2.415308561867004</v>
          </cell>
          <cell r="I108">
            <v>-2.394674171176852</v>
          </cell>
          <cell r="J108">
            <v>-2.9302084387341418</v>
          </cell>
          <cell r="K108">
            <v>-2.7049269378614214</v>
          </cell>
          <cell r="L108">
            <v>-2.4042793984332018</v>
          </cell>
          <cell r="M108">
            <v>-2.9574825505554028</v>
          </cell>
          <cell r="N108">
            <v>-3.2979751805979567</v>
          </cell>
          <cell r="O108">
            <v>-3.7419091725964235</v>
          </cell>
          <cell r="P108">
            <v>-4.5751060358201023</v>
          </cell>
        </row>
        <row r="109">
          <cell r="B109" t="str">
            <v>Other Direct Cost</v>
          </cell>
          <cell r="F109">
            <v>-12.077336445128626</v>
          </cell>
          <cell r="G109">
            <v>-0.81771622614039274</v>
          </cell>
          <cell r="H109">
            <v>-1.1296260826357853</v>
          </cell>
          <cell r="I109">
            <v>-1.3705076694596363</v>
          </cell>
          <cell r="J109">
            <v>-1.3205951237999658</v>
          </cell>
          <cell r="K109">
            <v>-1.7040669566690889</v>
          </cell>
          <cell r="L109">
            <v>-1.4600795346765532</v>
          </cell>
          <cell r="M109">
            <v>-1.8059750698650354</v>
          </cell>
          <cell r="N109">
            <v>-1.704269851362175</v>
          </cell>
          <cell r="O109">
            <v>-1.9227238403720839</v>
          </cell>
          <cell r="P109">
            <v>-2.0775486569208406</v>
          </cell>
        </row>
        <row r="110">
          <cell r="C110" t="str">
            <v>Direct Wages</v>
          </cell>
          <cell r="F110">
            <v>-4.226792118457551</v>
          </cell>
          <cell r="G110">
            <v>-0.60237662239397005</v>
          </cell>
          <cell r="H110">
            <v>-0.79056979676864669</v>
          </cell>
          <cell r="I110">
            <v>-0.87255772319912606</v>
          </cell>
          <cell r="J110">
            <v>-0.82515360808207838</v>
          </cell>
          <cell r="K110">
            <v>-1.149850300434164</v>
          </cell>
          <cell r="L110">
            <v>-1.1223878366127809</v>
          </cell>
          <cell r="M110">
            <v>-1.17661728334075</v>
          </cell>
          <cell r="N110">
            <v>-1.2066733849686784</v>
          </cell>
          <cell r="O110">
            <v>-1.2533712949853679</v>
          </cell>
          <cell r="P110">
            <v>-1.2797657179394006</v>
          </cell>
        </row>
        <row r="111">
          <cell r="B111" t="str">
            <v xml:space="preserve">  -  In Mio Mex Peso  -</v>
          </cell>
          <cell r="C111" t="str">
            <v>Licence Fees</v>
          </cell>
          <cell r="D111">
            <v>36161</v>
          </cell>
          <cell r="E111">
            <v>36192</v>
          </cell>
          <cell r="F111">
            <v>36220</v>
          </cell>
          <cell r="G111">
            <v>36251</v>
          </cell>
          <cell r="H111">
            <v>36281</v>
          </cell>
          <cell r="I111">
            <v>36312</v>
          </cell>
          <cell r="J111">
            <v>36342</v>
          </cell>
          <cell r="K111">
            <v>36373</v>
          </cell>
          <cell r="L111">
            <v>36404</v>
          </cell>
          <cell r="M111">
            <v>36434</v>
          </cell>
          <cell r="N111">
            <v>36465</v>
          </cell>
          <cell r="O111">
            <v>36495</v>
          </cell>
          <cell r="P111" t="str">
            <v>TOTAL</v>
          </cell>
        </row>
        <row r="112">
          <cell r="B112" t="str">
            <v>Turnover, net</v>
          </cell>
          <cell r="C112" t="str">
            <v>Direct Selling Expenses</v>
          </cell>
          <cell r="D112">
            <v>40.139235020000001</v>
          </cell>
          <cell r="E112">
            <v>45.582418019999999</v>
          </cell>
          <cell r="F112">
            <v>56.566418159999998</v>
          </cell>
          <cell r="G112">
            <v>51.781023910000002</v>
          </cell>
          <cell r="H112">
            <v>27.54458443</v>
          </cell>
          <cell r="I112">
            <v>30.167735749999999</v>
          </cell>
          <cell r="J112">
            <v>7.2665051500000004</v>
          </cell>
          <cell r="K112">
            <v>0.97523959999999998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260.02316003999999</v>
          </cell>
        </row>
        <row r="113">
          <cell r="B113" t="str">
            <v>Material Cost</v>
          </cell>
          <cell r="D113">
            <v>-35.760598970000004</v>
          </cell>
          <cell r="E113">
            <v>-39.477209730000006</v>
          </cell>
          <cell r="F113">
            <v>-48.779026960000003</v>
          </cell>
          <cell r="G113">
            <v>-44.780384819999995</v>
          </cell>
          <cell r="H113">
            <v>-26.579403639999999</v>
          </cell>
          <cell r="I113">
            <v>-30.471130299999999</v>
          </cell>
          <cell r="J113">
            <v>-7.0024081799999998</v>
          </cell>
          <cell r="K113">
            <v>-0.96419591999999998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-233.81435852000004</v>
          </cell>
        </row>
        <row r="114">
          <cell r="B114" t="str">
            <v>Other Direct Cost &amp; Variable Overheads</v>
          </cell>
          <cell r="C114" t="str">
            <v>Variable Overheads Personnel</v>
          </cell>
          <cell r="D114">
            <v>-1.2682438</v>
          </cell>
          <cell r="E114">
            <v>-1.3952489100000001</v>
          </cell>
          <cell r="F114">
            <v>-1.5942802600000001</v>
          </cell>
          <cell r="G114">
            <v>-1.47803934</v>
          </cell>
          <cell r="H114">
            <v>-0.43203686000000002</v>
          </cell>
          <cell r="I114">
            <v>-0.43480844999999996</v>
          </cell>
          <cell r="J114">
            <v>0</v>
          </cell>
          <cell r="K114">
            <v>0.87752399999999997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-5.6251336200000006</v>
          </cell>
        </row>
        <row r="115">
          <cell r="B115" t="str">
            <v>Contribution Margin</v>
          </cell>
          <cell r="C115">
            <v>0</v>
          </cell>
          <cell r="D115">
            <v>3.2103922499999973</v>
          </cell>
          <cell r="E115">
            <v>4.7099593799999928</v>
          </cell>
          <cell r="F115">
            <v>6.1931109399999942</v>
          </cell>
          <cell r="G115">
            <v>5.5225997500000066</v>
          </cell>
          <cell r="H115">
            <v>0.5331439300000016</v>
          </cell>
          <cell r="I115">
            <v>-0.73820300000000016</v>
          </cell>
          <cell r="J115">
            <v>0.26409697000000065</v>
          </cell>
          <cell r="K115">
            <v>0.88856767999999997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20.583667899999998</v>
          </cell>
        </row>
        <row r="116">
          <cell r="B116" t="str">
            <v>Fixed Overheads Personnel</v>
          </cell>
          <cell r="D116">
            <v>-1.7925006000000001</v>
          </cell>
          <cell r="E116">
            <v>-1.79638985</v>
          </cell>
          <cell r="F116">
            <v>-2.09797476</v>
          </cell>
          <cell r="G116">
            <v>-2.5182905400000002</v>
          </cell>
          <cell r="H116">
            <v>-0.28805932000000001</v>
          </cell>
          <cell r="I116">
            <v>-0.13068562</v>
          </cell>
          <cell r="J116">
            <v>-0.47591622</v>
          </cell>
          <cell r="K116">
            <v>-0.27028978999999997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-9.3701067000000009</v>
          </cell>
        </row>
        <row r="117">
          <cell r="B117" t="str">
            <v>Other Fixed Overheads</v>
          </cell>
          <cell r="D117">
            <v>-1.8026903599999999</v>
          </cell>
          <cell r="E117">
            <v>-1.64593229</v>
          </cell>
          <cell r="F117">
            <v>-3.1037317199999999</v>
          </cell>
          <cell r="G117">
            <v>-1.7406576600000001</v>
          </cell>
          <cell r="H117">
            <v>-0.42372163000000002</v>
          </cell>
          <cell r="I117">
            <v>-0.70884391000000002</v>
          </cell>
          <cell r="J117">
            <v>-5.2000789999999998E-2</v>
          </cell>
          <cell r="K117">
            <v>1.5308468200000001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-7.9467315399999991</v>
          </cell>
        </row>
        <row r="118">
          <cell r="B118" t="str">
            <v>Monetary Result</v>
          </cell>
          <cell r="C118" t="str">
            <v>Fixed Overheads Personnel</v>
          </cell>
          <cell r="D118">
            <v>5.1928550299999996</v>
          </cell>
          <cell r="E118">
            <v>3.5651139700000001</v>
          </cell>
          <cell r="F118">
            <v>3.70611281</v>
          </cell>
          <cell r="G118">
            <v>-0.27999836</v>
          </cell>
          <cell r="H118">
            <v>1.8031410299999999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13.987224479999998</v>
          </cell>
        </row>
        <row r="119">
          <cell r="B119" t="str">
            <v>Other Income &amp; Expenses</v>
          </cell>
          <cell r="C119" t="str">
            <v>Other Fixed Overheads</v>
          </cell>
          <cell r="D119">
            <v>-0.41359609000000003</v>
          </cell>
          <cell r="E119">
            <v>-0.10615735</v>
          </cell>
          <cell r="F119">
            <v>-0.54024903999999996</v>
          </cell>
          <cell r="G119">
            <v>-0.54484230999999994</v>
          </cell>
          <cell r="H119">
            <v>-2.4017887400000006</v>
          </cell>
          <cell r="I119">
            <v>-0.39849340999999999</v>
          </cell>
          <cell r="J119">
            <v>-0.19785477000000001</v>
          </cell>
          <cell r="K119">
            <v>-0.19516873000000001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-4.7981504399999721</v>
          </cell>
        </row>
        <row r="120">
          <cell r="B120" t="str">
            <v>Exchange Rate Result Operating</v>
          </cell>
          <cell r="D120">
            <v>-4.7638197900000003</v>
          </cell>
          <cell r="E120">
            <v>0.43908997999999999</v>
          </cell>
          <cell r="F120">
            <v>-2.50112011</v>
          </cell>
          <cell r="G120">
            <v>-0.85648042000000002</v>
          </cell>
          <cell r="H120">
            <v>-0.40773162000000002</v>
          </cell>
          <cell r="I120">
            <v>-0.42534110000000003</v>
          </cell>
          <cell r="J120">
            <v>5.634045E-2</v>
          </cell>
          <cell r="K120">
            <v>5.542851E-2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-8.4036340999999997</v>
          </cell>
        </row>
        <row r="121">
          <cell r="B121" t="str">
            <v>Depreciation</v>
          </cell>
          <cell r="D121">
            <v>-8.6745489999999995E-2</v>
          </cell>
          <cell r="E121">
            <v>-5.6590689999999999E-2</v>
          </cell>
          <cell r="F121">
            <v>-0.15305949999999999</v>
          </cell>
          <cell r="G121">
            <v>-0.18293936999999999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-0.47933504999999993</v>
          </cell>
        </row>
        <row r="122">
          <cell r="B122" t="str">
            <v>Valuation Measures</v>
          </cell>
          <cell r="C122" t="str">
            <v>Other Income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B123" t="str">
            <v>Operating Profit</v>
          </cell>
          <cell r="C123">
            <v>0</v>
          </cell>
          <cell r="D123">
            <v>-0.4561050500000039</v>
          </cell>
          <cell r="E123">
            <v>5.1090931499999925</v>
          </cell>
          <cell r="F123">
            <v>1.5030886199999944</v>
          </cell>
          <cell r="G123">
            <v>-0.60060890999999406</v>
          </cell>
          <cell r="H123">
            <v>-1.1850163499999931</v>
          </cell>
          <cell r="I123">
            <v>-2.4015670400000002</v>
          </cell>
          <cell r="J123">
            <v>-0.40533435999999939</v>
          </cell>
          <cell r="K123">
            <v>2.00938449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3.5729345499999967</v>
          </cell>
        </row>
        <row r="124">
          <cell r="D124" t="str">
            <v>Monetary Result</v>
          </cell>
          <cell r="F124">
            <v>8.4619095441430918</v>
          </cell>
          <cell r="G124">
            <v>1.2761007047662101</v>
          </cell>
          <cell r="H124">
            <v>0.37740981645484467</v>
          </cell>
          <cell r="I124">
            <v>0.65930529428545603</v>
          </cell>
          <cell r="J124">
            <v>0.48232466677994112</v>
          </cell>
          <cell r="K124">
            <v>0.66036463242612797</v>
          </cell>
          <cell r="L124">
            <v>0.16985921136059948</v>
          </cell>
          <cell r="M124">
            <v>0.35014607025857952</v>
          </cell>
          <cell r="N124">
            <v>0.38588309808200527</v>
          </cell>
          <cell r="O124">
            <v>0.48911803099476187</v>
          </cell>
          <cell r="P124">
            <v>0.68711161637690066</v>
          </cell>
        </row>
        <row r="125">
          <cell r="C125" t="str">
            <v>Other Expenses</v>
          </cell>
          <cell r="F125">
            <v>-1.5774541866660816</v>
          </cell>
          <cell r="G125">
            <v>-9.6075747407755083E-2</v>
          </cell>
          <cell r="H125">
            <v>-8.6616092336992394E-3</v>
          </cell>
          <cell r="I125">
            <v>3.580260837908792E-2</v>
          </cell>
          <cell r="J125">
            <v>-0.12253411969085605</v>
          </cell>
          <cell r="K125">
            <v>-0.22526050695211983</v>
          </cell>
          <cell r="L125">
            <v>-0.26248214321272306</v>
          </cell>
          <cell r="M125">
            <v>-0.17495860039917335</v>
          </cell>
          <cell r="N125">
            <v>-0.50948631053949178</v>
          </cell>
          <cell r="O125">
            <v>0.6173678108267614</v>
          </cell>
          <cell r="P125">
            <v>-9.1028604371645797E-2</v>
          </cell>
        </row>
        <row r="126">
          <cell r="B126" t="str">
            <v>Exchange Rate Result Operating</v>
          </cell>
          <cell r="F126">
            <v>-3.8871872084104337</v>
          </cell>
          <cell r="G126">
            <v>-0.83937328475650708</v>
          </cell>
          <cell r="H126">
            <v>0.26436174056260692</v>
          </cell>
          <cell r="I126">
            <v>0.52535066487876225</v>
          </cell>
          <cell r="J126">
            <v>0.91653081038334927</v>
          </cell>
          <cell r="K126">
            <v>-1.0076698976569798</v>
          </cell>
          <cell r="L126">
            <v>0.68473417140461668</v>
          </cell>
          <cell r="M126">
            <v>-0.21839876569749303</v>
          </cell>
          <cell r="N126">
            <v>0.37159412693898558</v>
          </cell>
          <cell r="O126">
            <v>0.24261227100234542</v>
          </cell>
          <cell r="P126">
            <v>-0.41148376949631038</v>
          </cell>
        </row>
        <row r="127">
          <cell r="B127" t="str">
            <v>Valuation Measures</v>
          </cell>
          <cell r="D127">
            <v>10.110444999999997</v>
          </cell>
          <cell r="E127">
            <v>10.015031578947369</v>
          </cell>
          <cell r="F127">
            <v>9.7693521739130453</v>
          </cell>
          <cell r="G127">
            <v>9.4460850000000001</v>
          </cell>
          <cell r="H127">
            <v>9.3578857142857146</v>
          </cell>
          <cell r="I127">
            <v>9.5417499999999986</v>
          </cell>
          <cell r="J127">
            <v>-0.46786497898335655</v>
          </cell>
          <cell r="K127">
            <v>-0.87293132117755545</v>
          </cell>
          <cell r="L127">
            <v>-0.91698202740587431</v>
          </cell>
          <cell r="M127">
            <v>-1.1443924176480609</v>
          </cell>
          <cell r="N127">
            <v>-1.8345222217708077</v>
          </cell>
          <cell r="O127">
            <v>-2.877007149344236</v>
          </cell>
          <cell r="P127">
            <v>-3.1892079658849508</v>
          </cell>
        </row>
        <row r="128">
          <cell r="B128" t="str">
            <v xml:space="preserve">  -  In Mio USD -</v>
          </cell>
          <cell r="C128" t="str">
            <v>Depreciacion</v>
          </cell>
          <cell r="D128">
            <v>36161</v>
          </cell>
          <cell r="E128">
            <v>36192</v>
          </cell>
          <cell r="F128">
            <v>36220</v>
          </cell>
          <cell r="G128">
            <v>36251</v>
          </cell>
          <cell r="H128">
            <v>36281</v>
          </cell>
          <cell r="I128">
            <v>36312</v>
          </cell>
          <cell r="J128">
            <v>36342</v>
          </cell>
          <cell r="K128">
            <v>36373</v>
          </cell>
          <cell r="L128">
            <v>36404</v>
          </cell>
          <cell r="M128">
            <v>36434</v>
          </cell>
          <cell r="N128">
            <v>36465</v>
          </cell>
          <cell r="O128">
            <v>36495</v>
          </cell>
          <cell r="P128" t="str">
            <v>TOTAL</v>
          </cell>
        </row>
        <row r="129">
          <cell r="B129" t="str">
            <v>Turnover, net</v>
          </cell>
          <cell r="C129" t="str">
            <v>Valuation Measures</v>
          </cell>
          <cell r="D129">
            <v>3.9700759976440221</v>
          </cell>
          <cell r="E129">
            <v>4.5514003286638607</v>
          </cell>
          <cell r="F129">
            <v>5.7901913200599378</v>
          </cell>
          <cell r="G129">
            <v>5.4817444380396747</v>
          </cell>
          <cell r="H129">
            <v>2.9434623664991482</v>
          </cell>
          <cell r="I129">
            <v>3.1616564833494909</v>
          </cell>
          <cell r="J129">
            <v>0.7757487086068775</v>
          </cell>
          <cell r="K129">
            <v>0.10377016951251128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27.013390555996665</v>
          </cell>
        </row>
        <row r="130">
          <cell r="B130" t="str">
            <v>Material Cost</v>
          </cell>
          <cell r="D130">
            <v>-3.5369955496518712</v>
          </cell>
          <cell r="E130">
            <v>-3.9417958314764756</v>
          </cell>
          <cell r="F130">
            <v>-4.9930666938442352</v>
          </cell>
          <cell r="G130">
            <v>-4.7406290352034723</v>
          </cell>
          <cell r="H130">
            <v>-2.84032146272357</v>
          </cell>
          <cell r="I130">
            <v>-3.1934530143841542</v>
          </cell>
          <cell r="J130">
            <v>-0.7475545658662659</v>
          </cell>
          <cell r="K130">
            <v>-0.10259506900834602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-24.290600050122318</v>
          </cell>
        </row>
        <row r="131">
          <cell r="B131" t="str">
            <v>Other Direct Cost &amp; Variable Overheads</v>
          </cell>
          <cell r="D131">
            <v>-0.11554820781874589</v>
          </cell>
          <cell r="E131">
            <v>-0.13931547783962633</v>
          </cell>
          <cell r="F131">
            <v>-0.16319201433409092</v>
          </cell>
          <cell r="G131">
            <v>-0.15647110310779547</v>
          </cell>
          <cell r="H131">
            <v>-4.6168212905235005E-2</v>
          </cell>
          <cell r="I131">
            <v>-4.5569046558545344E-2</v>
          </cell>
          <cell r="J131">
            <v>0</v>
          </cell>
          <cell r="K131">
            <v>9.3372761146385916E-2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-0.58438614230883079</v>
          </cell>
        </row>
        <row r="132">
          <cell r="B132" t="str">
            <v>Contribution Margin</v>
          </cell>
          <cell r="C132">
            <v>0</v>
          </cell>
          <cell r="D132">
            <v>0.31753224017340465</v>
          </cell>
          <cell r="E132">
            <v>0.47028901934775863</v>
          </cell>
          <cell r="F132">
            <v>0.63393261188161132</v>
          </cell>
          <cell r="G132">
            <v>0.5846442997284067</v>
          </cell>
          <cell r="H132">
            <v>5.697269087034329E-2</v>
          </cell>
          <cell r="I132">
            <v>-7.736557759320882E-2</v>
          </cell>
          <cell r="J132">
            <v>2.8194142740611664E-2</v>
          </cell>
          <cell r="K132">
            <v>9.4547861650551179E-2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2.1384043635655203</v>
          </cell>
        </row>
        <row r="133">
          <cell r="B133" t="str">
            <v>Fixed Overheads Personnel</v>
          </cell>
          <cell r="D133">
            <v>-0.17729195895927435</v>
          </cell>
          <cell r="E133">
            <v>-0.17936936452364236</v>
          </cell>
          <cell r="F133">
            <v>-0.21475065312950747</v>
          </cell>
          <cell r="G133">
            <v>-0.26659621843335096</v>
          </cell>
          <cell r="H133">
            <v>-3.07825216929343E-2</v>
          </cell>
          <cell r="I133">
            <v>-1.3696189902271599E-2</v>
          </cell>
          <cell r="J133">
            <v>-5.0807284306413326E-2</v>
          </cell>
          <cell r="K133">
            <v>-2.876012963973271E-2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-0.9734454107838828</v>
          </cell>
        </row>
        <row r="134">
          <cell r="B134" t="str">
            <v>Other Fixed Overheads</v>
          </cell>
          <cell r="D134">
            <v>-0.17829980381674601</v>
          </cell>
          <cell r="E134">
            <v>-0.16434619072594037</v>
          </cell>
          <cell r="F134">
            <v>-0.31770087358380306</v>
          </cell>
          <cell r="G134">
            <v>-0.1842729194158215</v>
          </cell>
          <cell r="H134">
            <v>-4.5279632914638837E-2</v>
          </cell>
          <cell r="I134">
            <v>-7.4288669269264043E-2</v>
          </cell>
          <cell r="J134">
            <v>-5.5514370190788932E-3</v>
          </cell>
          <cell r="K134">
            <v>0.16288944174240755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-0.82557324009389732</v>
          </cell>
        </row>
        <row r="135">
          <cell r="B135" t="str">
            <v>Monetary Result</v>
          </cell>
          <cell r="D135">
            <v>0.51361290526777026</v>
          </cell>
          <cell r="E135">
            <v>0.3559763084016867</v>
          </cell>
          <cell r="F135">
            <v>0.37936116377259665</v>
          </cell>
          <cell r="G135">
            <v>-2.9641736232523846E-2</v>
          </cell>
          <cell r="H135">
            <v>0.19268679753668411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1.4531103983757174</v>
          </cell>
        </row>
        <row r="136">
          <cell r="B136" t="str">
            <v>Other Income &amp; Expenses</v>
          </cell>
          <cell r="C136" t="str">
            <v>Result on Interest</v>
          </cell>
          <cell r="D136">
            <v>-4.0907802772281551E-2</v>
          </cell>
          <cell r="E136">
            <v>-1.05998018242053E-2</v>
          </cell>
          <cell r="F136">
            <v>-5.5300395602752336E-2</v>
          </cell>
          <cell r="G136">
            <v>-5.7679166554186201E-2</v>
          </cell>
          <cell r="H136">
            <v>-0.2566593366633505</v>
          </cell>
          <cell r="I136">
            <v>-4.1763136741163838E-2</v>
          </cell>
          <cell r="J136">
            <v>-2.1122338614073751E-2</v>
          </cell>
          <cell r="K136">
            <v>-2.0766888665761263E-2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-0.49847218133264803</v>
          </cell>
        </row>
        <row r="137">
          <cell r="B137" t="str">
            <v>Exchange Rate Result Operating</v>
          </cell>
          <cell r="D137">
            <v>-0.47117805299371113</v>
          </cell>
          <cell r="E137">
            <v>4.3843094905762707E-2</v>
          </cell>
          <cell r="F137">
            <v>-0.25601698715281279</v>
          </cell>
          <cell r="G137">
            <v>-9.0670412133704067E-2</v>
          </cell>
          <cell r="H137">
            <v>-4.357091253824124E-2</v>
          </cell>
          <cell r="I137">
            <v>-4.457684387035922E-2</v>
          </cell>
          <cell r="J137">
            <v>6.0147251570901797E-3</v>
          </cell>
          <cell r="K137">
            <v>5.8978592322603864E-3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-0.87304011688062677</v>
          </cell>
        </row>
        <row r="138">
          <cell r="B138" t="str">
            <v>Depreciation</v>
          </cell>
          <cell r="D138">
            <v>-8.5797895147048438E-3</v>
          </cell>
          <cell r="E138">
            <v>-5.6505752931383137E-3</v>
          </cell>
          <cell r="F138">
            <v>-1.5667313172383374E-2</v>
          </cell>
          <cell r="G138">
            <v>-1.936668683375176E-2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-4.9797352323678754E-2</v>
          </cell>
        </row>
        <row r="139">
          <cell r="B139" t="str">
            <v>Valuation Measures</v>
          </cell>
          <cell r="C139" t="str">
            <v>Other Financial Result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Operating Profit</v>
          </cell>
          <cell r="C140">
            <v>0</v>
          </cell>
          <cell r="D140">
            <v>-4.511226261554304E-2</v>
          </cell>
          <cell r="E140">
            <v>0.51014249028828174</v>
          </cell>
          <cell r="F140">
            <v>0.15385755301294896</v>
          </cell>
          <cell r="G140">
            <v>-6.3582839874931685E-2</v>
          </cell>
          <cell r="H140">
            <v>-0.12663291540213525</v>
          </cell>
          <cell r="I140">
            <v>-0.25169041737626752</v>
          </cell>
          <cell r="J140">
            <v>-4.3272192041864131E-2</v>
          </cell>
          <cell r="K140">
            <v>0.21380814431972514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0.37118646052650328</v>
          </cell>
        </row>
        <row r="141">
          <cell r="C141" t="str">
            <v>Taxes on Income</v>
          </cell>
          <cell r="F141">
            <v>-3.4136276239882606</v>
          </cell>
          <cell r="G141">
            <v>-0.16174552158683428</v>
          </cell>
          <cell r="H141">
            <v>-0.16328647464653132</v>
          </cell>
          <cell r="I141">
            <v>-0.2648012635789565</v>
          </cell>
          <cell r="J141">
            <v>-0.33519668730484636</v>
          </cell>
          <cell r="K141">
            <v>-0.31553356069441812</v>
          </cell>
          <cell r="L141">
            <v>-4.5261265679775731</v>
          </cell>
          <cell r="M141">
            <v>-0.32666358366019516</v>
          </cell>
          <cell r="N141">
            <v>-2.6526921767325606</v>
          </cell>
          <cell r="O141">
            <v>-2.6529355274705453</v>
          </cell>
          <cell r="P141">
            <v>-2.5982231803443647</v>
          </cell>
        </row>
        <row r="142">
          <cell r="C142" t="str">
            <v>Tax Reimbursement</v>
          </cell>
          <cell r="F142">
            <v>3.5159180603884113</v>
          </cell>
          <cell r="G142">
            <v>0.14474516205765428</v>
          </cell>
          <cell r="H142">
            <v>7.7877429926384342E-2</v>
          </cell>
          <cell r="I142">
            <v>0.24400300424886873</v>
          </cell>
          <cell r="J142">
            <v>0</v>
          </cell>
          <cell r="K142">
            <v>0</v>
          </cell>
          <cell r="L142">
            <v>1.3324342589147695</v>
          </cell>
          <cell r="M142">
            <v>0</v>
          </cell>
          <cell r="N142">
            <v>0</v>
          </cell>
          <cell r="O142">
            <v>2.3419636692220427E-2</v>
          </cell>
          <cell r="P142">
            <v>0.31724490580277276</v>
          </cell>
        </row>
        <row r="143">
          <cell r="F143">
            <v>-11.066706197856938</v>
          </cell>
          <cell r="G143">
            <v>-2.9637985291448596</v>
          </cell>
          <cell r="H143">
            <v>1.533689584393146</v>
          </cell>
          <cell r="I143">
            <v>3.140311057873538</v>
          </cell>
          <cell r="J143">
            <v>2.0820292142194297</v>
          </cell>
          <cell r="K143">
            <v>-1.5269262231090026</v>
          </cell>
          <cell r="L143">
            <v>-2.5537889475201125</v>
          </cell>
          <cell r="M143">
            <v>5.2367220815240659E-2</v>
          </cell>
          <cell r="N143">
            <v>-1.8532056673128332</v>
          </cell>
          <cell r="O143">
            <v>-1.6517341353666288</v>
          </cell>
          <cell r="P143">
            <v>-2.1252782126984546</v>
          </cell>
        </row>
        <row r="144">
          <cell r="D144">
            <v>5.9906060527289489</v>
          </cell>
          <cell r="E144">
            <v>5.7337464097963942</v>
          </cell>
          <cell r="F144">
            <v>5.4378190397928448</v>
          </cell>
          <cell r="G144">
            <v>5.1592426500929109</v>
          </cell>
          <cell r="H144">
            <v>5.0827653804216384</v>
          </cell>
          <cell r="I144">
            <v>5.0630578399078487</v>
          </cell>
          <cell r="J144">
            <v>0</v>
          </cell>
          <cell r="K144">
            <v>0.10686174532708853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B145" t="str">
            <v xml:space="preserve">  -  In Mio DEM -</v>
          </cell>
          <cell r="D145">
            <v>36161</v>
          </cell>
          <cell r="E145">
            <v>36192</v>
          </cell>
          <cell r="F145">
            <v>36220</v>
          </cell>
          <cell r="G145">
            <v>36251</v>
          </cell>
          <cell r="H145">
            <v>36281</v>
          </cell>
          <cell r="I145">
            <v>36312</v>
          </cell>
          <cell r="J145">
            <v>36342</v>
          </cell>
          <cell r="K145">
            <v>36373</v>
          </cell>
          <cell r="L145">
            <v>36404</v>
          </cell>
          <cell r="M145">
            <v>36434</v>
          </cell>
          <cell r="N145">
            <v>36465</v>
          </cell>
          <cell r="O145">
            <v>36495</v>
          </cell>
          <cell r="P145" t="str">
            <v>TOTAL</v>
          </cell>
        </row>
        <row r="146">
          <cell r="B146" t="str">
            <v>Turnover, net</v>
          </cell>
          <cell r="D146">
            <v>6.7003629794209303</v>
          </cell>
          <cell r="E146">
            <v>7.9498489752040911</v>
          </cell>
          <cell r="F146">
            <v>10.402409080930893</v>
          </cell>
          <cell r="G146">
            <v>10.036555250811375</v>
          </cell>
          <cell r="H146">
            <v>5.4192122532547531</v>
          </cell>
          <cell r="I146">
            <v>5.9584023536553303</v>
          </cell>
          <cell r="J146">
            <v>1.4650213944301378</v>
          </cell>
          <cell r="K146">
            <v>0.19138561079238611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48.919159354467652</v>
          </cell>
        </row>
        <row r="147">
          <cell r="B147" t="str">
            <v>Material Cost</v>
          </cell>
          <cell r="D147">
            <v>-5.9694459383971159</v>
          </cell>
          <cell r="E147">
            <v>-6.8850637800358951</v>
          </cell>
          <cell r="F147">
            <v>-8.9703292079131511</v>
          </cell>
          <cell r="G147">
            <v>-8.6796430904821964</v>
          </cell>
          <cell r="H147">
            <v>-5.229319406003178</v>
          </cell>
          <cell r="I147">
            <v>-6.0183255383380319</v>
          </cell>
          <cell r="J147">
            <v>-1.4117760304941918</v>
          </cell>
          <cell r="K147">
            <v>-0.18921834703259247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-43.988396502999876</v>
          </cell>
        </row>
        <row r="148">
          <cell r="B148" t="str">
            <v>Other Direct Cost &amp; Variable Overheads</v>
          </cell>
          <cell r="D148">
            <v>-0.19501262304968633</v>
          </cell>
          <cell r="E148">
            <v>-0.24333983582115648</v>
          </cell>
          <cell r="F148">
            <v>-0.29318376509651833</v>
          </cell>
          <cell r="G148">
            <v>-0.28648378071021385</v>
          </cell>
          <cell r="H148">
            <v>-8.5000354662083694E-2</v>
          </cell>
          <cell r="I148">
            <v>-8.5878625871655803E-2</v>
          </cell>
          <cell r="J148">
            <v>0</v>
          </cell>
          <cell r="K148">
            <v>0.17220944137725522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-1.0582780699404715</v>
          </cell>
        </row>
        <row r="149">
          <cell r="B149" t="str">
            <v>Contribution Margin</v>
          </cell>
          <cell r="C149">
            <v>0</v>
          </cell>
          <cell r="D149">
            <v>0.53590441797412824</v>
          </cell>
          <cell r="E149">
            <v>0.82144535934703888</v>
          </cell>
          <cell r="F149">
            <v>1.1388961079212232</v>
          </cell>
          <cell r="G149">
            <v>1.0704283796189644</v>
          </cell>
          <cell r="H149">
            <v>0.10489249258949168</v>
          </cell>
          <cell r="I149">
            <v>-0.14580181055435779</v>
          </cell>
          <cell r="J149">
            <v>5.3245363935945901E-2</v>
          </cell>
          <cell r="K149">
            <v>0.17437670513704889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3.8724847815273113</v>
          </cell>
        </row>
        <row r="150">
          <cell r="B150" t="str">
            <v>Fixed Overheads Personnel</v>
          </cell>
          <cell r="D150">
            <v>-0.29921857391765028</v>
          </cell>
          <cell r="E150">
            <v>-0.31330123824987754</v>
          </cell>
          <cell r="F150">
            <v>-0.38581180150487743</v>
          </cell>
          <cell r="G150">
            <v>-0.48811244416942651</v>
          </cell>
          <cell r="H150">
            <v>-5.667373928168689E-2</v>
          </cell>
          <cell r="I150">
            <v>-2.5811599261204288E-2</v>
          </cell>
          <cell r="J150">
            <v>-9.595086356696797E-2</v>
          </cell>
          <cell r="K150">
            <v>-5.3042940986087701E-2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-1.7628342904345586</v>
          </cell>
        </row>
        <row r="151">
          <cell r="B151" t="str">
            <v>Other Fixed Overheads</v>
          </cell>
          <cell r="D151">
            <v>-0.30091953036684926</v>
          </cell>
          <cell r="E151">
            <v>-0.28706053117170333</v>
          </cell>
          <cell r="F151">
            <v>-0.57076774664392604</v>
          </cell>
          <cell r="G151">
            <v>-0.3373862750899404</v>
          </cell>
          <cell r="H151">
            <v>-8.3364388927361893E-2</v>
          </cell>
          <cell r="I151">
            <v>-0.14000312309544966</v>
          </cell>
          <cell r="J151">
            <v>-1.0484031636208055E-2</v>
          </cell>
          <cell r="K151">
            <v>0.30042058759230245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-1.4950492352013265</v>
          </cell>
        </row>
        <row r="152">
          <cell r="B152" t="str">
            <v>Monetary Result</v>
          </cell>
          <cell r="D152">
            <v>0.86683300225266136</v>
          </cell>
          <cell r="E152">
            <v>0.62177740611423338</v>
          </cell>
          <cell r="F152">
            <v>0.68154397615651174</v>
          </cell>
          <cell r="G152">
            <v>-5.4271213623758828E-2</v>
          </cell>
          <cell r="H152">
            <v>0.35475590452109779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2.6314704550108998</v>
          </cell>
        </row>
        <row r="153">
          <cell r="B153" t="str">
            <v>Other Income &amp; Expenses</v>
          </cell>
          <cell r="D153">
            <v>-6.9040775901395027E-2</v>
          </cell>
          <cell r="E153">
            <v>-1.8514482924920576E-2</v>
          </cell>
          <cell r="F153">
            <v>-9.9350316008415929E-2</v>
          </cell>
          <cell r="G153">
            <v>-0.10560509496295704</v>
          </cell>
          <cell r="H153">
            <v>-0.47253582651119075</v>
          </cell>
          <cell r="I153">
            <v>-7.8706074984767088E-2</v>
          </cell>
          <cell r="J153">
            <v>-3.9890079901760502E-2</v>
          </cell>
          <cell r="K153">
            <v>-3.8300830481682958E-2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-0.9026945366903476</v>
          </cell>
        </row>
        <row r="154">
          <cell r="B154" t="str">
            <v>Exchange Rate Result Operating</v>
          </cell>
          <cell r="D154">
            <v>-0.79521499962927777</v>
          </cell>
          <cell r="E154">
            <v>7.6579944179218096E-2</v>
          </cell>
          <cell r="F154">
            <v>-0.4599491251358892</v>
          </cell>
          <cell r="G154">
            <v>-0.16600894318947684</v>
          </cell>
          <cell r="H154">
            <v>-8.0218461700110349E-2</v>
          </cell>
          <cell r="I154">
            <v>-8.4008738088550361E-2</v>
          </cell>
          <cell r="J154">
            <v>1.1358963204178207E-2</v>
          </cell>
          <cell r="K154">
            <v>1.0877551774622239E-2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-1.5810080749395479</v>
          </cell>
        </row>
        <row r="155">
          <cell r="B155" t="str">
            <v>Depreciation</v>
          </cell>
          <cell r="D155">
            <v>-1.448025278852782E-2</v>
          </cell>
          <cell r="E155">
            <v>-9.8697580875414994E-3</v>
          </cell>
          <cell r="F155">
            <v>-2.8147222053536897E-2</v>
          </cell>
          <cell r="G155">
            <v>-3.5458570648291859E-2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-9.0179150547684106E-2</v>
          </cell>
        </row>
        <row r="156">
          <cell r="B156" t="str">
            <v>Valuation Measures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Operating Profit</v>
          </cell>
          <cell r="C157">
            <v>0</v>
          </cell>
          <cell r="D157">
            <v>-7.6136712376910637E-2</v>
          </cell>
          <cell r="E157">
            <v>0.89105669920644726</v>
          </cell>
          <cell r="F157">
            <v>0.27641387273108947</v>
          </cell>
          <cell r="G157">
            <v>-0.11641416206488717</v>
          </cell>
          <cell r="H157">
            <v>-0.23314401930975823</v>
          </cell>
          <cell r="I157">
            <v>-0.47433134598432919</v>
          </cell>
          <cell r="J157">
            <v>-8.1720647964812432E-2</v>
          </cell>
          <cell r="K157">
            <v>0.39433107303620291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0.67218994872474214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 General Input"/>
      <sheetName val="01 FORECAST"/>
      <sheetName val="02 CAPEX"/>
      <sheetName val="03 INDUSTRIAL"/>
      <sheetName val="04 G&amp;A COSTS"/>
      <sheetName val="05 FTE"/>
      <sheetName val="06 SUMMARY PnL"/>
      <sheetName val="06 SUMMARY BS-CF"/>
      <sheetName val="DB - Others"/>
      <sheetName val="DB - Operations"/>
      <sheetName val="MasterData PC"/>
      <sheetName val="MasterData Product"/>
      <sheetName val="GBS Data"/>
      <sheetName val="MasterData Oth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U5" t="str">
            <v>Barley</v>
          </cell>
        </row>
        <row r="6">
          <cell r="U6" t="str">
            <v>Bio energy</v>
          </cell>
        </row>
        <row r="7">
          <cell r="U7" t="str">
            <v>Chemicals, seeds &amp; fertilizers</v>
          </cell>
        </row>
        <row r="8">
          <cell r="U8" t="str">
            <v>Commission/service</v>
          </cell>
        </row>
        <row r="9">
          <cell r="U9" t="str">
            <v>Corn</v>
          </cell>
        </row>
        <row r="10">
          <cell r="U10" t="str">
            <v>Emissions</v>
          </cell>
        </row>
        <row r="11">
          <cell r="U11" t="str">
            <v>Financial Income/Expenses</v>
          </cell>
        </row>
        <row r="12">
          <cell r="U12" t="str">
            <v>Freight</v>
          </cell>
        </row>
        <row r="13">
          <cell r="U13" t="str">
            <v>Gen &amp; adm overhead</v>
          </cell>
        </row>
        <row r="14">
          <cell r="U14" t="str">
            <v>Ingredients</v>
          </cell>
        </row>
        <row r="15">
          <cell r="U15" t="str">
            <v>Tropical Oils</v>
          </cell>
        </row>
        <row r="16">
          <cell r="U16" t="str">
            <v>Tropical Mid proteins</v>
          </cell>
        </row>
        <row r="17">
          <cell r="U17" t="str">
            <v>Other</v>
          </cell>
        </row>
        <row r="18">
          <cell r="U18" t="str">
            <v>Power energy</v>
          </cell>
        </row>
        <row r="19">
          <cell r="U19" t="str">
            <v>Rice</v>
          </cell>
        </row>
        <row r="20">
          <cell r="U20" t="str">
            <v>Softseed complex</v>
          </cell>
        </row>
        <row r="21">
          <cell r="U21" t="str">
            <v>Soy complex</v>
          </cell>
        </row>
        <row r="22">
          <cell r="U22" t="str">
            <v>Soy oil</v>
          </cell>
        </row>
        <row r="23">
          <cell r="U23" t="str">
            <v>Soybeans &amp; meals</v>
          </cell>
        </row>
        <row r="24">
          <cell r="U24" t="str">
            <v>Specialty grains</v>
          </cell>
        </row>
        <row r="25">
          <cell r="U25" t="str">
            <v>Specialty oils</v>
          </cell>
        </row>
        <row r="26">
          <cell r="U26" t="str">
            <v>Storage &amp; elevation</v>
          </cell>
        </row>
        <row r="27">
          <cell r="U27" t="str">
            <v>Technical oil products</v>
          </cell>
        </row>
        <row r="28">
          <cell r="U28" t="str">
            <v>Transport</v>
          </cell>
        </row>
        <row r="29">
          <cell r="U29" t="str">
            <v>Wheat</v>
          </cell>
        </row>
        <row r="30">
          <cell r="U30" t="str">
            <v>Starches &amp; Flours</v>
          </cell>
        </row>
        <row r="31">
          <cell r="U31" t="str">
            <v>Specialties</v>
          </cell>
        </row>
        <row r="32">
          <cell r="U32" t="str">
            <v>Sweeteners</v>
          </cell>
        </row>
        <row r="33">
          <cell r="U33" t="str">
            <v>Proteins</v>
          </cell>
        </row>
      </sheetData>
      <sheetData sheetId="12"/>
      <sheetData sheetId="13">
        <row r="2">
          <cell r="A2" t="str">
            <v>Intangible assets</v>
          </cell>
          <cell r="U2">
            <v>3</v>
          </cell>
          <cell r="V2" t="str">
            <v xml:space="preserve">Savings </v>
          </cell>
        </row>
        <row r="3">
          <cell r="A3" t="str">
            <v>Tangible assets</v>
          </cell>
          <cell r="U3">
            <v>5</v>
          </cell>
          <cell r="V3" t="str">
            <v xml:space="preserve">Revenue </v>
          </cell>
        </row>
        <row r="4">
          <cell r="A4" t="str">
            <v>Financial assets</v>
          </cell>
          <cell r="U4">
            <v>10</v>
          </cell>
        </row>
        <row r="5">
          <cell r="U5">
            <v>15</v>
          </cell>
        </row>
        <row r="6">
          <cell r="U6">
            <v>20</v>
          </cell>
        </row>
        <row r="7">
          <cell r="B7" t="str">
            <v>Production</v>
          </cell>
          <cell r="U7">
            <v>25</v>
          </cell>
        </row>
        <row r="8">
          <cell r="B8" t="str">
            <v>Storage &amp; Handling</v>
          </cell>
          <cell r="U8">
            <v>40</v>
          </cell>
        </row>
        <row r="9">
          <cell r="B9" t="str">
            <v>Processing</v>
          </cell>
        </row>
        <row r="10">
          <cell r="B10" t="str">
            <v>Electricity</v>
          </cell>
        </row>
        <row r="11">
          <cell r="B11" t="str">
            <v>Logistics</v>
          </cell>
        </row>
        <row r="12">
          <cell r="B12" t="str">
            <v>Shipping</v>
          </cell>
        </row>
        <row r="13">
          <cell r="B13" t="str">
            <v>Trading</v>
          </cell>
        </row>
        <row r="14">
          <cell r="B14" t="str">
            <v>G&amp;A/Non Industrial</v>
          </cell>
        </row>
        <row r="15">
          <cell r="B15" t="str">
            <v>Other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o ZT x Golden"/>
      <sheetName val="ROTA"/>
      <sheetName val="Lista KM"/>
      <sheetName val="Premissas"/>
      <sheetName val="Tabela Por Faixa de KM"/>
      <sheetName val="Prazos SAO"/>
      <sheetName val="Prazos GYN"/>
      <sheetName val="Prazos LEM"/>
      <sheetName val="Prazos AUX"/>
      <sheetName val="Prazos CGB"/>
      <sheetName val="Prazos BSS"/>
      <sheetName val="Prazos CGR"/>
      <sheetName val="Prazos PFB"/>
      <sheetName val="Construção Grade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Fácil</v>
          </cell>
        </row>
        <row r="7">
          <cell r="A7" t="str">
            <v>Baixo</v>
          </cell>
        </row>
        <row r="8">
          <cell r="A8" t="str">
            <v>Médio</v>
          </cell>
        </row>
        <row r="9">
          <cell r="A9" t="str">
            <v>Alto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dinc"/>
      <sheetName val="cpv"/>
      <sheetName val="transf"/>
      <sheetName val="fat"/>
      <sheetName val="result"/>
      <sheetName val="gif"/>
      <sheetName val="Prod_Outros"/>
      <sheetName val="Giro bco dados"/>
      <sheetName val="res APR"/>
      <sheetName val="gif APR"/>
      <sheetName val="adm_com APR"/>
      <sheetName val="Dados para Graficos Osasco"/>
      <sheetName val="Gráfico Margem Bruta Osasco"/>
      <sheetName val="Grafico Dias de Estoque AR_ OS"/>
      <sheetName val="Gráfico Est R$ Ar OS"/>
      <sheetName val="Estoques Areia 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F4" t="str">
            <v>DESPESAS VARIÁVEIS</v>
          </cell>
        </row>
      </sheetData>
      <sheetData sheetId="11">
        <row r="4">
          <cell r="AF4" t="str">
            <v>DESPESAS VARIÁVEIS</v>
          </cell>
          <cell r="AH4" t="str">
            <v>FUNDIÇÃO EM AREIA - OSASCO</v>
          </cell>
          <cell r="AN4" t="e">
            <v>#REF!</v>
          </cell>
        </row>
        <row r="5">
          <cell r="AF5" t="str">
            <v>Em Milhares de R$</v>
          </cell>
          <cell r="AM5" t="str">
            <v>ACUMULADO</v>
          </cell>
        </row>
        <row r="6">
          <cell r="AF6" t="str">
            <v>COMERCIAIS</v>
          </cell>
          <cell r="AH6" t="str">
            <v>DEZ</v>
          </cell>
          <cell r="AI6" t="str">
            <v>JAN</v>
          </cell>
          <cell r="AK6" t="str">
            <v>Plano MÊS</v>
          </cell>
          <cell r="AM6" t="str">
            <v>REAL</v>
          </cell>
          <cell r="AN6" t="str">
            <v>PLANO</v>
          </cell>
        </row>
        <row r="8">
          <cell r="AF8" t="str">
            <v>Comissoes</v>
          </cell>
          <cell r="AH8">
            <v>570.34596999999894</v>
          </cell>
          <cell r="AI8">
            <v>0</v>
          </cell>
          <cell r="AJ8">
            <v>0</v>
          </cell>
          <cell r="AK8">
            <v>516.37135084641318</v>
          </cell>
          <cell r="AM8">
            <v>505.31779999999998</v>
          </cell>
          <cell r="AN8">
            <v>516.37135084641318</v>
          </cell>
        </row>
        <row r="9">
          <cell r="AF9" t="str">
            <v>Fretes e Carretos</v>
          </cell>
          <cell r="AH9">
            <v>107.62704000000002</v>
          </cell>
          <cell r="AI9">
            <v>0</v>
          </cell>
          <cell r="AJ9">
            <v>0</v>
          </cell>
          <cell r="AK9">
            <v>16.829999999999998</v>
          </cell>
          <cell r="AM9">
            <v>64.344350000000006</v>
          </cell>
          <cell r="AN9">
            <v>16.829999999999998</v>
          </cell>
        </row>
        <row r="10">
          <cell r="AF10" t="str">
            <v>Propaganda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M10">
            <v>0</v>
          </cell>
          <cell r="AN10">
            <v>0</v>
          </cell>
        </row>
        <row r="11">
          <cell r="AF11" t="str">
            <v>Garantia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7.70059</v>
          </cell>
          <cell r="AN11">
            <v>0</v>
          </cell>
        </row>
        <row r="12">
          <cell r="AF12" t="str">
            <v>Ass. Tec./Royalties</v>
          </cell>
          <cell r="AH12">
            <v>380.07754000000045</v>
          </cell>
          <cell r="AI12">
            <v>0</v>
          </cell>
          <cell r="AJ12">
            <v>0</v>
          </cell>
          <cell r="AK12">
            <v>265.22545612363695</v>
          </cell>
          <cell r="AM12">
            <v>190.85433999999998</v>
          </cell>
          <cell r="AN12">
            <v>265.22545612363695</v>
          </cell>
        </row>
        <row r="13">
          <cell r="AF13" t="str">
            <v>Outras Despesas Vendas</v>
          </cell>
          <cell r="AH13">
            <v>94.618390000000034</v>
          </cell>
          <cell r="AI13">
            <v>0</v>
          </cell>
          <cell r="AJ13">
            <v>0</v>
          </cell>
          <cell r="AK13">
            <v>18</v>
          </cell>
          <cell r="AM13">
            <v>5.2496299999999998</v>
          </cell>
          <cell r="AN13">
            <v>18</v>
          </cell>
        </row>
        <row r="15">
          <cell r="AF15" t="str">
            <v>TOTAL</v>
          </cell>
          <cell r="AH15">
            <v>1152.6689399999996</v>
          </cell>
          <cell r="AI15">
            <v>0</v>
          </cell>
          <cell r="AJ15">
            <v>0</v>
          </cell>
          <cell r="AK15">
            <v>816.42680697005017</v>
          </cell>
          <cell r="AM15">
            <v>773.46671000000003</v>
          </cell>
          <cell r="AN15">
            <v>816.42680697005017</v>
          </cell>
        </row>
      </sheetData>
      <sheetData sheetId="12"/>
      <sheetData sheetId="13" refreshError="1"/>
      <sheetData sheetId="14"/>
      <sheetData sheetId="15"/>
      <sheetData sheetId="1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time"/>
      <sheetName val="Janeiro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 PREMIO"/>
      <sheetName val="CONTROLE DE VIAGEM"/>
      <sheetName val="CONTROLE DE ABASTECIMENTO"/>
      <sheetName val="DEDUÇÕES"/>
      <sheetName val="PREMISSAS"/>
      <sheetName val="BASE DE KM"/>
      <sheetName val="RELAÇÃO DE MOTORISTA"/>
      <sheetName val="RELAÇÃO DE PLACAS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A5" t="str">
            <v>ADAILTON PEREIRA DE SOUZA</v>
          </cell>
        </row>
        <row r="700">
          <cell r="B700" t="str">
            <v>AC</v>
          </cell>
        </row>
        <row r="701">
          <cell r="B701" t="str">
            <v>AL</v>
          </cell>
        </row>
        <row r="702">
          <cell r="B702" t="str">
            <v>AM</v>
          </cell>
        </row>
        <row r="703">
          <cell r="B703" t="str">
            <v>AP</v>
          </cell>
        </row>
        <row r="704">
          <cell r="B704" t="str">
            <v>BA</v>
          </cell>
        </row>
        <row r="705">
          <cell r="B705" t="str">
            <v>CE</v>
          </cell>
        </row>
        <row r="706">
          <cell r="B706" t="str">
            <v>DF</v>
          </cell>
        </row>
        <row r="707">
          <cell r="B707" t="str">
            <v>ES</v>
          </cell>
        </row>
        <row r="708">
          <cell r="B708" t="str">
            <v>GO</v>
          </cell>
        </row>
        <row r="709">
          <cell r="B709" t="str">
            <v>MA</v>
          </cell>
        </row>
        <row r="710">
          <cell r="B710" t="str">
            <v>MG</v>
          </cell>
        </row>
        <row r="711">
          <cell r="B711" t="str">
            <v>MS</v>
          </cell>
        </row>
        <row r="712">
          <cell r="B712" t="str">
            <v>MT</v>
          </cell>
        </row>
        <row r="713">
          <cell r="B713" t="str">
            <v>PA</v>
          </cell>
        </row>
        <row r="714">
          <cell r="B714" t="str">
            <v>PB</v>
          </cell>
        </row>
        <row r="715">
          <cell r="B715" t="str">
            <v>PE</v>
          </cell>
        </row>
        <row r="716">
          <cell r="B716" t="str">
            <v>PI</v>
          </cell>
        </row>
        <row r="717">
          <cell r="B717" t="str">
            <v>PR</v>
          </cell>
        </row>
        <row r="718">
          <cell r="B718" t="str">
            <v>RJ</v>
          </cell>
        </row>
        <row r="719">
          <cell r="B719" t="str">
            <v>RN</v>
          </cell>
        </row>
        <row r="720">
          <cell r="B720" t="str">
            <v>RO</v>
          </cell>
        </row>
        <row r="721">
          <cell r="B721" t="str">
            <v>RR</v>
          </cell>
        </row>
        <row r="722">
          <cell r="B722" t="str">
            <v>RS</v>
          </cell>
        </row>
        <row r="723">
          <cell r="B723" t="str">
            <v>SC</v>
          </cell>
        </row>
        <row r="724">
          <cell r="B724" t="str">
            <v>SE</v>
          </cell>
        </row>
        <row r="725">
          <cell r="B725" t="str">
            <v>SP</v>
          </cell>
        </row>
        <row r="726">
          <cell r="B726" t="str">
            <v>TO</v>
          </cell>
        </row>
      </sheetData>
      <sheetData sheetId="7">
        <row r="5">
          <cell r="A5" t="str">
            <v>DVT1390</v>
          </cell>
        </row>
        <row r="6">
          <cell r="A6" t="str">
            <v>DVT1394</v>
          </cell>
        </row>
        <row r="7">
          <cell r="A7" t="str">
            <v>DVT1402</v>
          </cell>
        </row>
        <row r="8">
          <cell r="A8" t="str">
            <v>DVT2085</v>
          </cell>
        </row>
        <row r="9">
          <cell r="A9" t="str">
            <v>DVT2104</v>
          </cell>
        </row>
        <row r="10">
          <cell r="A10" t="str">
            <v>DVT2109</v>
          </cell>
        </row>
        <row r="11">
          <cell r="A11" t="str">
            <v>EFO2435</v>
          </cell>
        </row>
        <row r="12">
          <cell r="A12" t="str">
            <v>DVT2091</v>
          </cell>
        </row>
        <row r="13">
          <cell r="A13" t="str">
            <v>DVT2133</v>
          </cell>
        </row>
        <row r="14">
          <cell r="A14" t="str">
            <v>DVT2086</v>
          </cell>
        </row>
        <row r="15">
          <cell r="A15" t="str">
            <v>EFO2198</v>
          </cell>
        </row>
        <row r="16">
          <cell r="A16" t="str">
            <v>EFO2274</v>
          </cell>
        </row>
        <row r="17">
          <cell r="A17" t="str">
            <v>EFO2341</v>
          </cell>
        </row>
        <row r="18">
          <cell r="A18" t="str">
            <v>EFO2367</v>
          </cell>
        </row>
        <row r="19">
          <cell r="A19" t="str">
            <v>EFO2436</v>
          </cell>
        </row>
        <row r="20">
          <cell r="A20" t="str">
            <v>EFO2446</v>
          </cell>
        </row>
        <row r="21">
          <cell r="A21" t="str">
            <v>DJF4356</v>
          </cell>
        </row>
        <row r="22">
          <cell r="A22" t="str">
            <v>DJF4367</v>
          </cell>
        </row>
        <row r="23">
          <cell r="A23" t="str">
            <v>DJF4368</v>
          </cell>
        </row>
        <row r="24">
          <cell r="A24" t="str">
            <v>DJF4374</v>
          </cell>
        </row>
        <row r="25">
          <cell r="A25" t="str">
            <v>DJF4380</v>
          </cell>
        </row>
        <row r="26">
          <cell r="A26" t="str">
            <v>DJF4381</v>
          </cell>
        </row>
        <row r="27">
          <cell r="A27" t="str">
            <v>DJF4383</v>
          </cell>
        </row>
        <row r="28">
          <cell r="A28" t="str">
            <v>DJF4385</v>
          </cell>
        </row>
        <row r="29">
          <cell r="A29" t="str">
            <v>DVT1387</v>
          </cell>
        </row>
        <row r="30">
          <cell r="A30" t="str">
            <v>DVT1396</v>
          </cell>
        </row>
        <row r="31">
          <cell r="A31" t="str">
            <v>DVT1413</v>
          </cell>
        </row>
        <row r="32">
          <cell r="A32" t="str">
            <v>DVT2097</v>
          </cell>
        </row>
        <row r="33">
          <cell r="A33" t="str">
            <v>DVT2134</v>
          </cell>
        </row>
        <row r="34">
          <cell r="A34" t="str">
            <v>DVT2092</v>
          </cell>
        </row>
        <row r="35">
          <cell r="A35" t="str">
            <v>DVT2103</v>
          </cell>
        </row>
        <row r="36">
          <cell r="A36" t="str">
            <v>OBF6949</v>
          </cell>
        </row>
        <row r="37">
          <cell r="A37" t="str">
            <v>OBF6929</v>
          </cell>
        </row>
        <row r="38">
          <cell r="A38" t="str">
            <v>OBF6839</v>
          </cell>
        </row>
        <row r="39">
          <cell r="A39" t="str">
            <v>OBF7399</v>
          </cell>
        </row>
        <row r="40">
          <cell r="A40" t="str">
            <v>OBF6769</v>
          </cell>
        </row>
        <row r="41">
          <cell r="A41" t="str">
            <v>OBF8419</v>
          </cell>
        </row>
        <row r="42">
          <cell r="A42" t="str">
            <v>OBF7249</v>
          </cell>
        </row>
        <row r="43">
          <cell r="A43" t="str">
            <v>OBF7199</v>
          </cell>
        </row>
        <row r="44">
          <cell r="A44" t="str">
            <v>OBF7329</v>
          </cell>
        </row>
        <row r="45">
          <cell r="A45" t="str">
            <v>OBF5639</v>
          </cell>
        </row>
        <row r="46">
          <cell r="A46" t="str">
            <v>OBF6009</v>
          </cell>
        </row>
        <row r="47">
          <cell r="A47" t="str">
            <v>OBF7169</v>
          </cell>
        </row>
        <row r="48">
          <cell r="A48" t="str">
            <v>OBF7279</v>
          </cell>
        </row>
        <row r="49">
          <cell r="A49" t="str">
            <v>DPF6084</v>
          </cell>
        </row>
        <row r="50">
          <cell r="A50" t="str">
            <v>DPF6085</v>
          </cell>
        </row>
        <row r="51">
          <cell r="A51" t="str">
            <v>DPF6103</v>
          </cell>
        </row>
        <row r="52">
          <cell r="A52" t="str">
            <v>DPF6105</v>
          </cell>
        </row>
        <row r="53">
          <cell r="A53" t="str">
            <v>DPF6108</v>
          </cell>
        </row>
        <row r="54">
          <cell r="A54" t="str">
            <v>DPF6092</v>
          </cell>
        </row>
        <row r="55">
          <cell r="A55" t="str">
            <v>DPF6109</v>
          </cell>
        </row>
        <row r="56">
          <cell r="A56" t="str">
            <v>DPF6310</v>
          </cell>
        </row>
        <row r="57">
          <cell r="A57" t="str">
            <v>DPF6354</v>
          </cell>
        </row>
        <row r="58">
          <cell r="A58" t="str">
            <v>DPF6360</v>
          </cell>
        </row>
        <row r="59">
          <cell r="A59" t="str">
            <v>DJB0911</v>
          </cell>
        </row>
        <row r="60">
          <cell r="A60" t="str">
            <v>FTT2050</v>
          </cell>
        </row>
        <row r="61">
          <cell r="A61" t="str">
            <v>FTT2052</v>
          </cell>
        </row>
        <row r="62">
          <cell r="A62" t="str">
            <v>FTT2053</v>
          </cell>
        </row>
        <row r="63">
          <cell r="A63" t="str">
            <v>FTT2054</v>
          </cell>
        </row>
        <row r="64">
          <cell r="A64" t="str">
            <v>FTT2055</v>
          </cell>
        </row>
        <row r="65">
          <cell r="A65" t="str">
            <v>FTT2056</v>
          </cell>
        </row>
        <row r="66">
          <cell r="A66" t="str">
            <v>FTT2057</v>
          </cell>
        </row>
        <row r="67">
          <cell r="A67" t="str">
            <v>FTT2058</v>
          </cell>
        </row>
        <row r="68">
          <cell r="A68" t="str">
            <v>FTT2059</v>
          </cell>
        </row>
        <row r="69">
          <cell r="A69" t="str">
            <v>FTT2060</v>
          </cell>
        </row>
        <row r="70">
          <cell r="A70" t="str">
            <v>FTT2061</v>
          </cell>
        </row>
        <row r="71">
          <cell r="A71" t="str">
            <v>FTT2062</v>
          </cell>
        </row>
        <row r="72">
          <cell r="A72" t="str">
            <v>FTT2063</v>
          </cell>
        </row>
        <row r="73">
          <cell r="A73" t="str">
            <v>FTT2064</v>
          </cell>
        </row>
        <row r="74">
          <cell r="A74" t="str">
            <v>FTT2065</v>
          </cell>
        </row>
        <row r="75">
          <cell r="A75" t="str">
            <v>FTT2066</v>
          </cell>
        </row>
        <row r="76">
          <cell r="A76" t="str">
            <v>FTT2067</v>
          </cell>
        </row>
        <row r="77">
          <cell r="A77" t="str">
            <v>FTT2068</v>
          </cell>
        </row>
        <row r="78">
          <cell r="A78" t="str">
            <v>FTT2069</v>
          </cell>
        </row>
        <row r="79">
          <cell r="A79" t="str">
            <v>FTT2070</v>
          </cell>
        </row>
        <row r="80">
          <cell r="A80" t="str">
            <v>FTT2071</v>
          </cell>
        </row>
        <row r="81">
          <cell r="A81" t="str">
            <v>FTT2072</v>
          </cell>
        </row>
        <row r="82">
          <cell r="A82" t="str">
            <v>FTT2073</v>
          </cell>
        </row>
        <row r="83">
          <cell r="A83" t="str">
            <v>FTT2074</v>
          </cell>
        </row>
        <row r="84">
          <cell r="A84" t="str">
            <v>FTT2075</v>
          </cell>
        </row>
        <row r="85">
          <cell r="A85" t="str">
            <v>EWJ1189</v>
          </cell>
        </row>
        <row r="86">
          <cell r="A86" t="str">
            <v>EWJ1156</v>
          </cell>
        </row>
        <row r="87">
          <cell r="A87" t="str">
            <v>EWJ1158</v>
          </cell>
        </row>
        <row r="88">
          <cell r="A88" t="str">
            <v>EWJ1187</v>
          </cell>
        </row>
        <row r="89">
          <cell r="A89" t="str">
            <v>EWJ1186</v>
          </cell>
        </row>
        <row r="90">
          <cell r="A90" t="str">
            <v>EWJ1185</v>
          </cell>
        </row>
        <row r="91">
          <cell r="A91" t="str">
            <v>EWJ1157</v>
          </cell>
        </row>
        <row r="92">
          <cell r="A92" t="str">
            <v>EWJ1184</v>
          </cell>
        </row>
        <row r="93">
          <cell r="A93" t="str">
            <v>EWJ1183</v>
          </cell>
        </row>
        <row r="94">
          <cell r="A94" t="str">
            <v>EWJ1182</v>
          </cell>
        </row>
        <row r="95">
          <cell r="A95" t="str">
            <v>FUO0740</v>
          </cell>
        </row>
        <row r="96">
          <cell r="A96" t="str">
            <v>FUZ0670</v>
          </cell>
        </row>
        <row r="97">
          <cell r="A97" t="str">
            <v>EWJ0711</v>
          </cell>
        </row>
        <row r="98">
          <cell r="A98" t="str">
            <v>EWJ0712</v>
          </cell>
        </row>
        <row r="99">
          <cell r="A99" t="str">
            <v>EWJ0713</v>
          </cell>
        </row>
        <row r="100">
          <cell r="A100" t="str">
            <v>EWJ0714</v>
          </cell>
        </row>
        <row r="101">
          <cell r="A101" t="str">
            <v>EWJ0716</v>
          </cell>
        </row>
        <row r="102">
          <cell r="A102" t="str">
            <v>EWJ0717</v>
          </cell>
        </row>
        <row r="103">
          <cell r="A103" t="str">
            <v>EWJ0718</v>
          </cell>
        </row>
        <row r="104">
          <cell r="A104" t="str">
            <v>EWJ0719</v>
          </cell>
        </row>
        <row r="105">
          <cell r="A105" t="str">
            <v>EWJ0720</v>
          </cell>
        </row>
        <row r="106">
          <cell r="A106" t="str">
            <v>EWJ0721</v>
          </cell>
        </row>
        <row r="107">
          <cell r="A107" t="str">
            <v>EWJ0722</v>
          </cell>
        </row>
        <row r="108">
          <cell r="A108" t="str">
            <v>EWJ0723</v>
          </cell>
        </row>
        <row r="109">
          <cell r="A109" t="str">
            <v>EWJ0724</v>
          </cell>
        </row>
        <row r="110">
          <cell r="A110" t="str">
            <v>EWJ0725</v>
          </cell>
        </row>
        <row r="111">
          <cell r="A111" t="str">
            <v>EWJ0726</v>
          </cell>
        </row>
        <row r="112">
          <cell r="A112" t="str">
            <v>EWJ0727</v>
          </cell>
        </row>
        <row r="113">
          <cell r="A113" t="str">
            <v>EWJ0728</v>
          </cell>
        </row>
        <row r="114">
          <cell r="A114" t="str">
            <v>EWJ0729</v>
          </cell>
        </row>
        <row r="115">
          <cell r="A115" t="str">
            <v>EWJ0730</v>
          </cell>
        </row>
        <row r="116">
          <cell r="A116" t="str">
            <v>EWJ0731</v>
          </cell>
        </row>
        <row r="117">
          <cell r="A117" t="str">
            <v>EWJ0732</v>
          </cell>
        </row>
        <row r="118">
          <cell r="A118" t="str">
            <v>EWJ0733</v>
          </cell>
        </row>
        <row r="119">
          <cell r="A119" t="str">
            <v>EWJ0734</v>
          </cell>
        </row>
        <row r="120">
          <cell r="A120" t="str">
            <v>EWJ0735</v>
          </cell>
        </row>
        <row r="121">
          <cell r="A121" t="str">
            <v>EWJ0736</v>
          </cell>
        </row>
        <row r="122">
          <cell r="A122" t="str">
            <v>EWJ0737</v>
          </cell>
        </row>
        <row r="123">
          <cell r="A123" t="str">
            <v>EWJ0738</v>
          </cell>
        </row>
        <row r="124">
          <cell r="A124" t="str">
            <v>EWJ0739</v>
          </cell>
        </row>
        <row r="125">
          <cell r="A125" t="str">
            <v>EWJ0740</v>
          </cell>
        </row>
        <row r="126">
          <cell r="A126" t="str">
            <v>EWJ0742</v>
          </cell>
        </row>
        <row r="127">
          <cell r="A127" t="str">
            <v>EWJ0743</v>
          </cell>
        </row>
        <row r="128">
          <cell r="A128" t="str">
            <v>EWJ0744</v>
          </cell>
        </row>
        <row r="129">
          <cell r="A129" t="str">
            <v>EWJ0745</v>
          </cell>
        </row>
        <row r="130">
          <cell r="A130" t="str">
            <v>EWJ0746</v>
          </cell>
        </row>
        <row r="131">
          <cell r="A131" t="str">
            <v>EWJ0747</v>
          </cell>
        </row>
        <row r="132">
          <cell r="A132" t="str">
            <v>EWJ0748</v>
          </cell>
        </row>
        <row r="133">
          <cell r="A133" t="str">
            <v>EWJ0749</v>
          </cell>
        </row>
        <row r="134">
          <cell r="A134" t="str">
            <v>EWJ0751</v>
          </cell>
        </row>
        <row r="135">
          <cell r="A135" t="str">
            <v>EWJ0752</v>
          </cell>
        </row>
        <row r="136">
          <cell r="A136" t="str">
            <v>EWJ0753</v>
          </cell>
        </row>
        <row r="137">
          <cell r="A137" t="str">
            <v>EWJ0754</v>
          </cell>
        </row>
        <row r="138">
          <cell r="A138" t="str">
            <v>EWJ0755</v>
          </cell>
        </row>
        <row r="139">
          <cell r="A139" t="str">
            <v>EWJ0756</v>
          </cell>
        </row>
        <row r="140">
          <cell r="A140" t="str">
            <v>EWJ0757</v>
          </cell>
        </row>
        <row r="141">
          <cell r="A141" t="str">
            <v>EWJ0758</v>
          </cell>
        </row>
        <row r="142">
          <cell r="A142" t="str">
            <v>EWJ0759</v>
          </cell>
        </row>
        <row r="143">
          <cell r="A143" t="str">
            <v>EWJ0760</v>
          </cell>
        </row>
        <row r="144">
          <cell r="A144" t="str">
            <v>EWJ0761</v>
          </cell>
        </row>
        <row r="145">
          <cell r="A145" t="str">
            <v>FKE9796</v>
          </cell>
        </row>
        <row r="146">
          <cell r="A146" t="str">
            <v>FKE9798</v>
          </cell>
        </row>
        <row r="147">
          <cell r="A147" t="str">
            <v>FKE9799</v>
          </cell>
        </row>
        <row r="148">
          <cell r="A148" t="str">
            <v>FKE9800</v>
          </cell>
        </row>
        <row r="149">
          <cell r="A149" t="str">
            <v>FKE9801</v>
          </cell>
        </row>
        <row r="150">
          <cell r="A150" t="str">
            <v>FKE9804</v>
          </cell>
        </row>
        <row r="151">
          <cell r="A151" t="str">
            <v>FKE9781</v>
          </cell>
        </row>
        <row r="152">
          <cell r="A152" t="str">
            <v>FKE9805</v>
          </cell>
        </row>
        <row r="153">
          <cell r="A153" t="str">
            <v>FKE9789</v>
          </cell>
        </row>
        <row r="154">
          <cell r="A154" t="str">
            <v>FKE9790</v>
          </cell>
        </row>
        <row r="155">
          <cell r="A155" t="str">
            <v>FKE9791</v>
          </cell>
        </row>
        <row r="156">
          <cell r="A156" t="str">
            <v>FKE9792</v>
          </cell>
        </row>
        <row r="157">
          <cell r="A157" t="str">
            <v>FKE9793</v>
          </cell>
        </row>
        <row r="158">
          <cell r="A158" t="str">
            <v>FKE9794</v>
          </cell>
        </row>
        <row r="159">
          <cell r="A159" t="str">
            <v>FKE9795</v>
          </cell>
        </row>
        <row r="160">
          <cell r="A160" t="str">
            <v>FKE9802</v>
          </cell>
        </row>
        <row r="161">
          <cell r="A161" t="str">
            <v>FKE9803</v>
          </cell>
        </row>
        <row r="162">
          <cell r="A162" t="str">
            <v>FKE9788</v>
          </cell>
        </row>
        <row r="163">
          <cell r="A163" t="str">
            <v>FKE9783</v>
          </cell>
        </row>
        <row r="164">
          <cell r="A164" t="str">
            <v>FKE9784</v>
          </cell>
        </row>
        <row r="165">
          <cell r="A165" t="str">
            <v>FKE9785</v>
          </cell>
        </row>
        <row r="166">
          <cell r="A166" t="str">
            <v>FKE9786</v>
          </cell>
        </row>
        <row r="167">
          <cell r="A167" t="str">
            <v>FKE9787</v>
          </cell>
        </row>
        <row r="168">
          <cell r="A168" t="str">
            <v>FSQ8597</v>
          </cell>
        </row>
        <row r="169">
          <cell r="A169" t="str">
            <v>FTA5346</v>
          </cell>
        </row>
        <row r="170">
          <cell r="A170" t="str">
            <v>FTA6573</v>
          </cell>
        </row>
        <row r="171">
          <cell r="A171" t="str">
            <v>FTI3715</v>
          </cell>
        </row>
        <row r="172">
          <cell r="A172" t="str">
            <v>FTN2836</v>
          </cell>
        </row>
        <row r="173">
          <cell r="A173" t="str">
            <v>FTR9416</v>
          </cell>
        </row>
        <row r="174">
          <cell r="A174" t="str">
            <v>FTS5827</v>
          </cell>
        </row>
        <row r="175">
          <cell r="A175" t="str">
            <v>FTU5292</v>
          </cell>
        </row>
        <row r="176">
          <cell r="A176" t="str">
            <v>FTU7951</v>
          </cell>
        </row>
        <row r="177">
          <cell r="A177" t="str">
            <v>FTZ0214</v>
          </cell>
        </row>
        <row r="178">
          <cell r="A178" t="str">
            <v>FTZ8973</v>
          </cell>
        </row>
        <row r="179">
          <cell r="A179" t="str">
            <v>FKE9782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09"/>
      <sheetName val="Fev09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POR EMPRESA"/>
      <sheetName val="RESUMO POR EMPRESA E FILIAL"/>
      <sheetName val="ANALITICO"/>
      <sheetName val="PROCV"/>
      <sheetName val="Plan1"/>
      <sheetName val="Plan4"/>
      <sheetName val="DEMITIDOS"/>
    </sheetNames>
    <sheetDataSet>
      <sheetData sheetId="0"/>
      <sheetData sheetId="1"/>
      <sheetData sheetId="2"/>
      <sheetData sheetId="3">
        <row r="1">
          <cell r="B1" t="str">
            <v>Matricula</v>
          </cell>
          <cell r="C1" t="str">
            <v>Nome</v>
          </cell>
          <cell r="D1" t="str">
            <v>Descrição da Diretoria</v>
          </cell>
        </row>
        <row r="2">
          <cell r="A2" t="str">
            <v>31064ADENILSON CONCEICAO DOS SANTOS</v>
          </cell>
          <cell r="B2">
            <v>31064</v>
          </cell>
          <cell r="C2" t="str">
            <v>ADENILSON CONCEICAO DOS SANTOS</v>
          </cell>
          <cell r="D2" t="str">
            <v xml:space="preserve">OPERAÇÃO ARMAZÉM </v>
          </cell>
        </row>
        <row r="3">
          <cell r="A3" t="str">
            <v>17010ADENILTON PINHEIRO VIANA</v>
          </cell>
          <cell r="B3">
            <v>17010</v>
          </cell>
          <cell r="C3" t="str">
            <v>ADENILTON PINHEIRO VIANA</v>
          </cell>
          <cell r="D3" t="str">
            <v xml:space="preserve">OPERAÇÃO ARMAZÉM </v>
          </cell>
        </row>
        <row r="4">
          <cell r="A4" t="str">
            <v>24399ADIVAN CABRAL DAS NEVES</v>
          </cell>
          <cell r="B4">
            <v>24399</v>
          </cell>
          <cell r="C4" t="str">
            <v>ADIVAN CABRAL DAS NEVES</v>
          </cell>
          <cell r="D4" t="str">
            <v>OPERAÇÃO ARMAZÉM</v>
          </cell>
        </row>
        <row r="5">
          <cell r="A5" t="str">
            <v>31194ADRIANO DA SILVA</v>
          </cell>
          <cell r="B5">
            <v>31194</v>
          </cell>
          <cell r="C5" t="str">
            <v>ADRIANO DA SILVA</v>
          </cell>
          <cell r="D5" t="str">
            <v>OPERAÇÃO ARMAZÉM</v>
          </cell>
        </row>
        <row r="6">
          <cell r="A6" t="str">
            <v>29221ADRIANO SOUSA DA SILVA</v>
          </cell>
          <cell r="B6">
            <v>29221</v>
          </cell>
          <cell r="C6" t="str">
            <v>ADRIANO SOUSA DA SILVA</v>
          </cell>
          <cell r="D6" t="str">
            <v xml:space="preserve">OPERAÇÃO ARMAZÉM </v>
          </cell>
        </row>
        <row r="7">
          <cell r="A7" t="str">
            <v>21665ADRIANO VOLNEI DA SILVA</v>
          </cell>
          <cell r="B7">
            <v>21665</v>
          </cell>
          <cell r="C7" t="str">
            <v>ADRIANO VOLNEI DA SILVA</v>
          </cell>
          <cell r="D7" t="str">
            <v>OPERAÇÃO ARMAZÉM</v>
          </cell>
        </row>
        <row r="8">
          <cell r="A8" t="str">
            <v>29375AIRTON ELIAS DOS SANTOS</v>
          </cell>
          <cell r="B8">
            <v>29375</v>
          </cell>
          <cell r="C8" t="str">
            <v>AIRTON ELIAS DOS SANTOS</v>
          </cell>
          <cell r="D8" t="str">
            <v>OPERAÇÃO ARMAZÉM</v>
          </cell>
        </row>
        <row r="9">
          <cell r="A9" t="str">
            <v>26395ALAN FLORIANO DA SILVA</v>
          </cell>
          <cell r="B9">
            <v>26395</v>
          </cell>
          <cell r="C9" t="str">
            <v>ALAN FLORIANO DA SILVA</v>
          </cell>
          <cell r="D9" t="str">
            <v xml:space="preserve">OPERAÇÃO ARMAZÉM </v>
          </cell>
        </row>
        <row r="10">
          <cell r="A10" t="str">
            <v>23499ALAN ROBERTO DE CARVALHO MARTINS</v>
          </cell>
          <cell r="B10">
            <v>23499</v>
          </cell>
          <cell r="C10" t="str">
            <v>ALAN ROBERTO DE CARVALHO MARTINS</v>
          </cell>
          <cell r="D10" t="str">
            <v xml:space="preserve">OPERAÇÃO ARMAZÉM </v>
          </cell>
        </row>
        <row r="11">
          <cell r="A11" t="str">
            <v>18534ALBERTO DA SILVA VIDINHA FILHO</v>
          </cell>
          <cell r="B11">
            <v>18534</v>
          </cell>
          <cell r="C11" t="str">
            <v>ALBERTO DA SILVA VIDINHA FILHO</v>
          </cell>
          <cell r="D11" t="str">
            <v xml:space="preserve">OPERAÇÃO ARMAZÉM </v>
          </cell>
        </row>
        <row r="12">
          <cell r="A12" t="str">
            <v>27765ALCIENE BEZERRA AGOSTINHO</v>
          </cell>
          <cell r="B12">
            <v>27765</v>
          </cell>
          <cell r="C12" t="str">
            <v>ALCIENE BEZERRA AGOSTINHO</v>
          </cell>
          <cell r="D12" t="str">
            <v>OPERAÇÃO ARMAZÉM</v>
          </cell>
        </row>
        <row r="13">
          <cell r="A13" t="str">
            <v>31543ALESSON DOS SANTOS MELO</v>
          </cell>
          <cell r="B13">
            <v>31543</v>
          </cell>
          <cell r="C13" t="str">
            <v>ALESSON DOS SANTOS MELO</v>
          </cell>
          <cell r="D13" t="str">
            <v>OPERAÇÃO ARMAZÉM</v>
          </cell>
        </row>
        <row r="14">
          <cell r="A14" t="str">
            <v>31573ALEX BEZERRA NOGUEIRA</v>
          </cell>
          <cell r="B14">
            <v>31573</v>
          </cell>
          <cell r="C14" t="str">
            <v>ALEX BEZERRA NOGUEIRA</v>
          </cell>
          <cell r="D14" t="str">
            <v xml:space="preserve">OPERAÇÃO ARMAZÉM </v>
          </cell>
        </row>
        <row r="15">
          <cell r="A15" t="str">
            <v>28734ALICE SILVA DE SOUZA</v>
          </cell>
          <cell r="B15">
            <v>28734</v>
          </cell>
          <cell r="C15" t="str">
            <v>ALICE SILVA DE SOUZA</v>
          </cell>
          <cell r="D15" t="str">
            <v xml:space="preserve">OPERAÇÃO ARMAZÉM </v>
          </cell>
        </row>
        <row r="16">
          <cell r="A16" t="str">
            <v>25220ALEXANDRA FERREIRA DA SILVA</v>
          </cell>
          <cell r="B16">
            <v>25220</v>
          </cell>
          <cell r="C16" t="str">
            <v>ALEXANDRA FERREIRA DA SILVA</v>
          </cell>
          <cell r="D16" t="str">
            <v xml:space="preserve">OPERAÇÃO ARMAZÉM </v>
          </cell>
        </row>
        <row r="17">
          <cell r="A17" t="str">
            <v>18279ALEXANDRE DE SOUZA REIS</v>
          </cell>
          <cell r="B17">
            <v>18279</v>
          </cell>
          <cell r="C17" t="str">
            <v>ALEXANDRE DE SOUZA REIS</v>
          </cell>
          <cell r="D17" t="str">
            <v xml:space="preserve">OPERAÇÃO ARMAZÉM </v>
          </cell>
        </row>
        <row r="18">
          <cell r="A18" t="str">
            <v>31260ANDERSON VIEIRA SEVERIANO</v>
          </cell>
          <cell r="B18">
            <v>31260</v>
          </cell>
          <cell r="C18" t="str">
            <v>ANDERSON VIEIRA SEVERIANO</v>
          </cell>
          <cell r="D18" t="str">
            <v xml:space="preserve">OPERAÇÃO ARMAZÉM </v>
          </cell>
        </row>
        <row r="19">
          <cell r="A19" t="str">
            <v>18321ALINE DIAS CARVALHO DE OLIVEIRA</v>
          </cell>
          <cell r="B19">
            <v>18321</v>
          </cell>
          <cell r="C19" t="str">
            <v>ALINE DIAS CARVALHO DE OLIVEIRA</v>
          </cell>
          <cell r="D19" t="str">
            <v>TECNOLOGIA DA INFORMAÇÃO</v>
          </cell>
        </row>
        <row r="20">
          <cell r="A20" t="str">
            <v>31211ALINE DO CARMO DA SILVA MAIA</v>
          </cell>
          <cell r="B20">
            <v>31211</v>
          </cell>
          <cell r="C20" t="str">
            <v>ALINE DO CARMO DA SILVA MAIA</v>
          </cell>
          <cell r="D20" t="str">
            <v>QUALIDADE</v>
          </cell>
        </row>
        <row r="21">
          <cell r="A21" t="str">
            <v>27766ALINE DOS SANTOS VIANA</v>
          </cell>
          <cell r="B21">
            <v>27766</v>
          </cell>
          <cell r="C21" t="str">
            <v>ALINE DOS SANTOS VIANA</v>
          </cell>
          <cell r="D21" t="str">
            <v>OPERAÇÃO ARMAZÉM</v>
          </cell>
        </row>
        <row r="22">
          <cell r="A22" t="str">
            <v>31554ALOIR BRITO DE JESUS</v>
          </cell>
          <cell r="B22">
            <v>31554</v>
          </cell>
          <cell r="C22" t="str">
            <v>ALOIR BRITO DE JESUS</v>
          </cell>
          <cell r="D22" t="str">
            <v>TECNOLOGIA DA INFORMAÇÃO</v>
          </cell>
        </row>
        <row r="23">
          <cell r="A23" t="str">
            <v>31595ALVARO DIAS DE LYRA</v>
          </cell>
          <cell r="B23">
            <v>31595</v>
          </cell>
          <cell r="C23" t="str">
            <v>ALVARO DIAS DE LYRA</v>
          </cell>
          <cell r="D23" t="str">
            <v xml:space="preserve">OPERAÇÃO ARMAZÉM </v>
          </cell>
        </row>
        <row r="24">
          <cell r="A24" t="str">
            <v>18599AMANDA CRISTINA ALBUQUERQUE CAMPOS</v>
          </cell>
          <cell r="B24">
            <v>18599</v>
          </cell>
          <cell r="C24" t="str">
            <v>AMANDA CRISTINA ALBUQUERQUE CAMPOS</v>
          </cell>
          <cell r="D24" t="str">
            <v>QUALIDADE</v>
          </cell>
        </row>
        <row r="25">
          <cell r="A25" t="str">
            <v>27678AMARA LUCIA CARDOSO DE LIMA</v>
          </cell>
          <cell r="B25">
            <v>27678</v>
          </cell>
          <cell r="C25" t="str">
            <v>AMARA LUCIA CARDOSO DE LIMA</v>
          </cell>
          <cell r="D25" t="str">
            <v>SEGURANÇA PATRIMONIAL</v>
          </cell>
        </row>
        <row r="26">
          <cell r="A26" t="str">
            <v>30592AMARO PATRIK GUINANCIO SOARES</v>
          </cell>
          <cell r="B26">
            <v>30592</v>
          </cell>
          <cell r="C26" t="str">
            <v>AMARO PATRIK GUINANCIO SOARES</v>
          </cell>
          <cell r="D26" t="str">
            <v xml:space="preserve">OPERAÇÃO ARMAZÉM </v>
          </cell>
        </row>
        <row r="27">
          <cell r="A27" t="str">
            <v>31592ANA CAROLINA RODRIGUES PERES</v>
          </cell>
          <cell r="B27">
            <v>31592</v>
          </cell>
          <cell r="C27" t="str">
            <v>ANA CAROLINA RODRIGUES PERES</v>
          </cell>
          <cell r="D27" t="str">
            <v>QUALIDADE</v>
          </cell>
        </row>
        <row r="28">
          <cell r="A28" t="str">
            <v>21627ANDRE LUIZ DE SOUSA</v>
          </cell>
          <cell r="B28">
            <v>21627</v>
          </cell>
          <cell r="C28" t="str">
            <v>ANDRE LUIZ DE SOUSA</v>
          </cell>
          <cell r="D28" t="str">
            <v xml:space="preserve">OPERAÇÃO ARMAZÉM </v>
          </cell>
        </row>
        <row r="29">
          <cell r="A29" t="str">
            <v>28627ANA FERREIRA DOS SANTOS</v>
          </cell>
          <cell r="B29">
            <v>28627</v>
          </cell>
          <cell r="C29" t="str">
            <v>ANA FERREIRA DOS SANTOS</v>
          </cell>
          <cell r="D29" t="str">
            <v xml:space="preserve">OPERAÇÃO ARMAZÉM </v>
          </cell>
        </row>
        <row r="30">
          <cell r="A30" t="str">
            <v>28215ANA KELLY DE SOUZA DUTRA</v>
          </cell>
          <cell r="B30">
            <v>28215</v>
          </cell>
          <cell r="C30" t="str">
            <v>ANA KELLY DE SOUZA DUTRA</v>
          </cell>
          <cell r="D30" t="str">
            <v xml:space="preserve">OPERAÇÃO ARMAZÉM </v>
          </cell>
        </row>
        <row r="31">
          <cell r="A31" t="str">
            <v>31167ANA KILVIA PEIXOTO NASCIMENTO</v>
          </cell>
          <cell r="B31">
            <v>31167</v>
          </cell>
          <cell r="C31" t="str">
            <v>ANA KILVIA PEIXOTO NASCIMENTO</v>
          </cell>
          <cell r="D31" t="str">
            <v>OPERAÇÃO ARMAZÉM</v>
          </cell>
        </row>
        <row r="32">
          <cell r="A32" t="str">
            <v>30591ANA PAULA BRABO ROCHA</v>
          </cell>
          <cell r="B32">
            <v>30591</v>
          </cell>
          <cell r="C32" t="str">
            <v>ANA PAULA BRABO ROCHA</v>
          </cell>
          <cell r="D32" t="str">
            <v>OPERAÇÃO ARMAZÉM</v>
          </cell>
        </row>
        <row r="33">
          <cell r="A33" t="str">
            <v>26972ANA PAULA DOS SANTOS BOMFIM</v>
          </cell>
          <cell r="B33">
            <v>26972</v>
          </cell>
          <cell r="C33" t="str">
            <v>ANA PAULA DOS SANTOS BOMFIM</v>
          </cell>
          <cell r="D33" t="str">
            <v xml:space="preserve">OPERAÇÃO ARMAZÉM </v>
          </cell>
        </row>
        <row r="34">
          <cell r="A34" t="str">
            <v>31253ANANDA SANTOS SILVA</v>
          </cell>
          <cell r="B34">
            <v>31253</v>
          </cell>
          <cell r="C34" t="str">
            <v>ANANDA SANTOS SILVA</v>
          </cell>
          <cell r="D34" t="str">
            <v>OPERAÇÃO ARMAZÉM</v>
          </cell>
        </row>
        <row r="35">
          <cell r="A35" t="str">
            <v>31529ANDERSON DAMACENA DE ARAUJO</v>
          </cell>
          <cell r="B35">
            <v>31529</v>
          </cell>
          <cell r="C35" t="str">
            <v>ANDERSON DAMACENA DE ARAUJO</v>
          </cell>
          <cell r="D35" t="str">
            <v>QUALIDADE</v>
          </cell>
        </row>
        <row r="36">
          <cell r="A36" t="str">
            <v>31539ANDRE MINEU DE MORAIS</v>
          </cell>
          <cell r="B36">
            <v>31539</v>
          </cell>
          <cell r="C36" t="str">
            <v>ANDRE MINEU DE MORAIS</v>
          </cell>
          <cell r="D36" t="str">
            <v xml:space="preserve">OPERAÇÃO ARMAZÉM </v>
          </cell>
        </row>
        <row r="37">
          <cell r="A37" t="str">
            <v>26876ANDERSON LUIS ARAUJO FRANCO</v>
          </cell>
          <cell r="B37">
            <v>26876</v>
          </cell>
          <cell r="C37" t="str">
            <v>ANDERSON LUIS ARAUJO FRANCO</v>
          </cell>
          <cell r="D37" t="str">
            <v xml:space="preserve">OPERAÇÃO ARMAZÉM </v>
          </cell>
        </row>
        <row r="38">
          <cell r="A38" t="str">
            <v>31034ANDERSON RICARDO MATIAS</v>
          </cell>
          <cell r="B38">
            <v>31034</v>
          </cell>
          <cell r="C38" t="str">
            <v>ANDERSON RICARDO MATIAS</v>
          </cell>
          <cell r="D38" t="str">
            <v xml:space="preserve">OPERAÇÃO ARMAZÉM </v>
          </cell>
        </row>
        <row r="39">
          <cell r="A39" t="str">
            <v>26176ANTONIO RODRIGUES DA SILVA DE ALMEIDA</v>
          </cell>
          <cell r="B39">
            <v>26176</v>
          </cell>
          <cell r="C39" t="str">
            <v>ANTONIO RODRIGUES DA SILVA DE ALMEIDA</v>
          </cell>
          <cell r="D39" t="str">
            <v xml:space="preserve">OPERAÇÃO ARMAZÉM </v>
          </cell>
        </row>
        <row r="40">
          <cell r="A40" t="str">
            <v>30580ANDRE FILIPE DAS CHAGAS PESSOA</v>
          </cell>
          <cell r="B40">
            <v>30580</v>
          </cell>
          <cell r="C40" t="str">
            <v>ANDRE FILIPE DAS CHAGAS PESSOA</v>
          </cell>
          <cell r="D40" t="str">
            <v>QUALIDADE</v>
          </cell>
        </row>
        <row r="41">
          <cell r="A41" t="str">
            <v>26650ANDRE LUIS DOS SANTOS</v>
          </cell>
          <cell r="B41">
            <v>26650</v>
          </cell>
          <cell r="C41" t="str">
            <v>ANDRE LUIS DOS SANTOS</v>
          </cell>
          <cell r="D41" t="str">
            <v xml:space="preserve">OPERAÇÃO ARMAZÉM </v>
          </cell>
        </row>
        <row r="42">
          <cell r="A42" t="str">
            <v>19112ANDRE LUIS FABIANO BISPO</v>
          </cell>
          <cell r="B42">
            <v>19112</v>
          </cell>
          <cell r="C42" t="str">
            <v>ANDRE LUIS FABIANO BISPO</v>
          </cell>
          <cell r="D42" t="str">
            <v xml:space="preserve">OPERAÇÃO ARMAZÉM </v>
          </cell>
        </row>
        <row r="43">
          <cell r="A43" t="str">
            <v>24742ARIANE BORGES DE OLIVEIRA</v>
          </cell>
          <cell r="B43">
            <v>24742</v>
          </cell>
          <cell r="C43" t="str">
            <v>ARIANE BORGES DE OLIVEIRA</v>
          </cell>
          <cell r="D43" t="str">
            <v xml:space="preserve">OPERAÇÃO ARMAZÉM </v>
          </cell>
        </row>
        <row r="44">
          <cell r="A44" t="str">
            <v>18069ANDRE LUIZ VIEIRA GUIMARAES BARBOSA</v>
          </cell>
          <cell r="B44">
            <v>18069</v>
          </cell>
          <cell r="C44" t="str">
            <v>ANDRE LUIZ VIEIRA GUIMARAES BARBOSA</v>
          </cell>
          <cell r="D44" t="str">
            <v xml:space="preserve">OPERAÇÃO ARMAZÉM </v>
          </cell>
        </row>
        <row r="45">
          <cell r="A45" t="str">
            <v>24135CARLA MINUNI DA SILVA</v>
          </cell>
          <cell r="B45">
            <v>24135</v>
          </cell>
          <cell r="C45" t="str">
            <v>CARLA MINUNI DA SILVA</v>
          </cell>
          <cell r="D45" t="str">
            <v xml:space="preserve">OPERAÇÃO ARMAZÉM </v>
          </cell>
        </row>
        <row r="46">
          <cell r="A46" t="str">
            <v>17759ANDRE MIRANDA DE SOUZA</v>
          </cell>
          <cell r="B46">
            <v>17759</v>
          </cell>
          <cell r="C46" t="str">
            <v>ANDRE MIRANDA DE SOUZA</v>
          </cell>
          <cell r="D46" t="str">
            <v>SERVIÇOS</v>
          </cell>
        </row>
        <row r="47">
          <cell r="A47" t="str">
            <v>24009ANDRE VITOR DE OLIVEIRA</v>
          </cell>
          <cell r="B47">
            <v>24009</v>
          </cell>
          <cell r="C47" t="str">
            <v>ANDRE VITOR DE OLIVEIRA</v>
          </cell>
          <cell r="D47" t="str">
            <v xml:space="preserve">OPERAÇÃO ARMAZÉM </v>
          </cell>
        </row>
        <row r="48">
          <cell r="A48" t="str">
            <v>31492ANDRESSA VALEIS SANTANA ANAEL</v>
          </cell>
          <cell r="B48">
            <v>31492</v>
          </cell>
          <cell r="C48" t="str">
            <v>ANDRESSA VALEIS SANTANA ANAEL</v>
          </cell>
          <cell r="D48" t="str">
            <v>GOVERNANÇA</v>
          </cell>
        </row>
        <row r="49">
          <cell r="A49" t="str">
            <v>21919ANDREZA APARECIDA DA SILVA</v>
          </cell>
          <cell r="B49">
            <v>21919</v>
          </cell>
          <cell r="C49" t="str">
            <v>ANDREZA APARECIDA DA SILVA</v>
          </cell>
          <cell r="D49" t="str">
            <v xml:space="preserve">OPERAÇÃO ARMAZÉM </v>
          </cell>
        </row>
        <row r="50">
          <cell r="A50" t="str">
            <v>26954ANGELA DE ARAUJO MARQUES JUSTINO</v>
          </cell>
          <cell r="B50">
            <v>26954</v>
          </cell>
          <cell r="C50" t="str">
            <v>ANGELA DE ARAUJO MARQUES JUSTINO</v>
          </cell>
          <cell r="D50" t="str">
            <v xml:space="preserve">OPERAÇÃO ARMAZÉM </v>
          </cell>
        </row>
        <row r="51">
          <cell r="A51" t="str">
            <v>31144ANTONIA JESSICA PEREIRA DO NASCIMENTO</v>
          </cell>
          <cell r="B51">
            <v>31144</v>
          </cell>
          <cell r="C51" t="str">
            <v>ANTONIA JESSICA PEREIRA DO NASCIMENTO</v>
          </cell>
          <cell r="D51" t="str">
            <v>OPERAÇÃO ARMAZÉM</v>
          </cell>
        </row>
        <row r="52">
          <cell r="A52" t="str">
            <v>21406ANTONIO CARLOS DEOCLECIO SANTOS</v>
          </cell>
          <cell r="B52">
            <v>21406</v>
          </cell>
          <cell r="C52" t="str">
            <v>ANTONIO CARLOS DEOCLECIO SANTOS</v>
          </cell>
          <cell r="D52" t="str">
            <v xml:space="preserve">OPERAÇÃO ARMAZÉM </v>
          </cell>
        </row>
        <row r="53">
          <cell r="A53" t="str">
            <v>26838ANTONIO LUCAS LIMA CAVALCANTE</v>
          </cell>
          <cell r="B53">
            <v>26838</v>
          </cell>
          <cell r="C53" t="str">
            <v>ANTONIO LUCAS LIMA CAVALCANTE</v>
          </cell>
          <cell r="D53" t="str">
            <v>GOVERNANÇA</v>
          </cell>
        </row>
        <row r="54">
          <cell r="A54" t="str">
            <v>30551ANTONIO MARCOS SILVA DOS ANJOS</v>
          </cell>
          <cell r="B54">
            <v>30551</v>
          </cell>
          <cell r="C54" t="str">
            <v>ANTONIO MARCOS SILVA DOS ANJOS</v>
          </cell>
          <cell r="D54" t="str">
            <v xml:space="preserve">OPERAÇÃO ARMAZÉM </v>
          </cell>
        </row>
        <row r="55">
          <cell r="A55" t="str">
            <v>27386CARLOS ISRAEL DIAS COSTA</v>
          </cell>
          <cell r="B55">
            <v>27386</v>
          </cell>
          <cell r="C55" t="str">
            <v>CARLOS ISRAEL DIAS COSTA</v>
          </cell>
          <cell r="D55" t="str">
            <v xml:space="preserve">OPERAÇÃO ARMAZÉM </v>
          </cell>
        </row>
        <row r="56">
          <cell r="A56" t="str">
            <v>29159ANTONIO TIAGO DOS SANTOS</v>
          </cell>
          <cell r="B56">
            <v>29159</v>
          </cell>
          <cell r="C56" t="str">
            <v>ANTONIO TIAGO DOS SANTOS</v>
          </cell>
          <cell r="D56" t="str">
            <v>OPERAÇÃO ARMAZÉM</v>
          </cell>
        </row>
        <row r="57">
          <cell r="A57" t="str">
            <v>25655CELSO FONTES DE OLIVEIRA JUNIOR</v>
          </cell>
          <cell r="B57">
            <v>25655</v>
          </cell>
          <cell r="C57" t="str">
            <v>CELSO FONTES DE OLIVEIRA JUNIOR</v>
          </cell>
          <cell r="D57" t="str">
            <v xml:space="preserve">OPERAÇÃO ARMAZÉM </v>
          </cell>
        </row>
        <row r="58">
          <cell r="A58" t="str">
            <v>20798ARICARLA SOUZA OLIVEIRA DO CARMO</v>
          </cell>
          <cell r="B58">
            <v>20798</v>
          </cell>
          <cell r="C58" t="str">
            <v>ARICARLA SOUZA OLIVEIRA DO CARMO</v>
          </cell>
          <cell r="D58" t="str">
            <v xml:space="preserve">OPERAÇÃO ARMAZÉM </v>
          </cell>
        </row>
        <row r="59">
          <cell r="A59" t="str">
            <v>27566ARTHUR DE MATOS FAUSTINO</v>
          </cell>
          <cell r="B59">
            <v>27566</v>
          </cell>
          <cell r="C59" t="str">
            <v>ARTHUR DE MATOS FAUSTINO</v>
          </cell>
          <cell r="D59" t="str">
            <v xml:space="preserve">OPERAÇÃO ARMAZÉM </v>
          </cell>
        </row>
        <row r="60">
          <cell r="A60" t="str">
            <v>27080BEATRIZ GONCALVES DOS PRASERES</v>
          </cell>
          <cell r="B60">
            <v>27080</v>
          </cell>
          <cell r="C60" t="str">
            <v>BEATRIZ GONCALVES DOS PRASERES</v>
          </cell>
          <cell r="D60" t="str">
            <v>OPERAÇÃO ARMAZÉM</v>
          </cell>
        </row>
        <row r="61">
          <cell r="A61" t="str">
            <v>31564BEN HUR GARCEZ CESAR</v>
          </cell>
          <cell r="B61">
            <v>31564</v>
          </cell>
          <cell r="C61" t="str">
            <v>BEN HUR GARCEZ CESAR</v>
          </cell>
          <cell r="D61" t="str">
            <v>SERVIÇOS</v>
          </cell>
        </row>
        <row r="62">
          <cell r="A62" t="str">
            <v>24228BRUNA DOS SANTOS DEMORO</v>
          </cell>
          <cell r="B62">
            <v>24228</v>
          </cell>
          <cell r="C62" t="str">
            <v>BRUNA DOS SANTOS DEMORO</v>
          </cell>
          <cell r="D62" t="str">
            <v>OPERAÇÃO ARMAZÉM</v>
          </cell>
        </row>
        <row r="63">
          <cell r="A63" t="str">
            <v>17454BRUNA LETICIA PERESTRELO DA SILVA</v>
          </cell>
          <cell r="B63">
            <v>17454</v>
          </cell>
          <cell r="C63" t="str">
            <v>BRUNA LETICIA PERESTRELO DA SILVA</v>
          </cell>
          <cell r="D63" t="str">
            <v>QUALIDADE</v>
          </cell>
        </row>
        <row r="64">
          <cell r="A64" t="str">
            <v>27036BRUNA OLIVEIRA DE LIMA</v>
          </cell>
          <cell r="B64">
            <v>27036</v>
          </cell>
          <cell r="C64" t="str">
            <v>BRUNA OLIVEIRA DE LIMA</v>
          </cell>
          <cell r="D64" t="str">
            <v xml:space="preserve">OPERAÇÃO ARMAZÉM </v>
          </cell>
        </row>
        <row r="65">
          <cell r="A65" t="str">
            <v>30955BRUNO LACERDA DE LIMA</v>
          </cell>
          <cell r="B65">
            <v>30955</v>
          </cell>
          <cell r="C65" t="str">
            <v>BRUNO LACERDA DE LIMA</v>
          </cell>
          <cell r="D65" t="str">
            <v xml:space="preserve">OPERAÇÃO ARMAZÉM </v>
          </cell>
        </row>
        <row r="66">
          <cell r="A66" t="str">
            <v>31582BRUNO PEREIRA LACERDA DA SILVA</v>
          </cell>
          <cell r="B66">
            <v>31582</v>
          </cell>
          <cell r="C66" t="str">
            <v>BRUNO PEREIRA LACERDA DA SILVA</v>
          </cell>
          <cell r="D66" t="str">
            <v xml:space="preserve">OPERAÇÃO ARMAZÉM </v>
          </cell>
        </row>
        <row r="67">
          <cell r="A67" t="str">
            <v>31600CAIO DE SOUZA BATINGA BONUGLI CARPES</v>
          </cell>
          <cell r="B67">
            <v>31600</v>
          </cell>
          <cell r="C67" t="str">
            <v>CAIO DE SOUZA BATINGA BONUGLI CARPES</v>
          </cell>
          <cell r="D67" t="str">
            <v>OPERAÇÃO ARMAZÉM</v>
          </cell>
        </row>
        <row r="68">
          <cell r="A68" t="str">
            <v>31566DANIEL SANTOS PEREIRA</v>
          </cell>
          <cell r="B68">
            <v>31566</v>
          </cell>
          <cell r="C68" t="str">
            <v>DANIEL SANTOS PEREIRA</v>
          </cell>
          <cell r="D68" t="str">
            <v xml:space="preserve">OPERAÇÃO ARMAZÉM </v>
          </cell>
        </row>
        <row r="69">
          <cell r="A69" t="str">
            <v>22279DANILLO BARBOSA DE LIMA</v>
          </cell>
          <cell r="B69">
            <v>22279</v>
          </cell>
          <cell r="C69" t="str">
            <v>DANILLO BARBOSA DE LIMA</v>
          </cell>
          <cell r="D69" t="str">
            <v xml:space="preserve">OPERAÇÃO ARMAZÉM </v>
          </cell>
        </row>
        <row r="70">
          <cell r="A70" t="str">
            <v>28468CARINA MATA SANTANA</v>
          </cell>
          <cell r="B70">
            <v>28468</v>
          </cell>
          <cell r="C70" t="str">
            <v>CARINA MATA SANTANA</v>
          </cell>
          <cell r="D70" t="str">
            <v>OPERAÇÃO ARMAZÉM</v>
          </cell>
        </row>
        <row r="71">
          <cell r="A71" t="str">
            <v>27013CARLA MARIA MIRABELLO</v>
          </cell>
          <cell r="B71">
            <v>27013</v>
          </cell>
          <cell r="C71" t="str">
            <v>CARLA MARIA MIRABELLO</v>
          </cell>
          <cell r="D71" t="str">
            <v>OPERAÇÃO ARMAZÉM</v>
          </cell>
        </row>
        <row r="72">
          <cell r="A72" t="str">
            <v>26851DANILO FERNANDO DE OLIVEIRA PEREIRA</v>
          </cell>
          <cell r="B72">
            <v>26851</v>
          </cell>
          <cell r="C72" t="str">
            <v>DANILO FERNANDO DE OLIVEIRA PEREIRA</v>
          </cell>
          <cell r="D72" t="str">
            <v xml:space="preserve">OPERAÇÃO ARMAZÉM </v>
          </cell>
        </row>
        <row r="73">
          <cell r="A73" t="str">
            <v>26733CARLOS EDUARDO DOS SANTOS DA CONCEICAO</v>
          </cell>
          <cell r="B73">
            <v>26733</v>
          </cell>
          <cell r="C73" t="str">
            <v>CARLOS EDUARDO DOS SANTOS DA CONCEICAO</v>
          </cell>
          <cell r="D73" t="str">
            <v xml:space="preserve">OPERAÇÃO ARMAZÉM </v>
          </cell>
        </row>
        <row r="74">
          <cell r="A74" t="str">
            <v>27477CARLOS HENRIQUE LEITE SOARES</v>
          </cell>
          <cell r="B74">
            <v>27477</v>
          </cell>
          <cell r="C74" t="str">
            <v>CARLOS HENRIQUE LEITE SOARES</v>
          </cell>
          <cell r="D74" t="str">
            <v>OPERAÇÃO ARMAZÉM</v>
          </cell>
        </row>
        <row r="75">
          <cell r="A75" t="str">
            <v>24196DIOGO PIRES DE JESUS</v>
          </cell>
          <cell r="B75">
            <v>24196</v>
          </cell>
          <cell r="C75" t="str">
            <v>DIOGO PIRES DE JESUS</v>
          </cell>
          <cell r="D75" t="str">
            <v xml:space="preserve">OPERAÇÃO ARMAZÉM </v>
          </cell>
        </row>
        <row r="76">
          <cell r="A76" t="str">
            <v>27040CASSIA DONIZETE FERNANDES</v>
          </cell>
          <cell r="B76">
            <v>27040</v>
          </cell>
          <cell r="C76" t="str">
            <v>CASSIA DONIZETE FERNANDES</v>
          </cell>
          <cell r="D76" t="str">
            <v xml:space="preserve">OPERAÇÃO ARMAZÉM </v>
          </cell>
        </row>
        <row r="77">
          <cell r="A77" t="str">
            <v>28932CASSIUS ALMEIDA BRAGA DA SILVA</v>
          </cell>
          <cell r="B77">
            <v>28932</v>
          </cell>
          <cell r="C77" t="str">
            <v>CASSIUS ALMEIDA BRAGA DA SILVA</v>
          </cell>
          <cell r="D77" t="str">
            <v xml:space="preserve">OPERAÇÃO ARMAZÉM </v>
          </cell>
        </row>
        <row r="78">
          <cell r="A78" t="str">
            <v>30150CATIA DENISE RUTZ QUINTANA</v>
          </cell>
          <cell r="B78">
            <v>30150</v>
          </cell>
          <cell r="C78" t="str">
            <v>CATIA DENISE RUTZ QUINTANA</v>
          </cell>
          <cell r="D78" t="str">
            <v>OPERAÇÃO ARMAZÉM</v>
          </cell>
        </row>
        <row r="79">
          <cell r="A79" t="str">
            <v>27092EDILMA GONCALVES SANTOS</v>
          </cell>
          <cell r="B79">
            <v>27092</v>
          </cell>
          <cell r="C79" t="str">
            <v>EDILMA GONCALVES SANTOS</v>
          </cell>
          <cell r="D79" t="str">
            <v xml:space="preserve">OPERAÇÃO ARMAZÉM </v>
          </cell>
        </row>
        <row r="80">
          <cell r="A80" t="str">
            <v>28315CESAR ALEXANDRE DAL CASTEL LOPES DA SILVA</v>
          </cell>
          <cell r="B80">
            <v>28315</v>
          </cell>
          <cell r="C80" t="str">
            <v>CESAR ALEXANDRE DAL CASTEL LOPES DA SILVA</v>
          </cell>
          <cell r="D80" t="str">
            <v>OPERAÇÃO ARMAZÉM</v>
          </cell>
        </row>
        <row r="81">
          <cell r="A81" t="str">
            <v>18660CESAR DUTRA DE SOUZA</v>
          </cell>
          <cell r="B81">
            <v>18660</v>
          </cell>
          <cell r="C81" t="str">
            <v>CESAR DUTRA DE SOUZA</v>
          </cell>
          <cell r="D81" t="str">
            <v xml:space="preserve">OPERAÇÃO ARMAZÉM </v>
          </cell>
        </row>
        <row r="82">
          <cell r="A82" t="str">
            <v>24352CESAR EPAMINONDAS RODRIGUES</v>
          </cell>
          <cell r="B82">
            <v>24352</v>
          </cell>
          <cell r="C82" t="str">
            <v>CESAR EPAMINONDAS RODRIGUES</v>
          </cell>
          <cell r="D82" t="str">
            <v xml:space="preserve">OPERAÇÃO ARMAZÉM </v>
          </cell>
        </row>
        <row r="83">
          <cell r="A83" t="str">
            <v>31596CHARLES MARCEL DA SILVA</v>
          </cell>
          <cell r="B83">
            <v>31596</v>
          </cell>
          <cell r="C83" t="str">
            <v>CHARLES MARCEL DA SILVA</v>
          </cell>
          <cell r="D83" t="str">
            <v>OPERAÇÃO ARMAZÉM</v>
          </cell>
        </row>
        <row r="84">
          <cell r="A84" t="str">
            <v>25864CLAUDECI BERNARDINO DOS SANTOS GOMES</v>
          </cell>
          <cell r="B84">
            <v>25864</v>
          </cell>
          <cell r="C84" t="str">
            <v>CLAUDECI BERNARDINO DOS SANTOS GOMES</v>
          </cell>
          <cell r="D84" t="str">
            <v>OPERAÇÃO ARMAZÉM</v>
          </cell>
        </row>
        <row r="85">
          <cell r="A85" t="str">
            <v>17629CLAUDENIZ FERREIRA DA SILVA</v>
          </cell>
          <cell r="B85">
            <v>17629</v>
          </cell>
          <cell r="C85" t="str">
            <v>CLAUDENIZ FERREIRA DA SILVA</v>
          </cell>
          <cell r="D85" t="str">
            <v xml:space="preserve">OPERAÇÃO ARMAZÉM </v>
          </cell>
        </row>
        <row r="86">
          <cell r="A86" t="str">
            <v>26867CLAUDINEI MELO DO NASCIMENTO</v>
          </cell>
          <cell r="B86">
            <v>26867</v>
          </cell>
          <cell r="C86" t="str">
            <v>CLAUDINEI MELO DO NASCIMENTO</v>
          </cell>
          <cell r="D86" t="str">
            <v xml:space="preserve">OPERAÇÃO ARMAZÉM </v>
          </cell>
        </row>
        <row r="87">
          <cell r="A87" t="str">
            <v>19180CLAUDIO ANTONIO DA SILVA</v>
          </cell>
          <cell r="B87">
            <v>19180</v>
          </cell>
          <cell r="C87" t="str">
            <v>CLAUDIO ANTONIO DA SILVA</v>
          </cell>
          <cell r="D87" t="str">
            <v>TECNOLOGIA DA INFORMAÇÃO</v>
          </cell>
        </row>
        <row r="88">
          <cell r="A88" t="str">
            <v>31570CLAUDIO DE OLIVEIRA VIEIRA</v>
          </cell>
          <cell r="B88">
            <v>31570</v>
          </cell>
          <cell r="C88" t="str">
            <v>CLAUDIO DE OLIVEIRA VIEIRA</v>
          </cell>
          <cell r="D88" t="str">
            <v>SERVIÇOS</v>
          </cell>
        </row>
        <row r="89">
          <cell r="A89" t="str">
            <v>21794CLEBER ALESSANDRO PEREIRA DE SOUZA</v>
          </cell>
          <cell r="B89">
            <v>21794</v>
          </cell>
          <cell r="C89" t="str">
            <v>CLEBER ALESSANDRO PEREIRA DE SOUZA</v>
          </cell>
          <cell r="D89" t="str">
            <v>TECNOLOGIA DA INFORMAÇÃO</v>
          </cell>
        </row>
        <row r="90">
          <cell r="A90" t="str">
            <v>28624CLEIA MARIA DE LIMA SILVA</v>
          </cell>
          <cell r="B90">
            <v>28624</v>
          </cell>
          <cell r="C90" t="str">
            <v>CLEIA MARIA DE LIMA SILVA</v>
          </cell>
          <cell r="D90" t="str">
            <v xml:space="preserve">OPERAÇÃO ARMAZÉM </v>
          </cell>
        </row>
        <row r="91">
          <cell r="A91" t="str">
            <v>29273CLEITON TORQUATO NEVES</v>
          </cell>
          <cell r="B91">
            <v>29273</v>
          </cell>
          <cell r="C91" t="str">
            <v>CLEITON TORQUATO NEVES</v>
          </cell>
          <cell r="D91" t="str">
            <v xml:space="preserve">OPERAÇÃO ARMAZÉM </v>
          </cell>
        </row>
        <row r="92">
          <cell r="A92" t="str">
            <v>26899CLEUDES DE JESUS SANTOS</v>
          </cell>
          <cell r="B92">
            <v>26899</v>
          </cell>
          <cell r="C92" t="str">
            <v>CLEUDES DE JESUS SANTOS</v>
          </cell>
          <cell r="D92" t="str">
            <v xml:space="preserve">OPERAÇÃO ARMAZÉM </v>
          </cell>
        </row>
        <row r="93">
          <cell r="A93" t="str">
            <v>29156CLEVERTON CRISTIAN BARBOSA RIBEIRO</v>
          </cell>
          <cell r="B93">
            <v>29156</v>
          </cell>
          <cell r="C93" t="str">
            <v>CLEVERTON CRISTIAN BARBOSA RIBEIRO</v>
          </cell>
          <cell r="D93" t="str">
            <v>OPERAÇÃO ARMAZÉM</v>
          </cell>
        </row>
        <row r="94">
          <cell r="A94" t="str">
            <v>20990ELIEL PIRES NASCIMENTO</v>
          </cell>
          <cell r="B94">
            <v>20990</v>
          </cell>
          <cell r="C94" t="str">
            <v>ELIEL PIRES NASCIMENTO</v>
          </cell>
          <cell r="D94" t="str">
            <v xml:space="preserve">OPERAÇÃO ARMAZÉM </v>
          </cell>
        </row>
        <row r="95">
          <cell r="A95" t="str">
            <v>31603CRISTIANO APARECIDO GARCIA DA SILVA</v>
          </cell>
          <cell r="B95">
            <v>31603</v>
          </cell>
          <cell r="C95" t="str">
            <v>CRISTIANO APARECIDO GARCIA DA SILVA</v>
          </cell>
          <cell r="D95" t="str">
            <v xml:space="preserve">OPERAÇÃO ARMAZÉM </v>
          </cell>
        </row>
        <row r="96">
          <cell r="A96" t="str">
            <v>30412CRISTIANO ARAUJO KAWAMORITA</v>
          </cell>
          <cell r="B96">
            <v>30412</v>
          </cell>
          <cell r="C96" t="str">
            <v>CRISTIANO ARAUJO KAWAMORITA</v>
          </cell>
          <cell r="D96" t="str">
            <v>QUALIDADE</v>
          </cell>
        </row>
        <row r="97">
          <cell r="A97" t="str">
            <v>28064DAIANA CAGNETTI</v>
          </cell>
          <cell r="B97">
            <v>28064</v>
          </cell>
          <cell r="C97" t="str">
            <v>DAIANA CAGNETTI</v>
          </cell>
          <cell r="D97" t="str">
            <v>OPERAÇÃO ARMAZÉM</v>
          </cell>
        </row>
        <row r="98">
          <cell r="A98" t="str">
            <v>17854DALILA DA SILVA</v>
          </cell>
          <cell r="B98">
            <v>17854</v>
          </cell>
          <cell r="C98" t="str">
            <v>DALILA DA SILVA</v>
          </cell>
          <cell r="D98" t="str">
            <v xml:space="preserve">OPERAÇÃO ARMAZÉM </v>
          </cell>
        </row>
        <row r="99">
          <cell r="A99" t="str">
            <v>31352DAMILLE CERQUEIRA DA SILVA</v>
          </cell>
          <cell r="B99">
            <v>31352</v>
          </cell>
          <cell r="C99" t="str">
            <v>DAMILLE CERQUEIRA DA SILVA</v>
          </cell>
          <cell r="D99" t="str">
            <v>OPERAÇÃO ARMAZÉM</v>
          </cell>
        </row>
        <row r="100">
          <cell r="A100" t="str">
            <v>18443DANIEL GOMES DA SILVA</v>
          </cell>
          <cell r="B100">
            <v>18443</v>
          </cell>
          <cell r="C100" t="str">
            <v>DANIEL GOMES DA SILVA</v>
          </cell>
          <cell r="D100" t="str">
            <v xml:space="preserve">OPERAÇÃO ARMAZÉM </v>
          </cell>
        </row>
        <row r="101">
          <cell r="A101" t="str">
            <v>23699ELIENE MACIEL PENEDO</v>
          </cell>
          <cell r="B101">
            <v>23699</v>
          </cell>
          <cell r="C101" t="str">
            <v>ELIENE MACIEL PENEDO</v>
          </cell>
          <cell r="D101" t="str">
            <v xml:space="preserve">OPERAÇÃO ARMAZÉM </v>
          </cell>
        </row>
        <row r="102">
          <cell r="A102" t="str">
            <v>18427DANIELA GONCALVES SANTOS DE OLIVEIRA</v>
          </cell>
          <cell r="B102">
            <v>18427</v>
          </cell>
          <cell r="C102" t="str">
            <v>DANIELA GONCALVES SANTOS DE OLIVEIRA</v>
          </cell>
          <cell r="D102" t="str">
            <v xml:space="preserve">OPERAÇÃO ARMAZÉM </v>
          </cell>
        </row>
        <row r="103">
          <cell r="A103" t="str">
            <v>29333ELISE ROCHA LIMA</v>
          </cell>
          <cell r="B103">
            <v>29333</v>
          </cell>
          <cell r="C103" t="str">
            <v>ELISE ROCHA LIMA</v>
          </cell>
          <cell r="D103" t="str">
            <v xml:space="preserve">OPERAÇÃO ARMAZÉM </v>
          </cell>
        </row>
        <row r="104">
          <cell r="A104" t="str">
            <v>31182DANILLO HENRIQUE CAPEL CARVALHO</v>
          </cell>
          <cell r="B104">
            <v>31182</v>
          </cell>
          <cell r="C104" t="str">
            <v>DANILLO HENRIQUE CAPEL CARVALHO</v>
          </cell>
          <cell r="D104" t="str">
            <v xml:space="preserve">OPERAÇÃO ARMAZÉM </v>
          </cell>
        </row>
        <row r="105">
          <cell r="A105" t="str">
            <v>26963DANILO CEZARIO DOS SANTOS</v>
          </cell>
          <cell r="B105">
            <v>26963</v>
          </cell>
          <cell r="C105" t="str">
            <v>DANILO CEZARIO DOS SANTOS</v>
          </cell>
          <cell r="D105" t="str">
            <v xml:space="preserve">OPERAÇÃO ARMAZÉM </v>
          </cell>
        </row>
        <row r="106">
          <cell r="A106" t="str">
            <v>26656FLAVIO PETZKE DE OLIVEIRA</v>
          </cell>
          <cell r="B106">
            <v>26656</v>
          </cell>
          <cell r="C106" t="str">
            <v>FLAVIO PETZKE DE OLIVEIRA</v>
          </cell>
          <cell r="D106" t="str">
            <v xml:space="preserve">OPERAÇÃO ARMAZÉM </v>
          </cell>
        </row>
        <row r="107">
          <cell r="A107" t="str">
            <v>27210DARIENE ROBERTA DOMINGOS GARCIA</v>
          </cell>
          <cell r="B107">
            <v>27210</v>
          </cell>
          <cell r="C107" t="str">
            <v>DARIENE ROBERTA DOMINGOS GARCIA</v>
          </cell>
          <cell r="D107" t="str">
            <v>QUALIDADE</v>
          </cell>
        </row>
        <row r="108">
          <cell r="A108" t="str">
            <v>28297DARLESON FELIPE DA SILVA MORAIS</v>
          </cell>
          <cell r="B108">
            <v>28297</v>
          </cell>
          <cell r="C108" t="str">
            <v>DARLESON FELIPE DA SILVA MORAIS</v>
          </cell>
          <cell r="D108" t="str">
            <v>TECNOLOGIA DA INFORMAÇÃO</v>
          </cell>
        </row>
        <row r="109">
          <cell r="A109" t="str">
            <v>28517DAVID JOSE PEREIRA DE LIMA</v>
          </cell>
          <cell r="B109">
            <v>28517</v>
          </cell>
          <cell r="C109" t="str">
            <v>DAVID JOSE PEREIRA DE LIMA</v>
          </cell>
          <cell r="D109" t="str">
            <v xml:space="preserve">OPERAÇÃO ARMAZÉM </v>
          </cell>
        </row>
        <row r="110">
          <cell r="A110" t="str">
            <v>26550DAVID LISBOA DA SILVA</v>
          </cell>
          <cell r="B110">
            <v>26550</v>
          </cell>
          <cell r="C110" t="str">
            <v>DAVID LISBOA DA SILVA</v>
          </cell>
          <cell r="D110" t="str">
            <v>TECNOLOGIA DA INFORMAÇÃO</v>
          </cell>
        </row>
        <row r="111">
          <cell r="A111" t="str">
            <v>26562DAVID PEREIRA</v>
          </cell>
          <cell r="B111">
            <v>26562</v>
          </cell>
          <cell r="C111" t="str">
            <v>DAVID PEREIRA</v>
          </cell>
          <cell r="D111" t="str">
            <v>OPERAÇÃO ARMAZÉM</v>
          </cell>
        </row>
        <row r="112">
          <cell r="A112" t="str">
            <v>18583FRANCISCO JOSE LEITE REIS</v>
          </cell>
          <cell r="B112">
            <v>18583</v>
          </cell>
          <cell r="C112" t="str">
            <v>FRANCISCO JOSE LEITE REIS</v>
          </cell>
          <cell r="D112" t="str">
            <v xml:space="preserve">OPERAÇÃO ARMAZÉM </v>
          </cell>
        </row>
        <row r="113">
          <cell r="A113" t="str">
            <v>24406DEILZE VILACA SILVA</v>
          </cell>
          <cell r="B113">
            <v>24406</v>
          </cell>
          <cell r="C113" t="str">
            <v>DEILZE VILACA SILVA</v>
          </cell>
          <cell r="D113" t="str">
            <v xml:space="preserve">OPERAÇÃO ARMAZÉM </v>
          </cell>
        </row>
        <row r="114">
          <cell r="A114" t="str">
            <v>30525DEYVSON SILVA DE LIMA</v>
          </cell>
          <cell r="B114">
            <v>30525</v>
          </cell>
          <cell r="C114" t="str">
            <v>DEYVSON SILVA DE LIMA</v>
          </cell>
          <cell r="D114" t="str">
            <v xml:space="preserve">OPERAÇÃO ARMAZÉM </v>
          </cell>
        </row>
        <row r="115">
          <cell r="A115" t="str">
            <v>30581DIANA OLIVEIRA DOS SANTOS</v>
          </cell>
          <cell r="B115">
            <v>30581</v>
          </cell>
          <cell r="C115" t="str">
            <v>DIANA OLIVEIRA DOS SANTOS</v>
          </cell>
          <cell r="D115" t="str">
            <v xml:space="preserve">OPERAÇÃO ARMAZÉM </v>
          </cell>
        </row>
        <row r="116">
          <cell r="A116" t="str">
            <v>28607DIEGO CANDIDO COSTA</v>
          </cell>
          <cell r="B116">
            <v>28607</v>
          </cell>
          <cell r="C116" t="str">
            <v>DIEGO CANDIDO COSTA</v>
          </cell>
          <cell r="D116" t="str">
            <v>OPERAÇÃO ARMAZÉM</v>
          </cell>
        </row>
        <row r="117">
          <cell r="A117" t="str">
            <v>31537DIEGO LEAL BARBOSA DA SILVA</v>
          </cell>
          <cell r="B117">
            <v>31537</v>
          </cell>
          <cell r="C117" t="str">
            <v>DIEGO LEAL BARBOSA DA SILVA</v>
          </cell>
          <cell r="D117" t="str">
            <v>SERVIÇOS</v>
          </cell>
        </row>
        <row r="118">
          <cell r="A118" t="str">
            <v>25273DIEGO NASCIMENTO PAULO</v>
          </cell>
          <cell r="B118">
            <v>25273</v>
          </cell>
          <cell r="C118" t="str">
            <v>DIEGO NASCIMENTO PAULO</v>
          </cell>
          <cell r="D118" t="str">
            <v xml:space="preserve">OPERAÇÃO ARMAZÉM </v>
          </cell>
        </row>
        <row r="119">
          <cell r="A119" t="str">
            <v>22805DINEILTON DE ALMEIDA SANTOS</v>
          </cell>
          <cell r="B119">
            <v>22805</v>
          </cell>
          <cell r="C119" t="str">
            <v>DINEILTON DE ALMEIDA SANTOS</v>
          </cell>
          <cell r="D119" t="str">
            <v xml:space="preserve">OPERAÇÃO ARMAZÉM </v>
          </cell>
        </row>
        <row r="120">
          <cell r="A120" t="str">
            <v>26497DIOGO FERNANDO SANTANA DE SOUZA</v>
          </cell>
          <cell r="B120">
            <v>26497</v>
          </cell>
          <cell r="C120" t="str">
            <v>DIOGO FERNANDO SANTANA DE SOUZA</v>
          </cell>
          <cell r="D120" t="str">
            <v xml:space="preserve">OPERAÇÃO ARMAZÉM </v>
          </cell>
        </row>
        <row r="121">
          <cell r="A121" t="str">
            <v>30415GABRIEL ROMAO BEZERRA</v>
          </cell>
          <cell r="B121">
            <v>30415</v>
          </cell>
          <cell r="C121" t="str">
            <v>GABRIEL ROMAO BEZERRA</v>
          </cell>
          <cell r="D121" t="str">
            <v xml:space="preserve">OPERAÇÃO ARMAZÉM </v>
          </cell>
        </row>
        <row r="122">
          <cell r="A122" t="str">
            <v>26654DORALICE DO NASCIMENTO DOMINGUES</v>
          </cell>
          <cell r="B122">
            <v>26654</v>
          </cell>
          <cell r="C122" t="str">
            <v>DORALICE DO NASCIMENTO DOMINGUES</v>
          </cell>
          <cell r="D122" t="str">
            <v xml:space="preserve">OPERAÇÃO ARMAZÉM </v>
          </cell>
        </row>
        <row r="123">
          <cell r="A123" t="str">
            <v>26253GENIVANIA ALVES DOS SANTOS</v>
          </cell>
          <cell r="B123">
            <v>26253</v>
          </cell>
          <cell r="C123" t="str">
            <v>GENIVANIA ALVES DOS SANTOS</v>
          </cell>
          <cell r="D123" t="str">
            <v xml:space="preserve">OPERAÇÃO ARMAZÉM </v>
          </cell>
        </row>
        <row r="124">
          <cell r="A124" t="str">
            <v>28347EDILSON JOSE DOS SANTOS</v>
          </cell>
          <cell r="B124">
            <v>28347</v>
          </cell>
          <cell r="C124" t="str">
            <v>EDILSON JOSE DOS SANTOS</v>
          </cell>
          <cell r="D124" t="str">
            <v xml:space="preserve">OPERAÇÃO ARMAZÉM </v>
          </cell>
        </row>
        <row r="125">
          <cell r="A125" t="str">
            <v>29323EDILSON LUIZ DE ARAUJO</v>
          </cell>
          <cell r="B125">
            <v>29323</v>
          </cell>
          <cell r="C125" t="str">
            <v>EDILSON LUIZ DE ARAUJO</v>
          </cell>
          <cell r="D125" t="str">
            <v>GOVERNANÇA</v>
          </cell>
        </row>
        <row r="126">
          <cell r="A126" t="str">
            <v>23233EDISON PEREIRA DA SILVA</v>
          </cell>
          <cell r="B126">
            <v>23233</v>
          </cell>
          <cell r="C126" t="str">
            <v>EDISON PEREIRA DA SILVA</v>
          </cell>
          <cell r="D126" t="str">
            <v xml:space="preserve">OPERAÇÃO ARMAZÉM </v>
          </cell>
        </row>
        <row r="127">
          <cell r="A127" t="str">
            <v>20785GISLEINE LIMA CHAGAS</v>
          </cell>
          <cell r="B127">
            <v>20785</v>
          </cell>
          <cell r="C127" t="str">
            <v>GISLEINE LIMA CHAGAS</v>
          </cell>
          <cell r="D127" t="str">
            <v xml:space="preserve">OPERAÇÃO ARMAZÉM </v>
          </cell>
        </row>
        <row r="128">
          <cell r="A128" t="str">
            <v>29909EDNA LIMA DOS SANTOS</v>
          </cell>
          <cell r="B128">
            <v>29909</v>
          </cell>
          <cell r="C128" t="str">
            <v>EDNA LIMA DOS SANTOS</v>
          </cell>
          <cell r="D128" t="str">
            <v xml:space="preserve">OPERAÇÃO ARMAZÉM </v>
          </cell>
        </row>
        <row r="129">
          <cell r="A129" t="str">
            <v>18329EDNA LOPES DOS SANTOS</v>
          </cell>
          <cell r="B129">
            <v>18329</v>
          </cell>
          <cell r="C129" t="str">
            <v>EDNA LOPES DOS SANTOS</v>
          </cell>
          <cell r="D129" t="str">
            <v xml:space="preserve">OPERAÇÃO ARMAZÉM </v>
          </cell>
        </row>
        <row r="130">
          <cell r="A130" t="str">
            <v>28654EDSON DE PAULA NUNES</v>
          </cell>
          <cell r="B130">
            <v>28654</v>
          </cell>
          <cell r="C130" t="str">
            <v>EDSON DE PAULA NUNES</v>
          </cell>
          <cell r="D130" t="str">
            <v>OPERAÇÃO ARMAZÉM</v>
          </cell>
        </row>
        <row r="131">
          <cell r="A131" t="str">
            <v>24397EDSON FABLICIO CORREA DE OLIVEIRA</v>
          </cell>
          <cell r="B131">
            <v>24397</v>
          </cell>
          <cell r="C131" t="str">
            <v>EDSON FABLICIO CORREA DE OLIVEIRA</v>
          </cell>
          <cell r="D131" t="str">
            <v>OPERAÇÃO ARMAZÉM</v>
          </cell>
        </row>
        <row r="132">
          <cell r="A132" t="str">
            <v>27676EDSON MARIO DA SILVA</v>
          </cell>
          <cell r="B132">
            <v>27676</v>
          </cell>
          <cell r="C132" t="str">
            <v>EDSON MARIO DA SILVA</v>
          </cell>
          <cell r="D132" t="str">
            <v>TECNOLOGIA DA INFORMAÇÃO</v>
          </cell>
        </row>
        <row r="133">
          <cell r="A133" t="str">
            <v>26729EDSON RODRIGUES DE ASSIS</v>
          </cell>
          <cell r="B133">
            <v>26729</v>
          </cell>
          <cell r="C133" t="str">
            <v>EDSON RODRIGUES DE ASSIS</v>
          </cell>
          <cell r="D133" t="str">
            <v xml:space="preserve">OPERAÇÃO ARMAZÉM </v>
          </cell>
        </row>
        <row r="134">
          <cell r="A134" t="str">
            <v>29325EDSON VELOSO DA SILVA</v>
          </cell>
          <cell r="B134">
            <v>29325</v>
          </cell>
          <cell r="C134" t="str">
            <v>EDSON VELOSO DA SILVA</v>
          </cell>
          <cell r="D134" t="str">
            <v>SERVIÇOS</v>
          </cell>
        </row>
        <row r="135">
          <cell r="A135" t="str">
            <v>31033EDUARDO FERREIRA DE ARAUJO</v>
          </cell>
          <cell r="B135">
            <v>31033</v>
          </cell>
          <cell r="C135" t="str">
            <v>EDUARDO FERREIRA DE ARAUJO</v>
          </cell>
          <cell r="D135" t="str">
            <v xml:space="preserve">OPERAÇÃO ARMAZÉM </v>
          </cell>
        </row>
        <row r="136">
          <cell r="A136" t="str">
            <v>26647EDUARDO RAFAEL PEREIRA</v>
          </cell>
          <cell r="B136">
            <v>26647</v>
          </cell>
          <cell r="C136" t="str">
            <v>EDUARDO RAFAEL PEREIRA</v>
          </cell>
          <cell r="D136" t="str">
            <v>PRESIDENCIA</v>
          </cell>
        </row>
        <row r="137">
          <cell r="A137" t="str">
            <v>28477ELIAS RODRIGUES FRANCO</v>
          </cell>
          <cell r="B137">
            <v>28477</v>
          </cell>
          <cell r="C137" t="str">
            <v>ELIAS RODRIGUES FRANCO</v>
          </cell>
          <cell r="D137" t="str">
            <v xml:space="preserve">OPERAÇÃO ARMAZÉM </v>
          </cell>
        </row>
        <row r="138">
          <cell r="A138" t="str">
            <v>29913HELDER HORACIO DOS SANTOS</v>
          </cell>
          <cell r="B138">
            <v>29913</v>
          </cell>
          <cell r="C138" t="str">
            <v>HELDER HORACIO DOS SANTOS</v>
          </cell>
          <cell r="D138" t="str">
            <v xml:space="preserve">OPERAÇÃO ARMAZÉM </v>
          </cell>
        </row>
        <row r="139">
          <cell r="A139" t="str">
            <v>31316ELIELTON SOUSA DE OLIVEIRA</v>
          </cell>
          <cell r="B139">
            <v>31316</v>
          </cell>
          <cell r="C139" t="str">
            <v>ELIELTON SOUSA DE OLIVEIRA</v>
          </cell>
          <cell r="D139" t="str">
            <v>SEGURANÇA PATRIMONIAL</v>
          </cell>
        </row>
        <row r="140">
          <cell r="A140" t="str">
            <v>28579ELIENAI LUIZ DE LYRA</v>
          </cell>
          <cell r="B140">
            <v>28579</v>
          </cell>
          <cell r="C140" t="str">
            <v>ELIENAI LUIZ DE LYRA</v>
          </cell>
          <cell r="D140" t="str">
            <v xml:space="preserve">OPERAÇÃO ARMAZÉM </v>
          </cell>
        </row>
        <row r="141">
          <cell r="A141" t="str">
            <v>17722ISAIAS TEIXEIRA</v>
          </cell>
          <cell r="B141">
            <v>17722</v>
          </cell>
          <cell r="C141" t="str">
            <v>ISAIAS TEIXEIRA</v>
          </cell>
          <cell r="D141" t="str">
            <v xml:space="preserve">OPERAÇÃO ARMAZÉM </v>
          </cell>
        </row>
        <row r="142">
          <cell r="A142" t="str">
            <v>31547ELISANDRA DOERNER</v>
          </cell>
          <cell r="B142">
            <v>31547</v>
          </cell>
          <cell r="C142" t="str">
            <v>ELISANDRA DOERNER</v>
          </cell>
          <cell r="D142" t="str">
            <v>OPERAÇÃO ARMAZÉM</v>
          </cell>
        </row>
        <row r="143">
          <cell r="A143" t="str">
            <v>18645ELISANGELA PIRES DE SOUZA</v>
          </cell>
          <cell r="B143">
            <v>18645</v>
          </cell>
          <cell r="C143" t="str">
            <v>ELISANGELA PIRES DE SOUZA</v>
          </cell>
          <cell r="D143" t="str">
            <v xml:space="preserve">OPERAÇÃO ARMAZÉM </v>
          </cell>
        </row>
        <row r="144">
          <cell r="A144" t="str">
            <v>22034JANDERSON GALDINO DE SA</v>
          </cell>
          <cell r="B144">
            <v>22034</v>
          </cell>
          <cell r="C144" t="str">
            <v>JANDERSON GALDINO DE SA</v>
          </cell>
          <cell r="D144" t="str">
            <v xml:space="preserve">OPERAÇÃO ARMAZÉM </v>
          </cell>
        </row>
        <row r="145">
          <cell r="A145" t="str">
            <v>18364EMERSON DOS SANTOS CABRAL</v>
          </cell>
          <cell r="B145">
            <v>18364</v>
          </cell>
          <cell r="C145" t="str">
            <v>EMERSON DOS SANTOS CABRAL</v>
          </cell>
          <cell r="D145" t="str">
            <v xml:space="preserve">OPERAÇÃO ARMAZÉM </v>
          </cell>
        </row>
        <row r="146">
          <cell r="A146" t="str">
            <v>30413ENIO MOREIRA DE SOUSA</v>
          </cell>
          <cell r="B146">
            <v>30413</v>
          </cell>
          <cell r="C146" t="str">
            <v>ENIO MOREIRA DE SOUSA</v>
          </cell>
          <cell r="D146" t="str">
            <v>OPERAÇÃO ARMAZÉM</v>
          </cell>
        </row>
        <row r="147">
          <cell r="A147" t="str">
            <v>31556ENUS LIMA ARAUJO</v>
          </cell>
          <cell r="B147">
            <v>31556</v>
          </cell>
          <cell r="C147" t="str">
            <v>ENUS LIMA ARAUJO</v>
          </cell>
          <cell r="D147" t="str">
            <v xml:space="preserve">OPERAÇÃO ARMAZÉM </v>
          </cell>
        </row>
        <row r="148">
          <cell r="A148" t="str">
            <v>31581ERICA CORTES MACIEL</v>
          </cell>
          <cell r="B148">
            <v>31581</v>
          </cell>
          <cell r="C148" t="str">
            <v>ERICA CORTES MACIEL</v>
          </cell>
          <cell r="D148" t="str">
            <v xml:space="preserve">OPERAÇÃO ARMAZÉM </v>
          </cell>
        </row>
        <row r="149">
          <cell r="A149" t="str">
            <v>26839ERICA OLARIA DUARTE SANTOS PEREIRA</v>
          </cell>
          <cell r="B149">
            <v>26839</v>
          </cell>
          <cell r="C149" t="str">
            <v>ERICA OLARIA DUARTE SANTOS PEREIRA</v>
          </cell>
          <cell r="D149" t="str">
            <v xml:space="preserve">OPERAÇÃO ARMAZÉM </v>
          </cell>
        </row>
        <row r="150">
          <cell r="A150" t="str">
            <v>28839ERICA PATRICIA DA SILVA CERQUEIRA</v>
          </cell>
          <cell r="B150">
            <v>28839</v>
          </cell>
          <cell r="C150" t="str">
            <v>ERICA PATRICIA DA SILVA CERQUEIRA</v>
          </cell>
          <cell r="D150" t="str">
            <v xml:space="preserve">OPERAÇÃO ARMAZÉM </v>
          </cell>
        </row>
        <row r="151">
          <cell r="A151" t="str">
            <v>31549ERICK PEREIRA AMORIM</v>
          </cell>
          <cell r="B151">
            <v>31549</v>
          </cell>
          <cell r="C151" t="str">
            <v>ERICK PEREIRA AMORIM</v>
          </cell>
          <cell r="D151" t="str">
            <v xml:space="preserve">OPERAÇÃO ARMAZÉM </v>
          </cell>
        </row>
        <row r="152">
          <cell r="A152" t="str">
            <v>18544JAYSON SANTANA CARRIEL</v>
          </cell>
          <cell r="B152">
            <v>18544</v>
          </cell>
          <cell r="C152" t="str">
            <v>JAYSON SANTANA CARRIEL</v>
          </cell>
          <cell r="D152" t="str">
            <v xml:space="preserve">OPERAÇÃO ARMAZÉM </v>
          </cell>
        </row>
        <row r="153">
          <cell r="A153" t="str">
            <v>26667ESEQUIEL NOVAIS DOS SANTOS</v>
          </cell>
          <cell r="B153">
            <v>26667</v>
          </cell>
          <cell r="C153" t="str">
            <v>ESEQUIEL NOVAIS DOS SANTOS</v>
          </cell>
          <cell r="D153" t="str">
            <v xml:space="preserve">OPERAÇÃO ARMAZÉM </v>
          </cell>
        </row>
        <row r="154">
          <cell r="A154" t="str">
            <v>22155EVA MARIA ALVARENGA SILVA</v>
          </cell>
          <cell r="B154">
            <v>22155</v>
          </cell>
          <cell r="C154" t="str">
            <v>EVA MARIA ALVARENGA SILVA</v>
          </cell>
          <cell r="D154" t="str">
            <v xml:space="preserve">OPERAÇÃO ARMAZÉM </v>
          </cell>
        </row>
        <row r="155">
          <cell r="A155" t="str">
            <v>29158EVANDRO DE LIRA SILVA</v>
          </cell>
          <cell r="B155">
            <v>29158</v>
          </cell>
          <cell r="C155" t="str">
            <v>EVANDRO DE LIRA SILVA</v>
          </cell>
          <cell r="D155" t="str">
            <v xml:space="preserve">OPERAÇÃO ARMAZÉM </v>
          </cell>
        </row>
        <row r="156">
          <cell r="A156" t="str">
            <v>28515EVERTON LIMA BRITO</v>
          </cell>
          <cell r="B156">
            <v>28515</v>
          </cell>
          <cell r="C156" t="str">
            <v>EVERTON LIMA BRITO</v>
          </cell>
          <cell r="D156" t="str">
            <v xml:space="preserve">OPERAÇÃO ARMAZÉM </v>
          </cell>
        </row>
        <row r="157">
          <cell r="A157" t="str">
            <v>17673EWERTON ANDRADE LIMA</v>
          </cell>
          <cell r="B157">
            <v>17673</v>
          </cell>
          <cell r="C157" t="str">
            <v>EWERTON ANDRADE LIMA</v>
          </cell>
          <cell r="D157" t="str">
            <v xml:space="preserve">OPERAÇÃO ARMAZÉM </v>
          </cell>
        </row>
        <row r="158">
          <cell r="A158" t="str">
            <v>28139FABIANA RODRIGUES ANEAS</v>
          </cell>
          <cell r="B158">
            <v>28139</v>
          </cell>
          <cell r="C158" t="str">
            <v>FABIANA RODRIGUES ANEAS</v>
          </cell>
          <cell r="D158" t="str">
            <v xml:space="preserve">OPERAÇÃO ARMAZÉM </v>
          </cell>
        </row>
        <row r="159">
          <cell r="A159" t="str">
            <v>26760FABIENE LIMA DOS PASSOS</v>
          </cell>
          <cell r="B159">
            <v>26760</v>
          </cell>
          <cell r="C159" t="str">
            <v>FABIENE LIMA DOS PASSOS</v>
          </cell>
          <cell r="D159" t="str">
            <v xml:space="preserve">OPERAÇÃO ARMAZÉM </v>
          </cell>
        </row>
        <row r="160">
          <cell r="A160" t="str">
            <v>31462JEFERSON LOPES ABILIO</v>
          </cell>
          <cell r="B160">
            <v>31462</v>
          </cell>
          <cell r="C160" t="str">
            <v>JEFERSON LOPES ABILIO</v>
          </cell>
          <cell r="D160" t="str">
            <v xml:space="preserve">OPERAÇÃO ARMAZÉM </v>
          </cell>
        </row>
        <row r="161">
          <cell r="A161" t="str">
            <v>21224JESSICA CRISTINA SILVA RAMALHO</v>
          </cell>
          <cell r="B161">
            <v>21224</v>
          </cell>
          <cell r="C161" t="str">
            <v>JESSICA CRISTINA SILVA RAMALHO</v>
          </cell>
          <cell r="D161" t="str">
            <v xml:space="preserve">OPERAÇÃO ARMAZÉM </v>
          </cell>
        </row>
        <row r="162">
          <cell r="A162" t="str">
            <v>31035FABIO FRANCA CUNHA</v>
          </cell>
          <cell r="B162">
            <v>31035</v>
          </cell>
          <cell r="C162" t="str">
            <v>FABIO FRANCA CUNHA</v>
          </cell>
          <cell r="D162" t="str">
            <v xml:space="preserve">OPERAÇÃO ARMAZÉM </v>
          </cell>
        </row>
        <row r="163">
          <cell r="A163" t="str">
            <v>30948FABIO LUIZ DE LIMA DA SILVA</v>
          </cell>
          <cell r="B163">
            <v>30948</v>
          </cell>
          <cell r="C163" t="str">
            <v>FABIO LUIZ DE LIMA DA SILVA</v>
          </cell>
          <cell r="D163" t="str">
            <v xml:space="preserve">OPERAÇÃO ARMAZÉM </v>
          </cell>
        </row>
        <row r="164">
          <cell r="A164" t="str">
            <v>26684FABIO MASSAYUKI KUSAKA</v>
          </cell>
          <cell r="B164">
            <v>26684</v>
          </cell>
          <cell r="C164" t="str">
            <v>FABIO MASSAYUKI KUSAKA</v>
          </cell>
          <cell r="D164" t="str">
            <v xml:space="preserve">OPERAÇÃO ARMAZÉM </v>
          </cell>
        </row>
        <row r="165">
          <cell r="A165" t="str">
            <v>28143FABIO RODRIGO RIBEIRO</v>
          </cell>
          <cell r="B165">
            <v>28143</v>
          </cell>
          <cell r="C165" t="str">
            <v>FABIO RODRIGO RIBEIRO</v>
          </cell>
          <cell r="D165" t="str">
            <v xml:space="preserve">OPERAÇÃO ARMAZÉM </v>
          </cell>
        </row>
        <row r="166">
          <cell r="A166" t="str">
            <v>26492FABIOLA DE OLIVEIRA VIEIRA</v>
          </cell>
          <cell r="B166">
            <v>26492</v>
          </cell>
          <cell r="C166" t="str">
            <v>FABIOLA DE OLIVEIRA VIEIRA</v>
          </cell>
          <cell r="D166" t="str">
            <v xml:space="preserve">OPERAÇÃO ARMAZÉM </v>
          </cell>
        </row>
        <row r="167">
          <cell r="A167" t="str">
            <v>20788FELIPE ALVES DOS SANTOS</v>
          </cell>
          <cell r="B167">
            <v>20788</v>
          </cell>
          <cell r="C167" t="str">
            <v>FELIPE ALVES DOS SANTOS</v>
          </cell>
          <cell r="D167" t="str">
            <v xml:space="preserve">OPERAÇÃO ARMAZÉM </v>
          </cell>
        </row>
        <row r="168">
          <cell r="A168" t="str">
            <v>28954FELIPE BARBOSA SERRA</v>
          </cell>
          <cell r="B168">
            <v>28954</v>
          </cell>
          <cell r="C168" t="str">
            <v>FELIPE BARBOSA SERRA</v>
          </cell>
          <cell r="D168" t="str">
            <v xml:space="preserve">OPERAÇÃO ARMAZÉM </v>
          </cell>
        </row>
        <row r="169">
          <cell r="A169" t="str">
            <v>21728FELIPE EHRLICH FERREIRA GUARDA</v>
          </cell>
          <cell r="B169">
            <v>21728</v>
          </cell>
          <cell r="C169" t="str">
            <v>FELIPE EHRLICH FERREIRA GUARDA</v>
          </cell>
          <cell r="D169" t="str">
            <v xml:space="preserve">OPERAÇÃO ARMAZÉM </v>
          </cell>
        </row>
        <row r="170">
          <cell r="A170" t="str">
            <v>31258FERNANDA CASSIA DA SILVA</v>
          </cell>
          <cell r="B170">
            <v>31258</v>
          </cell>
          <cell r="C170" t="str">
            <v>FERNANDA CASSIA DA SILVA</v>
          </cell>
          <cell r="D170" t="str">
            <v xml:space="preserve">OPERAÇÃO ARMAZÉM </v>
          </cell>
        </row>
        <row r="171">
          <cell r="A171" t="str">
            <v>30793FERNANDA DA SILVA</v>
          </cell>
          <cell r="B171">
            <v>30793</v>
          </cell>
          <cell r="C171" t="str">
            <v>FERNANDA DA SILVA</v>
          </cell>
          <cell r="D171" t="str">
            <v>OPERAÇÃO ARMAZÉM</v>
          </cell>
        </row>
        <row r="172">
          <cell r="A172" t="str">
            <v>31577FERNANDA RODRIGUES RAMOS</v>
          </cell>
          <cell r="B172">
            <v>31577</v>
          </cell>
          <cell r="C172" t="str">
            <v>FERNANDA RODRIGUES RAMOS</v>
          </cell>
          <cell r="D172" t="str">
            <v>GOVERNANÇA</v>
          </cell>
        </row>
        <row r="173">
          <cell r="A173" t="str">
            <v>23039FERNANDO SOARES MATOS</v>
          </cell>
          <cell r="B173">
            <v>23039</v>
          </cell>
          <cell r="C173" t="str">
            <v>FERNANDO SOARES MATOS</v>
          </cell>
          <cell r="D173" t="str">
            <v xml:space="preserve">OPERAÇÃO ARMAZÉM </v>
          </cell>
        </row>
        <row r="174">
          <cell r="A174" t="str">
            <v>31510FILIPE COGORNI DA SILVA</v>
          </cell>
          <cell r="B174">
            <v>31510</v>
          </cell>
          <cell r="C174" t="str">
            <v>FILIPE COGORNI DA SILVA</v>
          </cell>
          <cell r="D174" t="str">
            <v>OPERAÇÃO ARMAZÉM</v>
          </cell>
        </row>
        <row r="175">
          <cell r="A175" t="str">
            <v>25506FILIPE DA GAMA BORGES</v>
          </cell>
          <cell r="B175">
            <v>25506</v>
          </cell>
          <cell r="C175" t="str">
            <v>FILIPE DA GAMA BORGES</v>
          </cell>
          <cell r="D175" t="str">
            <v>OPERAÇÃO ARMAZÉM</v>
          </cell>
        </row>
        <row r="176">
          <cell r="A176" t="str">
            <v>28142FLAVIO DA SILVA RIBEIRO JUNIOR</v>
          </cell>
          <cell r="B176">
            <v>28142</v>
          </cell>
          <cell r="C176" t="str">
            <v>FLAVIO DA SILVA RIBEIRO JUNIOR</v>
          </cell>
          <cell r="D176" t="str">
            <v xml:space="preserve">OPERAÇÃO ARMAZÉM </v>
          </cell>
        </row>
        <row r="177">
          <cell r="A177" t="str">
            <v>18646KATIA REGINA DE OLIVEIRA</v>
          </cell>
          <cell r="B177">
            <v>18646</v>
          </cell>
          <cell r="C177" t="str">
            <v>KATIA REGINA DE OLIVEIRA</v>
          </cell>
          <cell r="D177" t="str">
            <v xml:space="preserve">OPERAÇÃO ARMAZÉM </v>
          </cell>
        </row>
        <row r="178">
          <cell r="A178" t="str">
            <v>18418LEDILSON BONIFACIO DE SOUSA</v>
          </cell>
          <cell r="B178">
            <v>18418</v>
          </cell>
          <cell r="C178" t="str">
            <v>LEDILSON BONIFACIO DE SOUSA</v>
          </cell>
          <cell r="D178" t="str">
            <v xml:space="preserve">OPERAÇÃO ARMAZÉM </v>
          </cell>
        </row>
        <row r="179">
          <cell r="A179" t="str">
            <v>25717FLAVIO VIEIRA BARBOSA</v>
          </cell>
          <cell r="B179">
            <v>25717</v>
          </cell>
          <cell r="C179" t="str">
            <v>FLAVIO VIEIRA BARBOSA</v>
          </cell>
          <cell r="D179" t="str">
            <v>GOVERNANÇA</v>
          </cell>
        </row>
        <row r="180">
          <cell r="A180" t="str">
            <v>28615LUANA DOS SANTOS COSTA</v>
          </cell>
          <cell r="B180">
            <v>28615</v>
          </cell>
          <cell r="C180" t="str">
            <v>LUANA DOS SANTOS COSTA</v>
          </cell>
          <cell r="D180" t="str">
            <v xml:space="preserve">OPERAÇÃO ARMAZÉM </v>
          </cell>
        </row>
        <row r="181">
          <cell r="A181" t="str">
            <v>31604FRANCY NADGEL BERTO TAVARES</v>
          </cell>
          <cell r="B181">
            <v>31604</v>
          </cell>
          <cell r="C181" t="str">
            <v>FRANCY NADGEL BERTO TAVARES</v>
          </cell>
          <cell r="D181" t="str">
            <v xml:space="preserve">OPERAÇÃO ARMAZÉM </v>
          </cell>
        </row>
        <row r="182">
          <cell r="A182" t="str">
            <v>31536GABRIEL DA ROCHA OLIVEIRA</v>
          </cell>
          <cell r="B182">
            <v>31536</v>
          </cell>
          <cell r="C182" t="str">
            <v>GABRIEL DA ROCHA OLIVEIRA</v>
          </cell>
          <cell r="D182" t="str">
            <v xml:space="preserve">OPERAÇÃO ARMAZÉM </v>
          </cell>
        </row>
        <row r="183">
          <cell r="A183" t="str">
            <v>28598GABRIEL JOSE DA SILVA</v>
          </cell>
          <cell r="B183">
            <v>28598</v>
          </cell>
          <cell r="C183" t="str">
            <v>GABRIEL JOSE DA SILVA</v>
          </cell>
          <cell r="D183" t="str">
            <v xml:space="preserve">OPERAÇÃO ARMAZÉM </v>
          </cell>
        </row>
        <row r="184">
          <cell r="A184" t="str">
            <v>28736LUCIANO RODRIGUES DA SILVA</v>
          </cell>
          <cell r="B184">
            <v>28736</v>
          </cell>
          <cell r="C184" t="str">
            <v>LUCIANO RODRIGUES DA SILVA</v>
          </cell>
          <cell r="D184" t="str">
            <v xml:space="preserve">OPERAÇÃO ARMAZÉM </v>
          </cell>
        </row>
        <row r="185">
          <cell r="A185" t="str">
            <v>28317GENILDO MARTINIANO DA SILVA</v>
          </cell>
          <cell r="B185">
            <v>28317</v>
          </cell>
          <cell r="C185" t="str">
            <v>GENILDO MARTINIANO DA SILVA</v>
          </cell>
          <cell r="D185" t="str">
            <v xml:space="preserve">OPERAÇÃO ARMAZÉM </v>
          </cell>
        </row>
        <row r="186">
          <cell r="A186" t="str">
            <v>29240MAICON DOS SANTOS OLIVEIRA</v>
          </cell>
          <cell r="B186">
            <v>29240</v>
          </cell>
          <cell r="C186" t="str">
            <v>MAICON DOS SANTOS OLIVEIRA</v>
          </cell>
          <cell r="D186" t="str">
            <v xml:space="preserve">OPERAÇÃO ARMAZÉM </v>
          </cell>
        </row>
        <row r="187">
          <cell r="A187" t="str">
            <v>25667GERALDA PIAGENTINI</v>
          </cell>
          <cell r="B187">
            <v>25667</v>
          </cell>
          <cell r="C187" t="str">
            <v>GERALDA PIAGENTINI</v>
          </cell>
          <cell r="D187" t="str">
            <v xml:space="preserve">OPERAÇÃO ARMAZÉM </v>
          </cell>
        </row>
        <row r="188">
          <cell r="A188" t="str">
            <v>24640GERCILANDIO GOMES RODRIGUES</v>
          </cell>
          <cell r="B188">
            <v>24640</v>
          </cell>
          <cell r="C188" t="str">
            <v>GERCILANDIO GOMES RODRIGUES</v>
          </cell>
          <cell r="D188" t="str">
            <v>SERVIÇOS</v>
          </cell>
        </row>
        <row r="189">
          <cell r="A189" t="str">
            <v>26490MAICON RENATO MOREIRA GONCALVES</v>
          </cell>
          <cell r="B189">
            <v>26490</v>
          </cell>
          <cell r="C189" t="str">
            <v>MAICON RENATO MOREIRA GONCALVES</v>
          </cell>
          <cell r="D189" t="str">
            <v xml:space="preserve">OPERAÇÃO ARMAZÉM </v>
          </cell>
        </row>
        <row r="190">
          <cell r="A190" t="str">
            <v>29869GILVAN DE LIMA</v>
          </cell>
          <cell r="B190">
            <v>29869</v>
          </cell>
          <cell r="C190" t="str">
            <v>GILVAN DE LIMA</v>
          </cell>
          <cell r="D190" t="str">
            <v>SERVIÇOS</v>
          </cell>
        </row>
        <row r="191">
          <cell r="A191" t="str">
            <v>18725GIOVANO DA SILVA SOARES</v>
          </cell>
          <cell r="B191">
            <v>18725</v>
          </cell>
          <cell r="C191" t="str">
            <v>GIOVANO DA SILVA SOARES</v>
          </cell>
          <cell r="D191" t="str">
            <v>OPERAÇÃO ARMAZÉM</v>
          </cell>
        </row>
        <row r="192">
          <cell r="A192" t="str">
            <v>17750MARCOS ALVES AGUIAR</v>
          </cell>
          <cell r="B192">
            <v>17750</v>
          </cell>
          <cell r="C192" t="str">
            <v>MARCOS ALVES AGUIAR</v>
          </cell>
          <cell r="D192" t="str">
            <v xml:space="preserve">OPERAÇÃO ARMAZÉM </v>
          </cell>
        </row>
        <row r="193">
          <cell r="A193" t="str">
            <v>28397GLEIBSON JOSE DA SILVA ANESIO</v>
          </cell>
          <cell r="B193">
            <v>28397</v>
          </cell>
          <cell r="C193" t="str">
            <v>GLEIBSON JOSE DA SILVA ANESIO</v>
          </cell>
          <cell r="D193" t="str">
            <v xml:space="preserve">OPERAÇÃO ARMAZÉM </v>
          </cell>
        </row>
        <row r="194">
          <cell r="A194" t="str">
            <v>31421GUILHERME SOUZA DE BARROS</v>
          </cell>
          <cell r="B194">
            <v>31421</v>
          </cell>
          <cell r="C194" t="str">
            <v>GUILHERME SOUZA DE BARROS</v>
          </cell>
          <cell r="D194" t="str">
            <v xml:space="preserve">OPERAÇÃO ARMAZÉM </v>
          </cell>
        </row>
        <row r="195">
          <cell r="A195" t="str">
            <v>18441GUIOMAR BORTOLLETTE DA SILVA</v>
          </cell>
          <cell r="B195">
            <v>18441</v>
          </cell>
          <cell r="C195" t="str">
            <v>GUIOMAR BORTOLLETTE DA SILVA</v>
          </cell>
          <cell r="D195" t="str">
            <v xml:space="preserve">OPERAÇÃO ARMAZÉM </v>
          </cell>
        </row>
        <row r="196">
          <cell r="A196" t="str">
            <v>18578GUSTAVO DOS SANTOS FONSECA</v>
          </cell>
          <cell r="B196">
            <v>18578</v>
          </cell>
          <cell r="C196" t="str">
            <v>GUSTAVO DOS SANTOS FONSECA</v>
          </cell>
          <cell r="D196" t="str">
            <v xml:space="preserve">OPERAÇÃO ARMAZÉM </v>
          </cell>
        </row>
        <row r="197">
          <cell r="A197" t="str">
            <v>29386MARCOS ANTONIO SANTANA FERREIRA</v>
          </cell>
          <cell r="B197">
            <v>29386</v>
          </cell>
          <cell r="C197" t="str">
            <v>MARCOS ANTONIO SANTANA FERREIRA</v>
          </cell>
          <cell r="D197" t="str">
            <v xml:space="preserve">OPERAÇÃO ARMAZÉM </v>
          </cell>
        </row>
        <row r="198">
          <cell r="A198" t="str">
            <v>18134HENRIQUE DOS SANTOS REINA</v>
          </cell>
          <cell r="B198">
            <v>18134</v>
          </cell>
          <cell r="C198" t="str">
            <v>HENRIQUE DOS SANTOS REINA</v>
          </cell>
          <cell r="D198" t="str">
            <v>TECNOLOGIA DA INFORMAÇÃO</v>
          </cell>
        </row>
        <row r="199">
          <cell r="A199" t="str">
            <v>31579IGOR DO NASCIMENTO DE MELLO</v>
          </cell>
          <cell r="B199">
            <v>31579</v>
          </cell>
          <cell r="C199" t="str">
            <v>IGOR DO NASCIMENTO DE MELLO</v>
          </cell>
          <cell r="D199" t="str">
            <v>OPERAÇÃO ARMAZÉM</v>
          </cell>
        </row>
        <row r="200">
          <cell r="A200" t="str">
            <v>31572ISADORA ERY FERREIRA DE FREITAS</v>
          </cell>
          <cell r="B200">
            <v>31572</v>
          </cell>
          <cell r="C200" t="str">
            <v>ISADORA ERY FERREIRA DE FREITAS</v>
          </cell>
          <cell r="D200" t="str">
            <v xml:space="preserve">OPERAÇÃO ARMAZÉM </v>
          </cell>
        </row>
        <row r="201">
          <cell r="A201" t="str">
            <v>23488ISAIAS PAULO LOPES</v>
          </cell>
          <cell r="B201">
            <v>23488</v>
          </cell>
          <cell r="C201" t="str">
            <v>ISAIAS PAULO LOPES</v>
          </cell>
          <cell r="D201" t="str">
            <v xml:space="preserve">OPERAÇÃO ARMAZÉM </v>
          </cell>
        </row>
        <row r="202">
          <cell r="A202" t="str">
            <v>26698MARCOS FARIAS DE OLIVEIRA LACERDA</v>
          </cell>
          <cell r="B202">
            <v>26698</v>
          </cell>
          <cell r="C202" t="str">
            <v>MARCOS FARIAS DE OLIVEIRA LACERDA</v>
          </cell>
          <cell r="D202" t="str">
            <v xml:space="preserve">OPERAÇÃO ARMAZÉM </v>
          </cell>
        </row>
        <row r="203">
          <cell r="A203" t="str">
            <v>18290MARCOS PERES</v>
          </cell>
          <cell r="B203">
            <v>18290</v>
          </cell>
          <cell r="C203" t="str">
            <v>MARCOS PERES</v>
          </cell>
          <cell r="D203" t="str">
            <v xml:space="preserve">OPERAÇÃO ARMAZÉM </v>
          </cell>
        </row>
        <row r="204">
          <cell r="A204" t="str">
            <v>27726ISLEINE ALVES DE ANDRADE FERREIRA</v>
          </cell>
          <cell r="B204">
            <v>27726</v>
          </cell>
          <cell r="C204" t="str">
            <v>ISLEINE ALVES DE ANDRADE FERREIRA</v>
          </cell>
          <cell r="D204" t="str">
            <v xml:space="preserve">OPERAÇÃO ARMAZÉM </v>
          </cell>
        </row>
        <row r="205">
          <cell r="A205" t="str">
            <v>22037IVANETE CACIANO DOS SANTOS ARAUJO</v>
          </cell>
          <cell r="B205">
            <v>22037</v>
          </cell>
          <cell r="C205" t="str">
            <v>IVANETE CACIANO DOS SANTOS ARAUJO</v>
          </cell>
          <cell r="D205" t="str">
            <v xml:space="preserve">OPERAÇÃO ARMAZÉM </v>
          </cell>
        </row>
        <row r="206">
          <cell r="A206" t="str">
            <v>28285IZABELLA KIZZY SOUZA DA SILVA</v>
          </cell>
          <cell r="B206">
            <v>28285</v>
          </cell>
          <cell r="C206" t="str">
            <v>IZABELLA KIZZY SOUZA DA SILVA</v>
          </cell>
          <cell r="D206" t="str">
            <v xml:space="preserve">OPERAÇÃO ARMAZÉM </v>
          </cell>
        </row>
        <row r="207">
          <cell r="A207" t="str">
            <v>25272JACQUELINE DOS SANTOS</v>
          </cell>
          <cell r="B207">
            <v>25272</v>
          </cell>
          <cell r="C207" t="str">
            <v>JACQUELINE DOS SANTOS</v>
          </cell>
          <cell r="D207" t="str">
            <v xml:space="preserve">OPERAÇÃO ARMAZÉM </v>
          </cell>
        </row>
        <row r="208">
          <cell r="A208" t="str">
            <v>21122JADSMAR CRISTINA CIPRIANO</v>
          </cell>
          <cell r="B208">
            <v>21122</v>
          </cell>
          <cell r="C208" t="str">
            <v>JADSMAR CRISTINA CIPRIANO</v>
          </cell>
          <cell r="D208" t="str">
            <v>OPERAÇÃO ARMAZÉM</v>
          </cell>
        </row>
        <row r="209">
          <cell r="A209" t="str">
            <v>31156JAILTON BERNARDO DE LIMA</v>
          </cell>
          <cell r="B209">
            <v>31156</v>
          </cell>
          <cell r="C209" t="str">
            <v>JAILTON BERNARDO DE LIMA</v>
          </cell>
          <cell r="D209" t="str">
            <v xml:space="preserve">OPERAÇÃO ARMAZÉM </v>
          </cell>
        </row>
        <row r="210">
          <cell r="A210" t="str">
            <v>26363JAILTON GUILHERME DA SILVA</v>
          </cell>
          <cell r="B210">
            <v>26363</v>
          </cell>
          <cell r="C210" t="str">
            <v>JAILTON GUILHERME DA SILVA</v>
          </cell>
          <cell r="D210" t="str">
            <v>OPERAÇÃO ARMAZÉM</v>
          </cell>
        </row>
        <row r="211">
          <cell r="A211" t="str">
            <v>23616JANAINA BRANDAO LEITE</v>
          </cell>
          <cell r="B211">
            <v>23616</v>
          </cell>
          <cell r="C211" t="str">
            <v>JANAINA BRANDAO LEITE</v>
          </cell>
          <cell r="D211" t="str">
            <v xml:space="preserve">OPERAÇÃO ARMAZÉM </v>
          </cell>
        </row>
        <row r="212">
          <cell r="A212" t="str">
            <v>18269MAURICIO ALEXANDRE BARBOSA</v>
          </cell>
          <cell r="B212">
            <v>18269</v>
          </cell>
          <cell r="C212" t="str">
            <v>MAURICIO ALEXANDRE BARBOSA</v>
          </cell>
          <cell r="D212" t="str">
            <v xml:space="preserve">OPERAÇÃO ARMAZÉM </v>
          </cell>
        </row>
        <row r="213">
          <cell r="A213" t="str">
            <v>28566JANE KELLY ALVES MARTINS SILVA</v>
          </cell>
          <cell r="B213">
            <v>28566</v>
          </cell>
          <cell r="C213" t="str">
            <v>JANE KELLY ALVES MARTINS SILVA</v>
          </cell>
          <cell r="D213" t="str">
            <v>TECNOLOGIA DA INFORMAÇÃO</v>
          </cell>
        </row>
        <row r="214">
          <cell r="A214" t="str">
            <v>25219MAURICIO WESLEY VIDAL SOUSA</v>
          </cell>
          <cell r="B214">
            <v>25219</v>
          </cell>
          <cell r="C214" t="str">
            <v>MAURICIO WESLEY VIDAL SOUSA</v>
          </cell>
          <cell r="D214" t="str">
            <v xml:space="preserve">OPERAÇÃO ARMAZÉM </v>
          </cell>
        </row>
        <row r="215">
          <cell r="A215" t="str">
            <v>31003JAQUELINE CRISTINE DA SILVA</v>
          </cell>
          <cell r="B215">
            <v>31003</v>
          </cell>
          <cell r="C215" t="str">
            <v>JAQUELINE CRISTINE DA SILVA</v>
          </cell>
          <cell r="D215" t="str">
            <v xml:space="preserve">OPERAÇÃO ARMAZÉM </v>
          </cell>
        </row>
        <row r="216">
          <cell r="A216" t="str">
            <v>17910PHILIPE AMORIM SIQUEIRA</v>
          </cell>
          <cell r="B216">
            <v>17910</v>
          </cell>
          <cell r="C216" t="str">
            <v>PHILIPE AMORIM SIQUEIRA</v>
          </cell>
          <cell r="D216" t="str">
            <v xml:space="preserve">OPERAÇÃO ARMAZÉM </v>
          </cell>
        </row>
        <row r="217">
          <cell r="A217" t="str">
            <v>31534PRISCILA CONCEICAO DA SILVA</v>
          </cell>
          <cell r="B217">
            <v>31534</v>
          </cell>
          <cell r="C217" t="str">
            <v>PRISCILA CONCEICAO DA SILVA</v>
          </cell>
          <cell r="D217" t="str">
            <v xml:space="preserve">OPERAÇÃO ARMAZÉM </v>
          </cell>
        </row>
        <row r="218">
          <cell r="A218" t="str">
            <v>25933JEFERSON DE OLIVEIRA CASTRO</v>
          </cell>
          <cell r="B218">
            <v>25933</v>
          </cell>
          <cell r="C218" t="str">
            <v>JEFERSON DE OLIVEIRA CASTRO</v>
          </cell>
          <cell r="D218" t="str">
            <v xml:space="preserve">OPERAÇÃO ARMAZÉM </v>
          </cell>
        </row>
        <row r="219">
          <cell r="A219" t="str">
            <v>17800SARA ALVES DA SILVA</v>
          </cell>
          <cell r="B219">
            <v>17800</v>
          </cell>
          <cell r="C219" t="str">
            <v>SARA ALVES DA SILVA</v>
          </cell>
          <cell r="D219" t="str">
            <v xml:space="preserve">OPERAÇÃO ARMAZÉM </v>
          </cell>
        </row>
        <row r="220">
          <cell r="A220" t="str">
            <v>30094JEFFERSON FERNANDO FARIAS DOS SANTOS</v>
          </cell>
          <cell r="B220">
            <v>30094</v>
          </cell>
          <cell r="C220" t="str">
            <v>JEFFERSON FERNANDO FARIAS DOS SANTOS</v>
          </cell>
          <cell r="D220" t="str">
            <v>OPERAÇÃO ARMAZÉM</v>
          </cell>
        </row>
        <row r="221">
          <cell r="A221" t="str">
            <v>26700JEFFERSON SANTOS FERREIRA</v>
          </cell>
          <cell r="B221">
            <v>26700</v>
          </cell>
          <cell r="C221" t="str">
            <v>JEFFERSON SANTOS FERREIRA</v>
          </cell>
          <cell r="D221" t="str">
            <v xml:space="preserve">OPERAÇÃO ARMAZÉM </v>
          </cell>
        </row>
        <row r="222">
          <cell r="A222" t="str">
            <v>28622JENNEFFER RODRIGUES DA SILVA</v>
          </cell>
          <cell r="B222">
            <v>28622</v>
          </cell>
          <cell r="C222" t="str">
            <v>JENNEFFER RODRIGUES DA SILVA</v>
          </cell>
          <cell r="D222" t="str">
            <v xml:space="preserve">OPERAÇÃO ARMAZÉM </v>
          </cell>
        </row>
        <row r="223">
          <cell r="A223" t="str">
            <v>31524JENNIFER DAIANE SPENGLER WIEBBERLLING</v>
          </cell>
          <cell r="B223">
            <v>31524</v>
          </cell>
          <cell r="C223" t="str">
            <v>JENNIFER DAIANE SPENGLER WIEBBERLLING</v>
          </cell>
          <cell r="D223" t="str">
            <v>OPERAÇÃO ARMAZÉM</v>
          </cell>
        </row>
        <row r="224">
          <cell r="A224" t="str">
            <v>28944JESSICA CASTELINI SUTIL</v>
          </cell>
          <cell r="B224">
            <v>28944</v>
          </cell>
          <cell r="C224" t="str">
            <v>JESSICA CASTELINI SUTIL</v>
          </cell>
          <cell r="D224" t="str">
            <v>OPERAÇÃO ARMAZÉM</v>
          </cell>
        </row>
        <row r="225">
          <cell r="A225" t="str">
            <v>18618SELMA PEREIRA DA SILVA</v>
          </cell>
          <cell r="B225">
            <v>18618</v>
          </cell>
          <cell r="C225" t="str">
            <v>SELMA PEREIRA DA SILVA</v>
          </cell>
          <cell r="D225" t="str">
            <v xml:space="preserve">OPERAÇÃO ARMAZÉM </v>
          </cell>
        </row>
        <row r="226">
          <cell r="A226" t="str">
            <v>23409JESSICA GOMES DOMICIANO</v>
          </cell>
          <cell r="B226">
            <v>23409</v>
          </cell>
          <cell r="C226" t="str">
            <v>JESSICA GOMES DOMICIANO</v>
          </cell>
          <cell r="D226" t="str">
            <v xml:space="preserve">OPERAÇÃO ARMAZÉM </v>
          </cell>
        </row>
        <row r="227">
          <cell r="A227" t="str">
            <v>29914JESSICA MARIA DOS SANTOS</v>
          </cell>
          <cell r="B227">
            <v>29914</v>
          </cell>
          <cell r="C227" t="str">
            <v>JESSICA MARIA DOS SANTOS</v>
          </cell>
          <cell r="D227" t="str">
            <v xml:space="preserve">OPERAÇÃO ARMAZÉM </v>
          </cell>
        </row>
        <row r="228">
          <cell r="A228" t="str">
            <v>28805JESSICA SANTOS RIBEIRO</v>
          </cell>
          <cell r="B228">
            <v>28805</v>
          </cell>
          <cell r="C228" t="str">
            <v>JESSICA SANTOS RIBEIRO</v>
          </cell>
          <cell r="D228" t="str">
            <v xml:space="preserve">OPERAÇÃO ARMAZÉM </v>
          </cell>
        </row>
        <row r="229">
          <cell r="A229" t="str">
            <v>26180JHENIFER SANTOS INTEROZANI</v>
          </cell>
          <cell r="B229">
            <v>26180</v>
          </cell>
          <cell r="C229" t="str">
            <v>JHENIFER SANTOS INTEROZANI</v>
          </cell>
          <cell r="D229" t="str">
            <v xml:space="preserve">OPERAÇÃO ARMAZÉM </v>
          </cell>
        </row>
        <row r="230">
          <cell r="A230" t="str">
            <v>26816JHONATAN SIMOES DOS SANTOS</v>
          </cell>
          <cell r="B230">
            <v>26816</v>
          </cell>
          <cell r="C230" t="str">
            <v>JHONATAN SIMOES DOS SANTOS</v>
          </cell>
          <cell r="D230" t="str">
            <v xml:space="preserve">OPERAÇÃO ARMAZÉM </v>
          </cell>
        </row>
        <row r="231">
          <cell r="A231" t="str">
            <v>31580JOAO ALVARO FERREIRA PEREIRA</v>
          </cell>
          <cell r="B231">
            <v>31580</v>
          </cell>
          <cell r="C231" t="str">
            <v>JOAO ALVARO FERREIRA PEREIRA</v>
          </cell>
          <cell r="D231" t="str">
            <v>OPERAÇÃO ARMAZÉM</v>
          </cell>
        </row>
        <row r="232">
          <cell r="A232" t="str">
            <v>26158JOAO BATISTA AGOSTINHO DA SILVA</v>
          </cell>
          <cell r="B232">
            <v>26158</v>
          </cell>
          <cell r="C232" t="str">
            <v>JOAO BATISTA AGOSTINHO DA SILVA</v>
          </cell>
          <cell r="D232" t="str">
            <v>SERVIÇOS</v>
          </cell>
        </row>
        <row r="233">
          <cell r="A233" t="str">
            <v>31597JOAO FELIX SOARES</v>
          </cell>
          <cell r="B233">
            <v>31597</v>
          </cell>
          <cell r="C233" t="str">
            <v>JOAO FELIX SOARES</v>
          </cell>
          <cell r="D233" t="str">
            <v>SERVIÇOS</v>
          </cell>
        </row>
        <row r="234">
          <cell r="A234" t="str">
            <v>18659JOAQUIM GREGORIO GONCALVES</v>
          </cell>
          <cell r="B234">
            <v>18659</v>
          </cell>
          <cell r="C234" t="str">
            <v>JOAQUIM GREGORIO GONCALVES</v>
          </cell>
          <cell r="D234" t="str">
            <v xml:space="preserve">OPERAÇÃO ARMAZÉM </v>
          </cell>
        </row>
        <row r="235">
          <cell r="A235" t="str">
            <v>26068JOAQUIM SANTOS DE BRITO</v>
          </cell>
          <cell r="B235">
            <v>26068</v>
          </cell>
          <cell r="C235" t="str">
            <v>JOAQUIM SANTOS DE BRITO</v>
          </cell>
          <cell r="D235" t="str">
            <v xml:space="preserve">OPERAÇÃO ARMAZÉM </v>
          </cell>
        </row>
        <row r="236">
          <cell r="A236" t="str">
            <v>28282JOEL PEDRO DA SILVA FILHO</v>
          </cell>
          <cell r="B236">
            <v>28282</v>
          </cell>
          <cell r="C236" t="str">
            <v>JOEL PEDRO DA SILVA FILHO</v>
          </cell>
          <cell r="D236" t="str">
            <v xml:space="preserve">OPERAÇÃO ARMAZÉM </v>
          </cell>
        </row>
        <row r="237">
          <cell r="A237" t="str">
            <v>26952SERGIO FELIPE DA SILVA</v>
          </cell>
          <cell r="B237">
            <v>26952</v>
          </cell>
          <cell r="C237" t="str">
            <v>SERGIO FELIPE DA SILVA</v>
          </cell>
          <cell r="D237" t="str">
            <v xml:space="preserve">OPERAÇÃO ARMAZÉM </v>
          </cell>
        </row>
        <row r="238">
          <cell r="A238" t="str">
            <v>30349JOILSON PEREIRA BANDEIRA</v>
          </cell>
          <cell r="B238">
            <v>30349</v>
          </cell>
          <cell r="C238" t="str">
            <v>JOILSON PEREIRA BANDEIRA</v>
          </cell>
          <cell r="D238" t="str">
            <v xml:space="preserve">OPERAÇÃO ARMAZÉM </v>
          </cell>
        </row>
        <row r="239">
          <cell r="A239" t="str">
            <v>20795JONAS LINO CRUZ OLIVEIRA</v>
          </cell>
          <cell r="B239">
            <v>20795</v>
          </cell>
          <cell r="C239" t="str">
            <v>JONAS LINO CRUZ OLIVEIRA</v>
          </cell>
          <cell r="D239" t="str">
            <v xml:space="preserve">OPERAÇÃO ARMAZÉM </v>
          </cell>
        </row>
        <row r="240">
          <cell r="A240" t="str">
            <v>31565SIDNEY ALVES COSTA</v>
          </cell>
          <cell r="B240">
            <v>31565</v>
          </cell>
          <cell r="C240" t="str">
            <v>SIDNEY ALVES COSTA</v>
          </cell>
          <cell r="D240" t="str">
            <v xml:space="preserve">OPERAÇÃO ARMAZÉM </v>
          </cell>
        </row>
        <row r="241">
          <cell r="A241" t="str">
            <v>28443JONATAS OLIVEIRA DE SOUZA</v>
          </cell>
          <cell r="B241">
            <v>28443</v>
          </cell>
          <cell r="C241" t="str">
            <v>JONATAS OLIVEIRA DE SOUZA</v>
          </cell>
          <cell r="D241" t="str">
            <v xml:space="preserve">OPERAÇÃO ARMAZÉM </v>
          </cell>
        </row>
        <row r="242">
          <cell r="A242" t="str">
            <v>28787JONATHAN RODRIGO PEREIRA DAVILA</v>
          </cell>
          <cell r="B242">
            <v>28787</v>
          </cell>
          <cell r="C242" t="str">
            <v>JONATHAN RODRIGO PEREIRA DAVILA</v>
          </cell>
          <cell r="D242" t="str">
            <v>OPERAÇÃO ARMAZÉM</v>
          </cell>
        </row>
        <row r="243">
          <cell r="A243" t="str">
            <v>31195JORGE DA SILVA VIEIRA</v>
          </cell>
          <cell r="B243">
            <v>31195</v>
          </cell>
          <cell r="C243" t="str">
            <v>JORGE DA SILVA VIEIRA</v>
          </cell>
          <cell r="D243" t="str">
            <v>OPERAÇÃO ARMAZÉM</v>
          </cell>
        </row>
        <row r="244">
          <cell r="A244" t="str">
            <v>31552JORGE DOS SANTOS LIMA</v>
          </cell>
          <cell r="B244">
            <v>31552</v>
          </cell>
          <cell r="C244" t="str">
            <v>JORGE DOS SANTOS LIMA</v>
          </cell>
          <cell r="D244" t="str">
            <v>OPERAÇÃO ARMAZÉM</v>
          </cell>
        </row>
        <row r="245">
          <cell r="A245" t="str">
            <v>27747JOSE BENEDITO DE OLIVEIRA</v>
          </cell>
          <cell r="B245">
            <v>27747</v>
          </cell>
          <cell r="C245" t="str">
            <v>JOSE BENEDITO DE OLIVEIRA</v>
          </cell>
          <cell r="D245" t="str">
            <v>OPERAÇÃO ARMAZÉM</v>
          </cell>
        </row>
        <row r="246">
          <cell r="A246" t="str">
            <v>21686JOSE CARLOS CAMARGO</v>
          </cell>
          <cell r="B246">
            <v>21686</v>
          </cell>
          <cell r="C246" t="str">
            <v>JOSE CARLOS CAMARGO</v>
          </cell>
          <cell r="D246" t="str">
            <v>SERVIÇOS</v>
          </cell>
        </row>
        <row r="247">
          <cell r="A247" t="str">
            <v>29262JOSE RAMOS GUIMARAES JUNIOR</v>
          </cell>
          <cell r="B247">
            <v>29262</v>
          </cell>
          <cell r="C247" t="str">
            <v>JOSE RAMOS GUIMARAES JUNIOR</v>
          </cell>
          <cell r="D247" t="str">
            <v>OPERAÇÃO ARMAZÉM</v>
          </cell>
        </row>
        <row r="248">
          <cell r="A248" t="str">
            <v>28295JOSE RICARDO PIMENTEL DOS SANTOS</v>
          </cell>
          <cell r="B248">
            <v>28295</v>
          </cell>
          <cell r="C248" t="str">
            <v>JOSE RICARDO PIMENTEL DOS SANTOS</v>
          </cell>
          <cell r="D248" t="str">
            <v xml:space="preserve">OPERAÇÃO ARMAZÉM </v>
          </cell>
        </row>
        <row r="249">
          <cell r="A249" t="str">
            <v>31036JOSE RONALDO DA SILVA SOUSA</v>
          </cell>
          <cell r="B249">
            <v>31036</v>
          </cell>
          <cell r="C249" t="str">
            <v>JOSE RONALDO DA SILVA SOUSA</v>
          </cell>
          <cell r="D249" t="str">
            <v>OPERAÇÃO ARMAZÉM</v>
          </cell>
        </row>
        <row r="250">
          <cell r="A250" t="str">
            <v>18616JOSILENE JEFERSON MARTINS</v>
          </cell>
          <cell r="B250">
            <v>18616</v>
          </cell>
          <cell r="C250" t="str">
            <v>JOSILENE JEFERSON MARTINS</v>
          </cell>
          <cell r="D250" t="str">
            <v>COMERCIAL/ENG. LOGÍSTICA</v>
          </cell>
        </row>
        <row r="251">
          <cell r="A251" t="str">
            <v>28809JOSIMAURA SANTOS SILVA</v>
          </cell>
          <cell r="B251">
            <v>28809</v>
          </cell>
          <cell r="C251" t="str">
            <v>JOSIMAURA SANTOS SILVA</v>
          </cell>
          <cell r="D251" t="str">
            <v xml:space="preserve">OPERAÇÃO ARMAZÉM </v>
          </cell>
        </row>
        <row r="252">
          <cell r="A252" t="str">
            <v>18481JOSIVAN DA SILVA SANTOS</v>
          </cell>
          <cell r="B252">
            <v>18481</v>
          </cell>
          <cell r="C252" t="str">
            <v>JOSIVAN DA SILVA SANTOS</v>
          </cell>
          <cell r="D252" t="str">
            <v xml:space="preserve">OPERAÇÃO ARMAZÉM </v>
          </cell>
        </row>
        <row r="253">
          <cell r="A253" t="str">
            <v>24311JOSIZELIA OLIVEIRA DE LIMA</v>
          </cell>
          <cell r="B253">
            <v>24311</v>
          </cell>
          <cell r="C253" t="str">
            <v>JOSIZELIA OLIVEIRA DE LIMA</v>
          </cell>
          <cell r="D253" t="str">
            <v xml:space="preserve">OPERAÇÃO ARMAZÉM </v>
          </cell>
        </row>
        <row r="254">
          <cell r="A254" t="str">
            <v>26652JOVANILTON LIMA FERNANDES</v>
          </cell>
          <cell r="B254">
            <v>26652</v>
          </cell>
          <cell r="C254" t="str">
            <v>JOVANILTON LIMA FERNANDES</v>
          </cell>
          <cell r="D254" t="str">
            <v xml:space="preserve">OPERAÇÃO ARMAZÉM </v>
          </cell>
        </row>
        <row r="255">
          <cell r="A255" t="str">
            <v>28469JULIANA DO NASCIMENTO SILVA</v>
          </cell>
          <cell r="B255">
            <v>28469</v>
          </cell>
          <cell r="C255" t="str">
            <v>JULIANA DO NASCIMENTO SILVA</v>
          </cell>
          <cell r="D255" t="str">
            <v>QUALIDADE</v>
          </cell>
        </row>
        <row r="256">
          <cell r="A256" t="str">
            <v>31560JULIANO KOCHNIK</v>
          </cell>
          <cell r="B256">
            <v>31560</v>
          </cell>
          <cell r="C256" t="str">
            <v>JULIANO KOCHNIK</v>
          </cell>
          <cell r="D256" t="str">
            <v>OPERAÇÃO ARMAZÉM</v>
          </cell>
        </row>
        <row r="257">
          <cell r="A257" t="str">
            <v>18231JULIO CESAR GALDINO</v>
          </cell>
          <cell r="B257">
            <v>18231</v>
          </cell>
          <cell r="C257" t="str">
            <v>JULIO CESAR GALDINO</v>
          </cell>
          <cell r="D257" t="str">
            <v xml:space="preserve">OPERAÇÃO ARMAZÉM </v>
          </cell>
        </row>
        <row r="258">
          <cell r="A258" t="str">
            <v>31589KAMILLA OLYMPIA OLIVEIRA</v>
          </cell>
          <cell r="B258">
            <v>31589</v>
          </cell>
          <cell r="C258" t="str">
            <v>KAMILLA OLYMPIA OLIVEIRA</v>
          </cell>
          <cell r="D258" t="str">
            <v xml:space="preserve">OPERAÇÃO ARMAZÉM </v>
          </cell>
        </row>
        <row r="259">
          <cell r="A259" t="str">
            <v>26355KARLA JOISSENILDE DA COSTA RODRIGUES</v>
          </cell>
          <cell r="B259">
            <v>26355</v>
          </cell>
          <cell r="C259" t="str">
            <v>KARLA JOISSENILDE DA COSTA RODRIGUES</v>
          </cell>
          <cell r="D259" t="str">
            <v xml:space="preserve">OPERAÇÃO ARMAZÉM </v>
          </cell>
        </row>
        <row r="260">
          <cell r="A260" t="str">
            <v>27848KAROLINE RODRIGUES VIEIRA</v>
          </cell>
          <cell r="B260">
            <v>27848</v>
          </cell>
          <cell r="C260" t="str">
            <v>KAROLINE RODRIGUES VIEIRA</v>
          </cell>
          <cell r="D260" t="str">
            <v>OPERAÇÃO ARMAZÉM</v>
          </cell>
        </row>
        <row r="261">
          <cell r="A261" t="str">
            <v>26758KATIA CRISTINA CAPELLI GIMENES</v>
          </cell>
          <cell r="B261">
            <v>26758</v>
          </cell>
          <cell r="C261" t="str">
            <v>KATIA CRISTINA CAPELLI GIMENES</v>
          </cell>
          <cell r="D261" t="str">
            <v>GOVERNANÇA</v>
          </cell>
        </row>
        <row r="262">
          <cell r="A262" t="str">
            <v>26794SILMARA SANTOS DE MELO</v>
          </cell>
          <cell r="B262">
            <v>26794</v>
          </cell>
          <cell r="C262" t="str">
            <v>SILMARA SANTOS DE MELO</v>
          </cell>
          <cell r="D262" t="str">
            <v xml:space="preserve">OPERAÇÃO ARMAZÉM </v>
          </cell>
        </row>
        <row r="263">
          <cell r="A263" t="str">
            <v>31591KAUAN MIGUEL DOS SANTOS</v>
          </cell>
          <cell r="B263">
            <v>31591</v>
          </cell>
          <cell r="C263" t="str">
            <v>KAUAN MIGUEL DOS SANTOS</v>
          </cell>
          <cell r="D263" t="str">
            <v>SERVIÇOS</v>
          </cell>
        </row>
        <row r="264">
          <cell r="A264" t="str">
            <v>18351KESIA GREGORIO FERREIRA VICENTE</v>
          </cell>
          <cell r="B264">
            <v>18351</v>
          </cell>
          <cell r="C264" t="str">
            <v>KESIA GREGORIO FERREIRA VICENTE</v>
          </cell>
          <cell r="D264" t="str">
            <v xml:space="preserve">OPERAÇÃO ARMAZÉM </v>
          </cell>
        </row>
        <row r="265">
          <cell r="A265" t="str">
            <v>27308KEVIN BARBOSA DE SOUZA</v>
          </cell>
          <cell r="B265">
            <v>27308</v>
          </cell>
          <cell r="C265" t="str">
            <v>KEVIN BARBOSA DE SOUZA</v>
          </cell>
          <cell r="D265" t="str">
            <v xml:space="preserve">OPERAÇÃO ARMAZÉM </v>
          </cell>
        </row>
        <row r="266">
          <cell r="A266" t="str">
            <v>28562KEYLANNE LAIS FERREIRA DA SILVA</v>
          </cell>
          <cell r="B266">
            <v>28562</v>
          </cell>
          <cell r="C266" t="str">
            <v>KEYLANNE LAIS FERREIRA DA SILVA</v>
          </cell>
          <cell r="D266" t="str">
            <v>OPERAÇÃO ARMAZÉM</v>
          </cell>
        </row>
        <row r="267">
          <cell r="A267" t="str">
            <v>25274KEYLLA SIMONE SIMPLICIO NUNES</v>
          </cell>
          <cell r="B267">
            <v>25274</v>
          </cell>
          <cell r="C267" t="str">
            <v>KEYLLA SIMONE SIMPLICIO NUNES</v>
          </cell>
          <cell r="D267" t="str">
            <v>SERVIÇOS</v>
          </cell>
        </row>
        <row r="268">
          <cell r="A268" t="str">
            <v>18483LAERTE DUTRA DE OLIVEIRA</v>
          </cell>
          <cell r="B268">
            <v>18483</v>
          </cell>
          <cell r="C268" t="str">
            <v>LAERTE DUTRA DE OLIVEIRA</v>
          </cell>
          <cell r="D268" t="str">
            <v xml:space="preserve">OPERAÇÃO ARMAZÉM </v>
          </cell>
        </row>
        <row r="269">
          <cell r="A269" t="str">
            <v>31593LARISSA APOLINARIO DA SILVA</v>
          </cell>
          <cell r="B269">
            <v>31593</v>
          </cell>
          <cell r="C269" t="str">
            <v>LARISSA APOLINARIO DA SILVA</v>
          </cell>
          <cell r="D269" t="str">
            <v>GOVERNANÇA</v>
          </cell>
        </row>
        <row r="270">
          <cell r="A270" t="str">
            <v>18098LAURO SILVA DE SOUZA</v>
          </cell>
          <cell r="B270">
            <v>18098</v>
          </cell>
          <cell r="C270" t="str">
            <v>LAURO SILVA DE SOUZA</v>
          </cell>
          <cell r="D270" t="str">
            <v xml:space="preserve">OPERAÇÃO ARMAZÉM </v>
          </cell>
        </row>
        <row r="271">
          <cell r="A271" t="str">
            <v>31583LEANDRO CANCELA MOREIRA</v>
          </cell>
          <cell r="B271">
            <v>31583</v>
          </cell>
          <cell r="C271" t="str">
            <v>LEANDRO CANCELA MOREIRA</v>
          </cell>
          <cell r="D271" t="str">
            <v xml:space="preserve">OPERAÇÃO ARMAZÉM </v>
          </cell>
        </row>
        <row r="272">
          <cell r="A272" t="str">
            <v>28928LEANDRO CARDOSO DA SILVA</v>
          </cell>
          <cell r="B272">
            <v>28928</v>
          </cell>
          <cell r="C272" t="str">
            <v>LEANDRO CARDOSO DA SILVA</v>
          </cell>
          <cell r="D272" t="str">
            <v>TECNOLOGIA DA INFORMAÇÃO</v>
          </cell>
        </row>
        <row r="273">
          <cell r="A273" t="str">
            <v>28788LEANDRO DOS SANTOS FREIRE</v>
          </cell>
          <cell r="B273">
            <v>28788</v>
          </cell>
          <cell r="C273" t="str">
            <v>LEANDRO DOS SANTOS FREIRE</v>
          </cell>
          <cell r="D273" t="str">
            <v>OPERAÇÃO ARMAZÉM</v>
          </cell>
        </row>
        <row r="274">
          <cell r="A274" t="str">
            <v>19192LEANDRO JOSE DA SILVA</v>
          </cell>
          <cell r="B274">
            <v>19192</v>
          </cell>
          <cell r="C274" t="str">
            <v>LEANDRO JOSE DA SILVA</v>
          </cell>
          <cell r="D274" t="str">
            <v xml:space="preserve">OPERAÇÃO ARMAZÉM </v>
          </cell>
        </row>
        <row r="275">
          <cell r="A275" t="str">
            <v>28918LEANDRO LUIZ DA SILVA</v>
          </cell>
          <cell r="B275">
            <v>28918</v>
          </cell>
          <cell r="C275" t="str">
            <v>LEANDRO LUIZ DA SILVA</v>
          </cell>
          <cell r="D275" t="str">
            <v>OPERAÇÃO ARMAZÉM</v>
          </cell>
        </row>
        <row r="276">
          <cell r="A276" t="str">
            <v>17760SILVANA LOURENCO ALVES</v>
          </cell>
          <cell r="B276">
            <v>17760</v>
          </cell>
          <cell r="C276" t="str">
            <v>SILVANA LOURENCO ALVES</v>
          </cell>
          <cell r="D276" t="str">
            <v xml:space="preserve">OPERAÇÃO ARMAZÉM </v>
          </cell>
        </row>
        <row r="277">
          <cell r="A277" t="str">
            <v>18253TIAGO WAGNER LUCCHESI ALVES</v>
          </cell>
          <cell r="B277">
            <v>18253</v>
          </cell>
          <cell r="C277" t="str">
            <v>TIAGO WAGNER LUCCHESI ALVES</v>
          </cell>
          <cell r="D277" t="str">
            <v xml:space="preserve">OPERAÇÃO ARMAZÉM </v>
          </cell>
        </row>
        <row r="278">
          <cell r="A278" t="str">
            <v>28478LEILA DIAS MIRANDA</v>
          </cell>
          <cell r="B278">
            <v>28478</v>
          </cell>
          <cell r="C278" t="str">
            <v>LEILA DIAS MIRANDA</v>
          </cell>
          <cell r="D278" t="str">
            <v xml:space="preserve">OPERAÇÃO ARMAZÉM </v>
          </cell>
        </row>
        <row r="279">
          <cell r="A279" t="str">
            <v>18033LEONARDO LUIZ PONTES</v>
          </cell>
          <cell r="B279">
            <v>18033</v>
          </cell>
          <cell r="C279" t="str">
            <v>LEONARDO LUIZ PONTES</v>
          </cell>
          <cell r="D279" t="str">
            <v xml:space="preserve">OPERAÇÃO ARMAZÉM </v>
          </cell>
        </row>
        <row r="280">
          <cell r="A280" t="str">
            <v>31288LETICIA RAUBER</v>
          </cell>
          <cell r="B280">
            <v>31288</v>
          </cell>
          <cell r="C280" t="str">
            <v>LETICIA RAUBER</v>
          </cell>
          <cell r="D280" t="str">
            <v>OPERAÇÃO ARMAZÉM</v>
          </cell>
        </row>
        <row r="281">
          <cell r="A281" t="str">
            <v>18045LISLENE DA PENHA SOUSA</v>
          </cell>
          <cell r="B281">
            <v>18045</v>
          </cell>
          <cell r="C281" t="str">
            <v>LISLENE DA PENHA SOUSA</v>
          </cell>
          <cell r="D281" t="str">
            <v xml:space="preserve">OPERAÇÃO ARMAZÉM </v>
          </cell>
        </row>
        <row r="282">
          <cell r="A282" t="str">
            <v>24022VAGNER JOSE BEZERRA DOS SANTOS</v>
          </cell>
          <cell r="B282">
            <v>24022</v>
          </cell>
          <cell r="C282" t="str">
            <v>VAGNER JOSE BEZERRA DOS SANTOS</v>
          </cell>
          <cell r="D282" t="str">
            <v xml:space="preserve">OPERAÇÃO ARMAZÉM </v>
          </cell>
        </row>
        <row r="283">
          <cell r="A283" t="str">
            <v>28619LUCAS ALEX DOS REIS</v>
          </cell>
          <cell r="B283">
            <v>28619</v>
          </cell>
          <cell r="C283" t="str">
            <v>LUCAS ALEX DOS REIS</v>
          </cell>
          <cell r="D283" t="str">
            <v xml:space="preserve">OPERAÇÃO ARMAZÉM </v>
          </cell>
        </row>
        <row r="284">
          <cell r="A284" t="str">
            <v>31574LUCAS ANDRE DA SILVA</v>
          </cell>
          <cell r="B284">
            <v>31574</v>
          </cell>
          <cell r="C284" t="str">
            <v>LUCAS ANDRE DA SILVA</v>
          </cell>
          <cell r="D284" t="str">
            <v>GOVERNANÇA</v>
          </cell>
        </row>
        <row r="285">
          <cell r="A285" t="str">
            <v>28843LUCAS REAL</v>
          </cell>
          <cell r="B285">
            <v>28843</v>
          </cell>
          <cell r="C285" t="str">
            <v>LUCAS REAL</v>
          </cell>
          <cell r="D285" t="str">
            <v xml:space="preserve">OPERAÇÃO ARMAZÉM </v>
          </cell>
        </row>
        <row r="286">
          <cell r="A286" t="str">
            <v>17646LUCIANA DE FATIMA DE SOUZA</v>
          </cell>
          <cell r="B286">
            <v>17646</v>
          </cell>
          <cell r="C286" t="str">
            <v>LUCIANA DE FATIMA DE SOUZA</v>
          </cell>
          <cell r="D286" t="str">
            <v xml:space="preserve">OPERAÇÃO ARMAZÉM </v>
          </cell>
        </row>
        <row r="287">
          <cell r="A287" t="str">
            <v>24557LUCIANA MARIA AFONSO FELIX</v>
          </cell>
          <cell r="B287">
            <v>24557</v>
          </cell>
          <cell r="C287" t="str">
            <v>LUCIANA MARIA AFONSO FELIX</v>
          </cell>
          <cell r="D287" t="str">
            <v xml:space="preserve">OPERAÇÃO ARMAZÉM </v>
          </cell>
        </row>
        <row r="288">
          <cell r="A288" t="str">
            <v>17832LUCIANO ANTONIO SILVA</v>
          </cell>
          <cell r="B288">
            <v>17832</v>
          </cell>
          <cell r="C288" t="str">
            <v>LUCIANO ANTONIO SILVA</v>
          </cell>
          <cell r="D288" t="str">
            <v xml:space="preserve">OPERAÇÃO ARMAZÉM </v>
          </cell>
        </row>
        <row r="289">
          <cell r="A289" t="str">
            <v>31559LUCIANO COSTA CLAUDINO</v>
          </cell>
          <cell r="B289">
            <v>31559</v>
          </cell>
          <cell r="C289" t="str">
            <v>LUCIANO COSTA CLAUDINO</v>
          </cell>
          <cell r="D289" t="str">
            <v xml:space="preserve">OPERAÇÃO ARMAZÉM </v>
          </cell>
        </row>
        <row r="290">
          <cell r="A290" t="str">
            <v>17994LUCIANO DE OLIVEIRA SILVA</v>
          </cell>
          <cell r="B290">
            <v>17994</v>
          </cell>
          <cell r="C290" t="str">
            <v>LUCIANO DE OLIVEIRA SILVA</v>
          </cell>
          <cell r="D290" t="str">
            <v xml:space="preserve">OPERAÇÃO ARMAZÉM </v>
          </cell>
        </row>
        <row r="291">
          <cell r="A291" t="str">
            <v>25566VINICIUS MENDES VIANA</v>
          </cell>
          <cell r="B291">
            <v>25566</v>
          </cell>
          <cell r="C291" t="str">
            <v>VINICIUS MENDES VIANA</v>
          </cell>
          <cell r="D291" t="str">
            <v xml:space="preserve">OPERAÇÃO ARMAZÉM </v>
          </cell>
        </row>
        <row r="292">
          <cell r="A292" t="str">
            <v>31192LUCILENE MOREIRA DA SILVA</v>
          </cell>
          <cell r="B292">
            <v>31192</v>
          </cell>
          <cell r="C292" t="str">
            <v>LUCILENE MOREIRA DA SILVA</v>
          </cell>
          <cell r="D292" t="str">
            <v xml:space="preserve">OPERAÇÃO ARMAZÉM </v>
          </cell>
        </row>
        <row r="293">
          <cell r="A293" t="str">
            <v>29170LUCILENE SOARES DE ALMEIDA</v>
          </cell>
          <cell r="B293">
            <v>29170</v>
          </cell>
          <cell r="C293" t="str">
            <v>LUCILENE SOARES DE ALMEIDA</v>
          </cell>
          <cell r="D293" t="str">
            <v xml:space="preserve">OPERAÇÃO ARMAZÉM </v>
          </cell>
        </row>
        <row r="294">
          <cell r="A294" t="str">
            <v>27757LUIS CARLOS DE SOUZA SOARES</v>
          </cell>
          <cell r="B294">
            <v>27757</v>
          </cell>
          <cell r="C294" t="str">
            <v>LUIS CARLOS DE SOUZA SOARES</v>
          </cell>
          <cell r="D294" t="str">
            <v xml:space="preserve">OPERAÇÃO ARMAZÉM </v>
          </cell>
        </row>
        <row r="295">
          <cell r="A295" t="str">
            <v>31551LUIS FELIPE CARTOLARI</v>
          </cell>
          <cell r="B295">
            <v>31551</v>
          </cell>
          <cell r="C295" t="str">
            <v>LUIS FELIPE CARTOLARI</v>
          </cell>
          <cell r="D295" t="str">
            <v xml:space="preserve">OPERAÇÃO ARMAZÉM </v>
          </cell>
        </row>
        <row r="296">
          <cell r="A296" t="str">
            <v>26251LUIS HENRIQUE GOMES DE OLIVEIRA</v>
          </cell>
          <cell r="B296">
            <v>26251</v>
          </cell>
          <cell r="C296" t="str">
            <v>LUIS HENRIQUE GOMES DE OLIVEIRA</v>
          </cell>
          <cell r="D296" t="str">
            <v xml:space="preserve">OPERAÇÃO ARMAZÉM </v>
          </cell>
        </row>
        <row r="297">
          <cell r="A297" t="str">
            <v>25982LUIZ CARLOS DE LIMA JUNIOR</v>
          </cell>
          <cell r="B297">
            <v>25982</v>
          </cell>
          <cell r="C297" t="str">
            <v>LUIZ CARLOS DE LIMA JUNIOR</v>
          </cell>
          <cell r="D297" t="str">
            <v xml:space="preserve">OPERAÇÃO ARMAZÉM </v>
          </cell>
        </row>
        <row r="298">
          <cell r="A298" t="str">
            <v>26801VITOR OMAR MENDES VIEIRA</v>
          </cell>
          <cell r="B298">
            <v>26801</v>
          </cell>
          <cell r="C298" t="str">
            <v>VITOR OMAR MENDES VIEIRA</v>
          </cell>
          <cell r="D298" t="str">
            <v xml:space="preserve">OPERAÇÃO ARMAZÉM </v>
          </cell>
        </row>
        <row r="299">
          <cell r="A299" t="str">
            <v>25788VIVIANE CLEIA VIEIRA DIAS DOS SANTOS</v>
          </cell>
          <cell r="B299">
            <v>25788</v>
          </cell>
          <cell r="C299" t="str">
            <v>VIVIANE CLEIA VIEIRA DIAS DOS SANTOS</v>
          </cell>
          <cell r="D299" t="str">
            <v xml:space="preserve">OPERAÇÃO ARMAZÉM </v>
          </cell>
        </row>
        <row r="300">
          <cell r="A300" t="str">
            <v>28016MANOELLE DOS REIS PINTO</v>
          </cell>
          <cell r="B300">
            <v>28016</v>
          </cell>
          <cell r="C300" t="str">
            <v>MANOELLE DOS REIS PINTO</v>
          </cell>
          <cell r="D300" t="str">
            <v xml:space="preserve">OPERAÇÃO ARMAZÉM </v>
          </cell>
        </row>
        <row r="301">
          <cell r="A301" t="str">
            <v>18149MARCELO DA SILVEIRA SANTOS</v>
          </cell>
          <cell r="B301">
            <v>18149</v>
          </cell>
          <cell r="C301" t="str">
            <v>MARCELO DA SILVEIRA SANTOS</v>
          </cell>
          <cell r="D301" t="str">
            <v xml:space="preserve">OPERAÇÃO ARMAZÉM </v>
          </cell>
        </row>
        <row r="302">
          <cell r="A302" t="str">
            <v>26120MARCELO SALUSTIANO SANTOS</v>
          </cell>
          <cell r="B302">
            <v>26120</v>
          </cell>
          <cell r="C302" t="str">
            <v>MARCELO SALUSTIANO SANTOS</v>
          </cell>
          <cell r="D302" t="str">
            <v xml:space="preserve">OPERAÇÃO ARMAZÉM </v>
          </cell>
        </row>
        <row r="303">
          <cell r="A303" t="str">
            <v>20913MARCIA APARECIDA DO AMARAL</v>
          </cell>
          <cell r="B303">
            <v>20913</v>
          </cell>
          <cell r="C303" t="str">
            <v>MARCIA APARECIDA DO AMARAL</v>
          </cell>
          <cell r="D303" t="str">
            <v xml:space="preserve">OPERAÇÃO ARMAZÉM </v>
          </cell>
        </row>
        <row r="304">
          <cell r="A304" t="str">
            <v>17647MARCIA MARQUES NOGUEIRA</v>
          </cell>
          <cell r="B304">
            <v>17647</v>
          </cell>
          <cell r="C304" t="str">
            <v>MARCIA MARQUES NOGUEIRA</v>
          </cell>
          <cell r="D304" t="str">
            <v xml:space="preserve">OPERAÇÃO ARMAZÉM </v>
          </cell>
        </row>
        <row r="305">
          <cell r="A305" t="str">
            <v>31557MARCIO FRANKLIN COSTA DA COSTA</v>
          </cell>
          <cell r="B305">
            <v>31557</v>
          </cell>
          <cell r="C305" t="str">
            <v>MARCIO FRANKLIN COSTA DA COSTA</v>
          </cell>
          <cell r="D305" t="str">
            <v>OPERAÇÃO ARMAZÉM</v>
          </cell>
        </row>
        <row r="306">
          <cell r="A306" t="str">
            <v>31533MARCIO GILBERTO PEREIRA</v>
          </cell>
          <cell r="B306">
            <v>31533</v>
          </cell>
          <cell r="C306" t="str">
            <v>MARCIO GILBERTO PEREIRA</v>
          </cell>
          <cell r="D306" t="str">
            <v>OPERAÇÃO ARMAZÉM</v>
          </cell>
        </row>
        <row r="307">
          <cell r="A307" t="str">
            <v>21124MARCIO MACIEL DA SILVA</v>
          </cell>
          <cell r="B307">
            <v>21124</v>
          </cell>
          <cell r="C307" t="str">
            <v>MARCIO MACIEL DA SILVA</v>
          </cell>
          <cell r="D307" t="str">
            <v>OPERAÇÃO ARMAZÉM</v>
          </cell>
        </row>
        <row r="308">
          <cell r="A308" t="str">
            <v>28777MARCO AURELIO SABINO</v>
          </cell>
          <cell r="B308">
            <v>28777</v>
          </cell>
          <cell r="C308" t="str">
            <v>MARCO AURELIO SABINO</v>
          </cell>
          <cell r="D308" t="str">
            <v>OPERAÇÃO ARMAZÉM</v>
          </cell>
        </row>
        <row r="309">
          <cell r="A309" t="str">
            <v>26746ALEX SANDRO DOS SANTOS SOUSA</v>
          </cell>
          <cell r="B309">
            <v>26746</v>
          </cell>
          <cell r="C309" t="str">
            <v>ALEX SANDRO DOS SANTOS SOUSA</v>
          </cell>
          <cell r="D309" t="str">
            <v xml:space="preserve">OPERAÇÃO ARMAZÉM </v>
          </cell>
        </row>
        <row r="310">
          <cell r="A310" t="str">
            <v>18653ANA CLAUDIA DOS SANTOS</v>
          </cell>
          <cell r="B310">
            <v>18653</v>
          </cell>
          <cell r="C310" t="str">
            <v>ANA CLAUDIA DOS SANTOS</v>
          </cell>
          <cell r="D310" t="str">
            <v xml:space="preserve">OPERAÇÃO ARMAZÉM </v>
          </cell>
        </row>
        <row r="311">
          <cell r="A311" t="str">
            <v>28571MARCOS AZEVEDO DOS SANTOS</v>
          </cell>
          <cell r="B311">
            <v>28571</v>
          </cell>
          <cell r="C311" t="str">
            <v>MARCOS AZEVEDO DOS SANTOS</v>
          </cell>
          <cell r="D311" t="str">
            <v xml:space="preserve">OPERAÇÃO ARMAZÉM </v>
          </cell>
        </row>
        <row r="312">
          <cell r="A312" t="str">
            <v>26868ANDERSON FELICIANO FERREIRA SANTOS</v>
          </cell>
          <cell r="B312">
            <v>26868</v>
          </cell>
          <cell r="C312" t="str">
            <v>ANDERSON FELICIANO FERREIRA SANTOS</v>
          </cell>
          <cell r="D312" t="str">
            <v xml:space="preserve">OPERAÇÃO ARMAZÉM </v>
          </cell>
        </row>
        <row r="313">
          <cell r="A313" t="str">
            <v>18559CAIO PROCOPIO MATEUS</v>
          </cell>
          <cell r="B313">
            <v>18559</v>
          </cell>
          <cell r="C313" t="str">
            <v>CAIO PROCOPIO MATEUS</v>
          </cell>
          <cell r="D313" t="str">
            <v xml:space="preserve">OPERAÇÃO ARMAZÉM </v>
          </cell>
        </row>
        <row r="314">
          <cell r="A314" t="str">
            <v>30956MARCOS ROBERTO ARAUJO DO NASCIMENTO</v>
          </cell>
          <cell r="B314">
            <v>30956</v>
          </cell>
          <cell r="C314" t="str">
            <v>MARCOS ROBERTO ARAUJO DO NASCIMENTO</v>
          </cell>
          <cell r="D314" t="str">
            <v xml:space="preserve">OPERAÇÃO ARMAZÉM </v>
          </cell>
        </row>
        <row r="315">
          <cell r="A315" t="str">
            <v>17635MARIA APARECIDA DE OLIVEIRA ALBUQUERQUE GURALI</v>
          </cell>
          <cell r="B315">
            <v>17635</v>
          </cell>
          <cell r="C315" t="str">
            <v>MARIA APARECIDA DE OLIVEIRA ALBUQUERQUE GURALI</v>
          </cell>
          <cell r="D315" t="str">
            <v xml:space="preserve">OPERAÇÃO ARMAZÉM </v>
          </cell>
        </row>
        <row r="316">
          <cell r="A316" t="str">
            <v>26745MARIA CLARICE ALEIXO SANTOS</v>
          </cell>
          <cell r="B316">
            <v>26745</v>
          </cell>
          <cell r="C316" t="str">
            <v>MARIA CLARICE ALEIXO SANTOS</v>
          </cell>
          <cell r="D316" t="str">
            <v xml:space="preserve">OPERAÇÃO ARMAZÉM </v>
          </cell>
        </row>
        <row r="317">
          <cell r="A317" t="str">
            <v>31598MARIA CRISTINA QUEIROZ OLIVEIRA DA SILVA</v>
          </cell>
          <cell r="B317">
            <v>31598</v>
          </cell>
          <cell r="C317" t="str">
            <v>MARIA CRISTINA QUEIROZ OLIVEIRA DA SILVA</v>
          </cell>
          <cell r="D317" t="str">
            <v>QUALIDADE</v>
          </cell>
        </row>
        <row r="318">
          <cell r="A318" t="str">
            <v>26487MARIA DAS DORES SALAZAR</v>
          </cell>
          <cell r="B318">
            <v>26487</v>
          </cell>
          <cell r="C318" t="str">
            <v>MARIA DAS DORES SALAZAR</v>
          </cell>
          <cell r="D318" t="str">
            <v xml:space="preserve">OPERAÇÃO ARMAZÉM </v>
          </cell>
        </row>
        <row r="319">
          <cell r="A319" t="str">
            <v>25384MARIA DAS GRACAS DIAS PEREIRA</v>
          </cell>
          <cell r="B319">
            <v>25384</v>
          </cell>
          <cell r="C319" t="str">
            <v>MARIA DAS GRACAS DIAS PEREIRA</v>
          </cell>
          <cell r="D319" t="str">
            <v xml:space="preserve">OPERAÇÃO ARMAZÉM </v>
          </cell>
        </row>
        <row r="320">
          <cell r="A320" t="str">
            <v>24608MARIA DE LOURDES DOS SANTOS</v>
          </cell>
          <cell r="B320">
            <v>24608</v>
          </cell>
          <cell r="C320" t="str">
            <v>MARIA DE LOURDES DOS SANTOS</v>
          </cell>
          <cell r="D320" t="str">
            <v>OPERAÇÃO ARMAZÉM</v>
          </cell>
        </row>
        <row r="321">
          <cell r="A321" t="str">
            <v>18413MARIA FERNANDA MELO DE SOUZA</v>
          </cell>
          <cell r="B321">
            <v>18413</v>
          </cell>
          <cell r="C321" t="str">
            <v>MARIA FERNANDA MELO DE SOUZA</v>
          </cell>
          <cell r="D321" t="str">
            <v>SERVIÇOS</v>
          </cell>
        </row>
        <row r="322">
          <cell r="A322" t="str">
            <v>28056MARIA HELENICE SANTANA CONCEICAO</v>
          </cell>
          <cell r="B322">
            <v>28056</v>
          </cell>
          <cell r="C322" t="str">
            <v>MARIA HELENICE SANTANA CONCEICAO</v>
          </cell>
          <cell r="D322" t="str">
            <v>OPERAÇÃO ARMAZÉM</v>
          </cell>
        </row>
        <row r="323">
          <cell r="A323" t="str">
            <v>18703MARIA JOSE DE SOUZA LUQUEZI</v>
          </cell>
          <cell r="B323">
            <v>18703</v>
          </cell>
          <cell r="C323" t="str">
            <v>MARIA JOSE DE SOUZA LUQUEZI</v>
          </cell>
          <cell r="D323" t="str">
            <v>OPERAÇÃO ARMAZÉM</v>
          </cell>
        </row>
        <row r="324">
          <cell r="A324" t="str">
            <v>31541MARIA KAROLINA DE SOUZA LIMA</v>
          </cell>
          <cell r="B324">
            <v>31541</v>
          </cell>
          <cell r="C324" t="str">
            <v>MARIA KAROLINA DE SOUZA LIMA</v>
          </cell>
          <cell r="D324" t="str">
            <v>QUALIDADE</v>
          </cell>
        </row>
        <row r="325">
          <cell r="A325" t="str">
            <v>23083MARIA SIMONE DOS SANTOS VASCONCELOS</v>
          </cell>
          <cell r="B325">
            <v>23083</v>
          </cell>
          <cell r="C325" t="str">
            <v>MARIA SIMONE DOS SANTOS VASCONCELOS</v>
          </cell>
          <cell r="D325" t="str">
            <v xml:space="preserve">OPERAÇÃO ARMAZÉM </v>
          </cell>
        </row>
        <row r="326">
          <cell r="A326" t="str">
            <v>29910MARIA TANIA DA SILVA</v>
          </cell>
          <cell r="B326">
            <v>29910</v>
          </cell>
          <cell r="C326" t="str">
            <v>MARIA TANIA DA SILVA</v>
          </cell>
          <cell r="D326" t="str">
            <v xml:space="preserve">OPERAÇÃO ARMAZÉM </v>
          </cell>
        </row>
        <row r="327">
          <cell r="A327" t="str">
            <v>28940MARIELE RODRIGUES MARTINS</v>
          </cell>
          <cell r="B327">
            <v>28940</v>
          </cell>
          <cell r="C327" t="str">
            <v>MARIELE RODRIGUES MARTINS</v>
          </cell>
          <cell r="D327" t="str">
            <v>OPERAÇÃO ARMAZÉM</v>
          </cell>
        </row>
        <row r="328">
          <cell r="A328" t="str">
            <v>31525MARISANE LAGO</v>
          </cell>
          <cell r="B328">
            <v>31525</v>
          </cell>
          <cell r="C328" t="str">
            <v>MARISANE LAGO</v>
          </cell>
          <cell r="D328" t="str">
            <v>OPERAÇÃO ARMAZÉM</v>
          </cell>
        </row>
        <row r="329">
          <cell r="A329" t="str">
            <v>28204MARLI CERQUEIRA AMORIM</v>
          </cell>
          <cell r="B329">
            <v>28204</v>
          </cell>
          <cell r="C329" t="str">
            <v>MARLI CERQUEIRA AMORIM</v>
          </cell>
          <cell r="D329" t="str">
            <v xml:space="preserve">OPERAÇÃO ARMAZÉM </v>
          </cell>
        </row>
        <row r="330">
          <cell r="A330" t="str">
            <v>29380MARLON HENRIQUE DE SOUZA BATISTA</v>
          </cell>
          <cell r="B330">
            <v>29380</v>
          </cell>
          <cell r="C330" t="str">
            <v>MARLON HENRIQUE DE SOUZA BATISTA</v>
          </cell>
          <cell r="D330" t="str">
            <v>OPERAÇÃO ARMAZÉM</v>
          </cell>
        </row>
        <row r="331">
          <cell r="A331" t="str">
            <v>17811MARTINHO NASCIMENTO PAZ</v>
          </cell>
          <cell r="B331">
            <v>17811</v>
          </cell>
          <cell r="C331" t="str">
            <v>MARTINHO NASCIMENTO PAZ</v>
          </cell>
          <cell r="D331" t="str">
            <v xml:space="preserve">OPERAÇÃO ARMAZÉM </v>
          </cell>
        </row>
        <row r="332">
          <cell r="A332" t="str">
            <v>31546MARY RAYANNY TAVARES DE CARVALHO</v>
          </cell>
          <cell r="B332">
            <v>31546</v>
          </cell>
          <cell r="C332" t="str">
            <v>MARY RAYANNY TAVARES DE CARVALHO</v>
          </cell>
          <cell r="D332" t="str">
            <v>OPERAÇÃO ARMAZÉM</v>
          </cell>
        </row>
        <row r="333">
          <cell r="A333" t="str">
            <v>30552MATHEUS BATISTA DA SILVA</v>
          </cell>
          <cell r="B333">
            <v>30552</v>
          </cell>
          <cell r="C333" t="str">
            <v>MATHEUS BATISTA DA SILVA</v>
          </cell>
          <cell r="D333" t="str">
            <v xml:space="preserve">OPERAÇÃO ARMAZÉM </v>
          </cell>
        </row>
        <row r="334">
          <cell r="A334" t="str">
            <v>28902CAIQUE DA SILVA FURTADO</v>
          </cell>
          <cell r="B334">
            <v>28902</v>
          </cell>
          <cell r="C334" t="str">
            <v>CAIQUE DA SILVA FURTADO</v>
          </cell>
          <cell r="D334" t="str">
            <v xml:space="preserve">OPERAÇÃO ARMAZÉM </v>
          </cell>
        </row>
        <row r="335">
          <cell r="A335" t="str">
            <v>28662MAURICIO MARIANO DA COSTA</v>
          </cell>
          <cell r="B335">
            <v>28662</v>
          </cell>
          <cell r="C335" t="str">
            <v>MAURICIO MARIANO DA COSTA</v>
          </cell>
          <cell r="D335" t="str">
            <v xml:space="preserve">OPERAÇÃO ARMAZÉM </v>
          </cell>
        </row>
        <row r="336">
          <cell r="A336" t="str">
            <v>23445COSME JOSE FERREIRA</v>
          </cell>
          <cell r="B336">
            <v>23445</v>
          </cell>
          <cell r="C336" t="str">
            <v>COSME JOSE FERREIRA</v>
          </cell>
          <cell r="D336" t="str">
            <v xml:space="preserve">OPERAÇÃO ARMAZÉM </v>
          </cell>
        </row>
        <row r="337">
          <cell r="A337" t="str">
            <v>28931MAXIMILIANO ABRAAO DOS SANTOS</v>
          </cell>
          <cell r="B337">
            <v>28931</v>
          </cell>
          <cell r="C337" t="str">
            <v>MAXIMILIANO ABRAAO DOS SANTOS</v>
          </cell>
          <cell r="D337" t="str">
            <v xml:space="preserve">OPERAÇÃO ARMAZÉM </v>
          </cell>
        </row>
        <row r="338">
          <cell r="A338" t="str">
            <v>18456MERYEVELEN DA SILVA FERNANDES</v>
          </cell>
          <cell r="B338">
            <v>18456</v>
          </cell>
          <cell r="C338" t="str">
            <v>MERYEVELEN DA SILVA FERNANDES</v>
          </cell>
          <cell r="D338" t="str">
            <v xml:space="preserve">OPERAÇÃO ARMAZÉM </v>
          </cell>
        </row>
        <row r="339">
          <cell r="A339" t="str">
            <v>21299MONICA CRISTINA OLIVEIRA</v>
          </cell>
          <cell r="B339">
            <v>21299</v>
          </cell>
          <cell r="C339" t="str">
            <v>MONICA CRISTINA OLIVEIRA</v>
          </cell>
          <cell r="D339" t="str">
            <v xml:space="preserve">OPERAÇÃO ARMAZÉM </v>
          </cell>
        </row>
        <row r="340">
          <cell r="A340" t="str">
            <v>28277MONICA MARIA DA SILVA SOUZA</v>
          </cell>
          <cell r="B340">
            <v>28277</v>
          </cell>
          <cell r="C340" t="str">
            <v>MONICA MARIA DA SILVA SOUZA</v>
          </cell>
          <cell r="D340" t="str">
            <v xml:space="preserve">OPERAÇÃO ARMAZÉM </v>
          </cell>
        </row>
        <row r="341">
          <cell r="A341" t="str">
            <v>27465MORISSON ADRIANO DA SILVA LIMA</v>
          </cell>
          <cell r="B341">
            <v>27465</v>
          </cell>
          <cell r="C341" t="str">
            <v>MORISSON ADRIANO DA SILVA LIMA</v>
          </cell>
          <cell r="D341" t="str">
            <v>OPERAÇÃO ARMAZÉM</v>
          </cell>
        </row>
        <row r="342">
          <cell r="A342" t="str">
            <v>31203MYRELLA RAISSA FAVERANI MICHELIN</v>
          </cell>
          <cell r="B342">
            <v>31203</v>
          </cell>
          <cell r="C342" t="str">
            <v>MYRELLA RAISSA FAVERANI MICHELIN</v>
          </cell>
          <cell r="D342" t="str">
            <v>QUALIDADE</v>
          </cell>
        </row>
        <row r="343">
          <cell r="A343" t="str">
            <v>28849DEBORAH DE SOUZA SCIOLA</v>
          </cell>
          <cell r="B343">
            <v>28849</v>
          </cell>
          <cell r="C343" t="str">
            <v>DEBORAH DE SOUZA SCIOLA</v>
          </cell>
          <cell r="D343" t="str">
            <v xml:space="preserve">OPERAÇÃO ARMAZÉM </v>
          </cell>
        </row>
        <row r="344">
          <cell r="A344" t="str">
            <v>30567NATALIA WITZKE TESTONI</v>
          </cell>
          <cell r="B344">
            <v>30567</v>
          </cell>
          <cell r="C344" t="str">
            <v>NATALIA WITZKE TESTONI</v>
          </cell>
          <cell r="D344" t="str">
            <v>QUALIDADE</v>
          </cell>
        </row>
        <row r="345">
          <cell r="A345" t="str">
            <v>25960NILSON GOMES DA SILVA JUNIOR</v>
          </cell>
          <cell r="B345">
            <v>25960</v>
          </cell>
          <cell r="C345" t="str">
            <v>NILSON GOMES DA SILVA JUNIOR</v>
          </cell>
          <cell r="D345" t="str">
            <v xml:space="preserve">OPERAÇÃO ARMAZÉM </v>
          </cell>
        </row>
        <row r="346">
          <cell r="A346" t="str">
            <v>28707NUBIA DE SOUSA FORTALEZA RODRIGUES</v>
          </cell>
          <cell r="B346">
            <v>28707</v>
          </cell>
          <cell r="C346" t="str">
            <v>NUBIA DE SOUSA FORTALEZA RODRIGUES</v>
          </cell>
          <cell r="D346" t="str">
            <v xml:space="preserve">OPERAÇÃO ARMAZÉM </v>
          </cell>
        </row>
        <row r="347">
          <cell r="A347" t="str">
            <v>28650OLIMPIA DO SOCORRO FERNANDES DINIZ</v>
          </cell>
          <cell r="B347">
            <v>28650</v>
          </cell>
          <cell r="C347" t="str">
            <v>OLIMPIA DO SOCORRO FERNANDES DINIZ</v>
          </cell>
          <cell r="D347" t="str">
            <v>OPERAÇÃO ARMAZÉM</v>
          </cell>
        </row>
        <row r="348">
          <cell r="A348" t="str">
            <v>31585ORLANDO RUBBO VILLA VERDE</v>
          </cell>
          <cell r="B348">
            <v>31585</v>
          </cell>
          <cell r="C348" t="str">
            <v>ORLANDO RUBBO VILLA VERDE</v>
          </cell>
          <cell r="D348" t="str">
            <v>SERVIÇOS</v>
          </cell>
        </row>
        <row r="349">
          <cell r="A349" t="str">
            <v>29169OSEAS GABRIEL FRANCA</v>
          </cell>
          <cell r="B349">
            <v>29169</v>
          </cell>
          <cell r="C349" t="str">
            <v>OSEAS GABRIEL FRANCA</v>
          </cell>
          <cell r="D349" t="str">
            <v xml:space="preserve">OPERAÇÃO ARMAZÉM </v>
          </cell>
        </row>
        <row r="350">
          <cell r="A350" t="str">
            <v>26341OSMANDO LUIS PAULINO</v>
          </cell>
          <cell r="B350">
            <v>26341</v>
          </cell>
          <cell r="C350" t="str">
            <v>OSMANDO LUIS PAULINO</v>
          </cell>
          <cell r="D350" t="str">
            <v>OPERAÇÃO ARMAZÉM</v>
          </cell>
        </row>
        <row r="351">
          <cell r="A351" t="str">
            <v>29948OTAVIO AUGUSTO SILVA DOS SANTOS</v>
          </cell>
          <cell r="B351">
            <v>29948</v>
          </cell>
          <cell r="C351" t="str">
            <v>OTAVIO AUGUSTO SILVA DOS SANTOS</v>
          </cell>
          <cell r="D351" t="str">
            <v xml:space="preserve">OPERAÇÃO ARMAZÉM </v>
          </cell>
        </row>
        <row r="352">
          <cell r="A352" t="str">
            <v>26451PALOMA FRANCISCA XAVIER</v>
          </cell>
          <cell r="B352">
            <v>26451</v>
          </cell>
          <cell r="C352" t="str">
            <v>PALOMA FRANCISCA XAVIER</v>
          </cell>
          <cell r="D352" t="str">
            <v xml:space="preserve">OPERAÇÃO ARMAZÉM </v>
          </cell>
        </row>
        <row r="353">
          <cell r="A353" t="str">
            <v>25118EDIVALDO SILVA LOPES</v>
          </cell>
          <cell r="B353">
            <v>25118</v>
          </cell>
          <cell r="C353" t="str">
            <v>EDIVALDO SILVA LOPES</v>
          </cell>
          <cell r="D353" t="str">
            <v xml:space="preserve">OPERAÇÃO ARMAZÉM </v>
          </cell>
        </row>
        <row r="354">
          <cell r="A354" t="str">
            <v>31575PAMELA NASCIMENTO ARANHA</v>
          </cell>
          <cell r="B354">
            <v>31575</v>
          </cell>
          <cell r="C354" t="str">
            <v>PAMELA NASCIMENTO ARANHA</v>
          </cell>
          <cell r="D354" t="str">
            <v>GOVERNANÇA</v>
          </cell>
        </row>
        <row r="355">
          <cell r="A355" t="str">
            <v>31066PATRICIA FELIPE LIMA</v>
          </cell>
          <cell r="B355">
            <v>31066</v>
          </cell>
          <cell r="C355" t="str">
            <v>PATRICIA FELIPE LIMA</v>
          </cell>
          <cell r="D355" t="str">
            <v xml:space="preserve">OPERAÇÃO ARMAZÉM </v>
          </cell>
        </row>
        <row r="356">
          <cell r="A356" t="str">
            <v>31143PATRICIA MARIA FELIX SEVERINO</v>
          </cell>
          <cell r="B356">
            <v>31143</v>
          </cell>
          <cell r="C356" t="str">
            <v>PATRICIA MARIA FELIX SEVERINO</v>
          </cell>
          <cell r="D356" t="str">
            <v>OPERAÇÃO ARMAZÉM</v>
          </cell>
        </row>
        <row r="357">
          <cell r="A357" t="str">
            <v>18422PATRICIA PEREIRA DE MIRANDA</v>
          </cell>
          <cell r="B357">
            <v>18422</v>
          </cell>
          <cell r="C357" t="str">
            <v>PATRICIA PEREIRA DE MIRANDA</v>
          </cell>
          <cell r="D357" t="str">
            <v>QUALIDADE</v>
          </cell>
        </row>
        <row r="358">
          <cell r="A358" t="str">
            <v>18464ERIVANIA MARIA DA SILVA</v>
          </cell>
          <cell r="B358">
            <v>18464</v>
          </cell>
          <cell r="C358" t="str">
            <v>ERIVANIA MARIA DA SILVA</v>
          </cell>
          <cell r="D358" t="str">
            <v xml:space="preserve">OPERAÇÃO ARMAZÉM </v>
          </cell>
        </row>
        <row r="359">
          <cell r="A359" t="str">
            <v>28492PAULO ALEXANDRE DIAS FARIAS</v>
          </cell>
          <cell r="B359">
            <v>28492</v>
          </cell>
          <cell r="C359" t="str">
            <v>PAULO ALEXANDRE DIAS FARIAS</v>
          </cell>
          <cell r="D359" t="str">
            <v xml:space="preserve">OPERAÇÃO ARMAZÉM </v>
          </cell>
        </row>
        <row r="360">
          <cell r="A360" t="str">
            <v>25223FABIO ALVES LIMA</v>
          </cell>
          <cell r="B360">
            <v>25223</v>
          </cell>
          <cell r="C360" t="str">
            <v>FABIO ALVES LIMA</v>
          </cell>
          <cell r="D360" t="str">
            <v xml:space="preserve">OPERAÇÃO ARMAZÉM </v>
          </cell>
        </row>
        <row r="361">
          <cell r="A361" t="str">
            <v>21131PAULO DE SOUZA E SILVA</v>
          </cell>
          <cell r="B361">
            <v>21131</v>
          </cell>
          <cell r="C361" t="str">
            <v>PAULO DE SOUZA E SILVA</v>
          </cell>
          <cell r="D361" t="str">
            <v xml:space="preserve">OPERAÇÃO ARMAZÉM </v>
          </cell>
        </row>
        <row r="362">
          <cell r="A362" t="str">
            <v>18235PAULO JOSE PEREIRA DE OLIVEIRA</v>
          </cell>
          <cell r="B362">
            <v>18235</v>
          </cell>
          <cell r="C362" t="str">
            <v>PAULO JOSE PEREIRA DE OLIVEIRA</v>
          </cell>
          <cell r="D362" t="str">
            <v>COMERCIAL/ENG. LOGÍSTICA</v>
          </cell>
        </row>
        <row r="363">
          <cell r="A363" t="str">
            <v>30810PAULO ROBERTO SIQUEIRA BARBOSA</v>
          </cell>
          <cell r="B363">
            <v>30810</v>
          </cell>
          <cell r="C363" t="str">
            <v>PAULO ROBERTO SIQUEIRA BARBOSA</v>
          </cell>
          <cell r="D363" t="str">
            <v xml:space="preserve">OPERAÇÃO ARMAZÉM </v>
          </cell>
        </row>
        <row r="364">
          <cell r="A364" t="str">
            <v>18052PEDRO GOMES DA SILVA JUNIOR</v>
          </cell>
          <cell r="B364">
            <v>18052</v>
          </cell>
          <cell r="C364" t="str">
            <v>PEDRO GOMES DA SILVA JUNIOR</v>
          </cell>
          <cell r="D364" t="str">
            <v>QUALIDADE</v>
          </cell>
        </row>
        <row r="365">
          <cell r="A365" t="str">
            <v>31545PETERSON NOVAKOWSKI ALBUQUERQUE</v>
          </cell>
          <cell r="B365">
            <v>31545</v>
          </cell>
          <cell r="C365" t="str">
            <v>PETERSON NOVAKOWSKI ALBUQUERQUE</v>
          </cell>
          <cell r="D365" t="str">
            <v>OPERAÇÃO ARMAZÉM</v>
          </cell>
        </row>
        <row r="366">
          <cell r="A366" t="str">
            <v>21591FABIO DE OLIVEIRA RODRIGUES</v>
          </cell>
          <cell r="B366">
            <v>21591</v>
          </cell>
          <cell r="C366" t="str">
            <v>FABIO DE OLIVEIRA RODRIGUES</v>
          </cell>
          <cell r="D366" t="str">
            <v xml:space="preserve">OPERAÇÃO ARMAZÉM </v>
          </cell>
        </row>
        <row r="367">
          <cell r="A367" t="str">
            <v>28321PIERRE SIMAO DOS SANTOS</v>
          </cell>
          <cell r="B367">
            <v>28321</v>
          </cell>
          <cell r="C367" t="str">
            <v>PIERRE SIMAO DOS SANTOS</v>
          </cell>
          <cell r="D367" t="str">
            <v xml:space="preserve">OPERAÇÃO ARMAZÉM </v>
          </cell>
        </row>
        <row r="368">
          <cell r="A368" t="str">
            <v>18082FLAVIO RODRIGUES PRADO DO NASCIMENTO</v>
          </cell>
          <cell r="B368">
            <v>18082</v>
          </cell>
          <cell r="C368" t="str">
            <v>FLAVIO RODRIGUES PRADO DO NASCIMENTO</v>
          </cell>
          <cell r="D368" t="str">
            <v xml:space="preserve">OPERAÇÃO ARMAZÉM </v>
          </cell>
        </row>
        <row r="369">
          <cell r="A369" t="str">
            <v>22553PRISCILA DE RAMOS</v>
          </cell>
          <cell r="B369">
            <v>22553</v>
          </cell>
          <cell r="C369" t="str">
            <v>PRISCILA DE RAMOS</v>
          </cell>
          <cell r="D369" t="str">
            <v>OPERAÇÃO ARMAZÉM</v>
          </cell>
        </row>
        <row r="370">
          <cell r="A370" t="str">
            <v>28031PRISCILA MACIEL DOS SANTOS</v>
          </cell>
          <cell r="B370">
            <v>28031</v>
          </cell>
          <cell r="C370" t="str">
            <v>PRISCILA MACIEL DOS SANTOS</v>
          </cell>
          <cell r="D370" t="str">
            <v xml:space="preserve">OPERAÇÃO ARMAZÉM </v>
          </cell>
        </row>
        <row r="371">
          <cell r="A371" t="str">
            <v>31553RAFAEL AUGUSTO CARDOSO</v>
          </cell>
          <cell r="B371">
            <v>31553</v>
          </cell>
          <cell r="C371" t="str">
            <v>RAFAEL AUGUSTO CARDOSO</v>
          </cell>
          <cell r="D371" t="str">
            <v>OPERAÇÃO ARMAZÉM</v>
          </cell>
        </row>
        <row r="372">
          <cell r="A372" t="str">
            <v>22903RAFAEL DE MELO IGNACIO</v>
          </cell>
          <cell r="B372">
            <v>22903</v>
          </cell>
          <cell r="C372" t="str">
            <v>RAFAEL DE MELO IGNACIO</v>
          </cell>
          <cell r="D372" t="str">
            <v>QUALIDADE</v>
          </cell>
        </row>
        <row r="373">
          <cell r="A373" t="str">
            <v>26670RAFAEL GOMES DA COSTA</v>
          </cell>
          <cell r="B373">
            <v>26670</v>
          </cell>
          <cell r="C373" t="str">
            <v>RAFAEL GOMES DA COSTA</v>
          </cell>
          <cell r="D373" t="str">
            <v xml:space="preserve">OPERAÇÃO ARMAZÉM </v>
          </cell>
        </row>
        <row r="374">
          <cell r="A374" t="str">
            <v>30953RAFAEL KARPEN SALLES</v>
          </cell>
          <cell r="B374">
            <v>30953</v>
          </cell>
          <cell r="C374" t="str">
            <v>RAFAEL KARPEN SALLES</v>
          </cell>
          <cell r="D374" t="str">
            <v>OPERAÇÃO ARMAZÉM</v>
          </cell>
        </row>
        <row r="375">
          <cell r="A375" t="str">
            <v>31588RAFAEL LUCIANO DE SOUZA</v>
          </cell>
          <cell r="B375">
            <v>31588</v>
          </cell>
          <cell r="C375" t="str">
            <v>RAFAEL LUCIANO DE SOUZA</v>
          </cell>
          <cell r="D375" t="str">
            <v>TECNOLOGIA DA INFORMAÇÃO</v>
          </cell>
        </row>
        <row r="376">
          <cell r="A376" t="str">
            <v>26808RAFAEL LUIZ DA FONSECA OLIVEIRA</v>
          </cell>
          <cell r="B376">
            <v>26808</v>
          </cell>
          <cell r="C376" t="str">
            <v>RAFAEL LUIZ DA FONSECA OLIVEIRA</v>
          </cell>
          <cell r="D376" t="str">
            <v>QUALIDADE</v>
          </cell>
        </row>
        <row r="377">
          <cell r="A377" t="str">
            <v>23277RAFAEL MENDES DOS SANTOS</v>
          </cell>
          <cell r="B377">
            <v>23277</v>
          </cell>
          <cell r="C377" t="str">
            <v>RAFAEL MENDES DOS SANTOS</v>
          </cell>
          <cell r="D377" t="str">
            <v>OPERAÇÃO ARMAZÉM</v>
          </cell>
        </row>
        <row r="378">
          <cell r="A378" t="str">
            <v>18305RAFAEL PIRES DO NASCIMENTO</v>
          </cell>
          <cell r="B378">
            <v>18305</v>
          </cell>
          <cell r="C378" t="str">
            <v>RAFAEL PIRES DO NASCIMENTO</v>
          </cell>
          <cell r="D378" t="str">
            <v xml:space="preserve">OPERAÇÃO ARMAZÉM </v>
          </cell>
        </row>
        <row r="379">
          <cell r="A379" t="str">
            <v>26359GESSE RODRIGUES DOS SANTOS</v>
          </cell>
          <cell r="B379">
            <v>26359</v>
          </cell>
          <cell r="C379" t="str">
            <v>GESSE RODRIGUES DOS SANTOS</v>
          </cell>
          <cell r="D379" t="str">
            <v xml:space="preserve">OPERAÇÃO ARMAZÉM </v>
          </cell>
        </row>
        <row r="380">
          <cell r="A380" t="str">
            <v>18306RAFAEL VIEIRA DA CRUZ</v>
          </cell>
          <cell r="B380">
            <v>18306</v>
          </cell>
          <cell r="C380" t="str">
            <v>RAFAEL VIEIRA DA CRUZ</v>
          </cell>
          <cell r="D380" t="str">
            <v xml:space="preserve">OPERAÇÃO ARMAZÉM </v>
          </cell>
        </row>
        <row r="381">
          <cell r="A381" t="str">
            <v>18759RAQUEL DOS SANTOS CANDIDO</v>
          </cell>
          <cell r="B381">
            <v>18759</v>
          </cell>
          <cell r="C381" t="str">
            <v>RAQUEL DOS SANTOS CANDIDO</v>
          </cell>
          <cell r="D381" t="str">
            <v>OPERAÇÃO ARMAZÉM</v>
          </cell>
        </row>
        <row r="382">
          <cell r="A382" t="str">
            <v>31037REBECA MOREIRA CORDEIRO</v>
          </cell>
          <cell r="B382">
            <v>31037</v>
          </cell>
          <cell r="C382" t="str">
            <v>REBECA MOREIRA CORDEIRO</v>
          </cell>
          <cell r="D382" t="str">
            <v>OPERAÇÃO ARMAZÉM</v>
          </cell>
        </row>
        <row r="383">
          <cell r="A383" t="str">
            <v>18150REGINALDO APARECIDO DOS SANTOS</v>
          </cell>
          <cell r="B383">
            <v>18150</v>
          </cell>
          <cell r="C383" t="str">
            <v>REGINALDO APARECIDO DOS SANTOS</v>
          </cell>
          <cell r="D383" t="str">
            <v xml:space="preserve">OPERAÇÃO ARMAZÉM </v>
          </cell>
        </row>
        <row r="384">
          <cell r="A384" t="str">
            <v>31544REGINALDO BELEM FERREIRA</v>
          </cell>
          <cell r="B384">
            <v>31544</v>
          </cell>
          <cell r="C384" t="str">
            <v>REGINALDO BELEM FERREIRA</v>
          </cell>
          <cell r="D384" t="str">
            <v>OPERAÇÃO ARMAZÉM</v>
          </cell>
        </row>
        <row r="385">
          <cell r="A385" t="str">
            <v>27818RENATA FERRAZ BERNARDI</v>
          </cell>
          <cell r="B385">
            <v>27818</v>
          </cell>
          <cell r="C385" t="str">
            <v>RENATA FERRAZ BERNARDI</v>
          </cell>
          <cell r="D385" t="str">
            <v>QUALIDADE</v>
          </cell>
        </row>
        <row r="386">
          <cell r="A386" t="str">
            <v>26193ISAMARA DE SOUZA MIRANDA</v>
          </cell>
          <cell r="B386">
            <v>26193</v>
          </cell>
          <cell r="C386" t="str">
            <v>ISAMARA DE SOUZA MIRANDA</v>
          </cell>
          <cell r="D386" t="str">
            <v xml:space="preserve">OPERAÇÃO ARMAZÉM </v>
          </cell>
        </row>
        <row r="387">
          <cell r="A387" t="str">
            <v>31602RENATA MAURANO OETTERER ROCHA</v>
          </cell>
          <cell r="B387">
            <v>31602</v>
          </cell>
          <cell r="C387" t="str">
            <v>RENATA MAURANO OETTERER ROCHA</v>
          </cell>
          <cell r="D387" t="str">
            <v>QUALIDADE</v>
          </cell>
        </row>
        <row r="388">
          <cell r="A388" t="str">
            <v>28319RENATO DA SILVA GLORIA</v>
          </cell>
          <cell r="B388">
            <v>28319</v>
          </cell>
          <cell r="C388" t="str">
            <v>RENATO DA SILVA GLORIA</v>
          </cell>
          <cell r="D388" t="str">
            <v xml:space="preserve">OPERAÇÃO ARMAZÉM </v>
          </cell>
        </row>
        <row r="389">
          <cell r="A389" t="str">
            <v>28587RENATO DA SILVA SOUZA</v>
          </cell>
          <cell r="B389">
            <v>28587</v>
          </cell>
          <cell r="C389" t="str">
            <v>RENATO DA SILVA SOUZA</v>
          </cell>
          <cell r="D389" t="str">
            <v>OPERAÇÃO ARMAZÉM</v>
          </cell>
        </row>
        <row r="390">
          <cell r="A390" t="str">
            <v>29858RICHARDSON LIMA NASCIMENTO</v>
          </cell>
          <cell r="B390">
            <v>29858</v>
          </cell>
          <cell r="C390" t="str">
            <v>RICHARDSON LIMA NASCIMENTO</v>
          </cell>
          <cell r="D390" t="str">
            <v xml:space="preserve">OPERAÇÃO ARMAZÉM </v>
          </cell>
        </row>
        <row r="391">
          <cell r="A391" t="str">
            <v>29301ROBERTO FERRAZ DE OLIVEIRA</v>
          </cell>
          <cell r="B391">
            <v>29301</v>
          </cell>
          <cell r="C391" t="str">
            <v>ROBERTO FERRAZ DE OLIVEIRA</v>
          </cell>
          <cell r="D391" t="str">
            <v xml:space="preserve">OPERAÇÃO ARMAZÉM </v>
          </cell>
        </row>
        <row r="392">
          <cell r="A392" t="str">
            <v>26006ROBSON DE FARIA SILVA</v>
          </cell>
          <cell r="B392">
            <v>26006</v>
          </cell>
          <cell r="C392" t="str">
            <v>ROBSON DE FARIA SILVA</v>
          </cell>
          <cell r="D392" t="str">
            <v xml:space="preserve">OPERAÇÃO ARMAZÉM </v>
          </cell>
        </row>
        <row r="393">
          <cell r="A393" t="str">
            <v>27187ROBSON PEREIRA BORGES</v>
          </cell>
          <cell r="B393">
            <v>27187</v>
          </cell>
          <cell r="C393" t="str">
            <v>ROBSON PEREIRA BORGES</v>
          </cell>
          <cell r="D393" t="str">
            <v xml:space="preserve">OPERAÇÃO ARMAZÉM </v>
          </cell>
        </row>
        <row r="394">
          <cell r="A394" t="str">
            <v>28739RODRIGO LOURENCO DA COSTA</v>
          </cell>
          <cell r="B394">
            <v>28739</v>
          </cell>
          <cell r="C394" t="str">
            <v>RODRIGO LOURENCO DA COSTA</v>
          </cell>
          <cell r="D394" t="str">
            <v xml:space="preserve">OPERAÇÃO ARMAZÉM </v>
          </cell>
        </row>
        <row r="395">
          <cell r="A395" t="str">
            <v>28656RODRIGO ROCHA</v>
          </cell>
          <cell r="B395">
            <v>28656</v>
          </cell>
          <cell r="C395" t="str">
            <v>RODRIGO ROCHA</v>
          </cell>
          <cell r="D395" t="str">
            <v>OPERAÇÃO ARMAZÉM</v>
          </cell>
        </row>
        <row r="396">
          <cell r="A396" t="str">
            <v>24495RODRIGO SOUZA DOS SANTOS</v>
          </cell>
          <cell r="B396">
            <v>24495</v>
          </cell>
          <cell r="C396" t="str">
            <v>RODRIGO SOUZA DOS SANTOS</v>
          </cell>
          <cell r="D396" t="str">
            <v xml:space="preserve">OPERAÇÃO ARMAZÉM </v>
          </cell>
        </row>
        <row r="397">
          <cell r="A397" t="str">
            <v>19104ROGERIO BENEDITO COSTA</v>
          </cell>
          <cell r="B397">
            <v>19104</v>
          </cell>
          <cell r="C397" t="str">
            <v>ROGERIO BENEDITO COSTA</v>
          </cell>
          <cell r="D397" t="str">
            <v>GOVERNANÇA</v>
          </cell>
        </row>
        <row r="398">
          <cell r="A398" t="str">
            <v>29106ROGERIO CORREA DA SILVA</v>
          </cell>
          <cell r="B398">
            <v>29106</v>
          </cell>
          <cell r="C398" t="str">
            <v>ROGERIO CORREA DA SILVA</v>
          </cell>
          <cell r="D398" t="str">
            <v>OPERAÇÃO ARMAZÉM</v>
          </cell>
        </row>
        <row r="399">
          <cell r="A399" t="str">
            <v>18220ROGERIO DA SILVA ANTONIO</v>
          </cell>
          <cell r="B399">
            <v>18220</v>
          </cell>
          <cell r="C399" t="str">
            <v>ROGERIO DA SILVA ANTONIO</v>
          </cell>
          <cell r="D399" t="str">
            <v xml:space="preserve">OPERAÇÃO ARMAZÉM </v>
          </cell>
        </row>
        <row r="400">
          <cell r="A400" t="str">
            <v>24417ROGERIO PEREIRA DA SILVA FERREIRA BRANDAO</v>
          </cell>
          <cell r="B400">
            <v>24417</v>
          </cell>
          <cell r="C400" t="str">
            <v>ROGERIO PEREIRA DA SILVA FERREIRA BRANDAO</v>
          </cell>
          <cell r="D400" t="str">
            <v xml:space="preserve">OPERAÇÃO ARMAZÉM </v>
          </cell>
        </row>
        <row r="401">
          <cell r="A401" t="str">
            <v>28779ROGERIO QUIRINO DOS SANTOS</v>
          </cell>
          <cell r="B401">
            <v>28779</v>
          </cell>
          <cell r="C401" t="str">
            <v>ROGERIO QUIRINO DOS SANTOS</v>
          </cell>
          <cell r="D401" t="str">
            <v>OPERAÇÃO ARMAZÉM</v>
          </cell>
        </row>
        <row r="402">
          <cell r="A402" t="str">
            <v>27810JANICE ROSA DA ANUNCIACAO COUTINHO</v>
          </cell>
          <cell r="B402">
            <v>27810</v>
          </cell>
          <cell r="C402" t="str">
            <v>JANICE ROSA DA ANUNCIACAO COUTINHO</v>
          </cell>
          <cell r="D402" t="str">
            <v xml:space="preserve">OPERAÇÃO ARMAZÉM </v>
          </cell>
        </row>
        <row r="403">
          <cell r="A403" t="str">
            <v>24605ROSANA CAVALCANTE MACHADO</v>
          </cell>
          <cell r="B403">
            <v>24605</v>
          </cell>
          <cell r="C403" t="str">
            <v>ROSANA CAVALCANTE MACHADO</v>
          </cell>
          <cell r="D403" t="str">
            <v>OPERAÇÃO ARMAZÉM</v>
          </cell>
        </row>
        <row r="404">
          <cell r="A404" t="str">
            <v>27585ROSANA DOS SANTOS FERREIRA</v>
          </cell>
          <cell r="B404">
            <v>27585</v>
          </cell>
          <cell r="C404" t="str">
            <v>ROSANA DOS SANTOS FERREIRA</v>
          </cell>
          <cell r="D404" t="str">
            <v xml:space="preserve">OPERAÇÃO ARMAZÉM </v>
          </cell>
        </row>
        <row r="405">
          <cell r="A405" t="str">
            <v>25662ROSANGELA CARLA SANTOS DA SILVA</v>
          </cell>
          <cell r="B405">
            <v>25662</v>
          </cell>
          <cell r="C405" t="str">
            <v>ROSANGELA CARLA SANTOS DA SILVA</v>
          </cell>
          <cell r="D405" t="str">
            <v xml:space="preserve">OPERAÇÃO ARMAZÉM </v>
          </cell>
        </row>
        <row r="406">
          <cell r="A406" t="str">
            <v>26089ROSANGELA CRISTINA VATRELLA DOS SANTOS</v>
          </cell>
          <cell r="B406">
            <v>26089</v>
          </cell>
          <cell r="C406" t="str">
            <v>ROSANGELA CRISTINA VATRELLA DOS SANTOS</v>
          </cell>
          <cell r="D406" t="str">
            <v xml:space="preserve">OPERAÇÃO ARMAZÉM </v>
          </cell>
        </row>
        <row r="407">
          <cell r="A407" t="str">
            <v>26572ROSECLER LEAL DOS SANTOS</v>
          </cell>
          <cell r="B407">
            <v>26572</v>
          </cell>
          <cell r="C407" t="str">
            <v>ROSECLER LEAL DOS SANTOS</v>
          </cell>
          <cell r="D407" t="str">
            <v>OPERAÇÃO ARMAZÉM</v>
          </cell>
        </row>
        <row r="408">
          <cell r="A408" t="str">
            <v>26744JAQUELINE DO CARMO SANTOS</v>
          </cell>
          <cell r="B408">
            <v>26744</v>
          </cell>
          <cell r="C408" t="str">
            <v>JAQUELINE DO CARMO SANTOS</v>
          </cell>
          <cell r="D408" t="str">
            <v xml:space="preserve">OPERAÇÃO ARMAZÉM </v>
          </cell>
        </row>
        <row r="409">
          <cell r="A409" t="str">
            <v>28316ROSENI DE OLIVEIRA SILVA</v>
          </cell>
          <cell r="B409">
            <v>28316</v>
          </cell>
          <cell r="C409" t="str">
            <v>ROSENI DE OLIVEIRA SILVA</v>
          </cell>
          <cell r="D409" t="str">
            <v>QUALIDADE</v>
          </cell>
        </row>
        <row r="410">
          <cell r="A410" t="str">
            <v>28943ROSIANE DE PINHO TRABUCO</v>
          </cell>
          <cell r="B410">
            <v>28943</v>
          </cell>
          <cell r="C410" t="str">
            <v>ROSIANE DE PINHO TRABUCO</v>
          </cell>
          <cell r="D410" t="str">
            <v>OPERAÇÃO ARMAZÉM</v>
          </cell>
        </row>
        <row r="411">
          <cell r="A411" t="str">
            <v>31463ROSIMERE DA SILVA SILVA</v>
          </cell>
          <cell r="B411">
            <v>31463</v>
          </cell>
          <cell r="C411" t="str">
            <v>ROSIMERE DA SILVA SILVA</v>
          </cell>
          <cell r="D411" t="str">
            <v>OPERAÇÃO ARMAZÉM</v>
          </cell>
        </row>
        <row r="412">
          <cell r="A412" t="str">
            <v>26659ROZIANE SILVA ABREU</v>
          </cell>
          <cell r="B412">
            <v>26659</v>
          </cell>
          <cell r="C412" t="str">
            <v>ROZIANE SILVA ABREU</v>
          </cell>
          <cell r="D412" t="str">
            <v xml:space="preserve">OPERAÇÃO ARMAZÉM </v>
          </cell>
        </row>
        <row r="413">
          <cell r="A413" t="str">
            <v>24154SABRINA ARAUJO DOS REIS</v>
          </cell>
          <cell r="B413">
            <v>24154</v>
          </cell>
          <cell r="C413" t="str">
            <v>SABRINA ARAUJO DOS REIS</v>
          </cell>
          <cell r="D413" t="str">
            <v xml:space="preserve">OPERAÇÃO ARMAZÉM </v>
          </cell>
        </row>
        <row r="414">
          <cell r="A414" t="str">
            <v>26570SAMUEL EXPEDITO TEIXEIRA DE SENA</v>
          </cell>
          <cell r="B414">
            <v>26570</v>
          </cell>
          <cell r="C414" t="str">
            <v>SAMUEL EXPEDITO TEIXEIRA DE SENA</v>
          </cell>
          <cell r="D414" t="str">
            <v>OPERAÇÃO ARMAZÉM</v>
          </cell>
        </row>
        <row r="415">
          <cell r="A415" t="str">
            <v>23612SANDRA FERREIRA REIS</v>
          </cell>
          <cell r="B415">
            <v>23612</v>
          </cell>
          <cell r="C415" t="str">
            <v>SANDRA FERREIRA REIS</v>
          </cell>
          <cell r="D415" t="str">
            <v xml:space="preserve">OPERAÇÃO ARMAZÉM </v>
          </cell>
        </row>
        <row r="416">
          <cell r="A416" t="str">
            <v>18571JOELMA MELO DE MOURA</v>
          </cell>
          <cell r="B416">
            <v>18571</v>
          </cell>
          <cell r="C416" t="str">
            <v>JOELMA MELO DE MOURA</v>
          </cell>
          <cell r="D416" t="str">
            <v xml:space="preserve">OPERAÇÃO ARMAZÉM </v>
          </cell>
        </row>
        <row r="417">
          <cell r="A417" t="str">
            <v>28314SEBASTIAO PEREIRA DE LIMA NETO</v>
          </cell>
          <cell r="B417">
            <v>28314</v>
          </cell>
          <cell r="C417" t="str">
            <v>SEBASTIAO PEREIRA DE LIMA NETO</v>
          </cell>
          <cell r="D417" t="str">
            <v xml:space="preserve">OPERAÇÃO ARMAZÉM </v>
          </cell>
        </row>
        <row r="418">
          <cell r="A418" t="str">
            <v>18367SELMA CRISTINA DE ANDRADE</v>
          </cell>
          <cell r="B418">
            <v>18367</v>
          </cell>
          <cell r="C418" t="str">
            <v>SELMA CRISTINA DE ANDRADE</v>
          </cell>
          <cell r="D418" t="str">
            <v xml:space="preserve">OPERAÇÃO ARMAZÉM </v>
          </cell>
        </row>
        <row r="419">
          <cell r="A419" t="str">
            <v>21908JONATAS DA SILVA</v>
          </cell>
          <cell r="B419">
            <v>21908</v>
          </cell>
          <cell r="C419" t="str">
            <v>JONATAS DA SILVA</v>
          </cell>
          <cell r="D419" t="str">
            <v xml:space="preserve">OPERAÇÃO ARMAZÉM </v>
          </cell>
        </row>
        <row r="420">
          <cell r="A420" t="str">
            <v>31576SENHORINHA FERREIRA DE ALKMIN</v>
          </cell>
          <cell r="B420">
            <v>31576</v>
          </cell>
          <cell r="C420" t="str">
            <v>SENHORINHA FERREIRA DE ALKMIN</v>
          </cell>
          <cell r="D420" t="str">
            <v>GOVERNANÇA</v>
          </cell>
        </row>
        <row r="421">
          <cell r="A421" t="str">
            <v>24365SERGIO DOS SANTOS SANTOS</v>
          </cell>
          <cell r="B421">
            <v>24365</v>
          </cell>
          <cell r="C421" t="str">
            <v>SERGIO DOS SANTOS SANTOS</v>
          </cell>
          <cell r="D421" t="str">
            <v xml:space="preserve">OPERAÇÃO ARMAZÉM </v>
          </cell>
        </row>
        <row r="422">
          <cell r="A422" t="str">
            <v>17639LEANDRO SOUSA ALMEIDA FLORENTINO</v>
          </cell>
          <cell r="B422">
            <v>17639</v>
          </cell>
          <cell r="C422" t="str">
            <v>LEANDRO SOUSA ALMEIDA FLORENTINO</v>
          </cell>
          <cell r="D422" t="str">
            <v xml:space="preserve">OPERAÇÃO ARMAZÉM </v>
          </cell>
        </row>
        <row r="423">
          <cell r="A423" t="str">
            <v>31001SIBELI FRANCO MENDES DA SILVA</v>
          </cell>
          <cell r="B423">
            <v>31001</v>
          </cell>
          <cell r="C423" t="str">
            <v>SIBELI FRANCO MENDES DA SILVA</v>
          </cell>
          <cell r="D423" t="str">
            <v xml:space="preserve">OPERAÇÃO ARMAZÉM </v>
          </cell>
        </row>
        <row r="424">
          <cell r="A424" t="str">
            <v>29322SIDMAR RODRIGUES DE SALES</v>
          </cell>
          <cell r="B424">
            <v>29322</v>
          </cell>
          <cell r="C424" t="str">
            <v>SIDMAR RODRIGUES DE SALES</v>
          </cell>
          <cell r="D424" t="str">
            <v xml:space="preserve">OPERAÇÃO ARMAZÉM </v>
          </cell>
        </row>
        <row r="425">
          <cell r="A425" t="str">
            <v>26486NAJARA DE MIRANDA MENDONCA</v>
          </cell>
          <cell r="B425">
            <v>26486</v>
          </cell>
          <cell r="C425" t="str">
            <v>NAJARA DE MIRANDA MENDONCA</v>
          </cell>
          <cell r="D425" t="str">
            <v xml:space="preserve">OPERAÇÃO ARMAZÉM </v>
          </cell>
        </row>
        <row r="426">
          <cell r="A426" t="str">
            <v>21917PAMELA CRISTINA AGUIAR</v>
          </cell>
          <cell r="B426">
            <v>21917</v>
          </cell>
          <cell r="C426" t="str">
            <v>PAMELA CRISTINA AGUIAR</v>
          </cell>
          <cell r="D426" t="str">
            <v xml:space="preserve">OPERAÇÃO ARMAZÉM </v>
          </cell>
        </row>
        <row r="427">
          <cell r="A427" t="str">
            <v>28791SILMARA VIEIRA AYRES</v>
          </cell>
          <cell r="B427">
            <v>28791</v>
          </cell>
          <cell r="C427" t="str">
            <v>SILMARA VIEIRA AYRES</v>
          </cell>
          <cell r="D427" t="str">
            <v xml:space="preserve">OPERAÇÃO ARMAZÉM </v>
          </cell>
        </row>
        <row r="428">
          <cell r="A428" t="str">
            <v>18461PAULA DE SOUZA CAMILO</v>
          </cell>
          <cell r="B428">
            <v>18461</v>
          </cell>
          <cell r="C428" t="str">
            <v>PAULA DE SOUZA CAMILO</v>
          </cell>
          <cell r="D428" t="str">
            <v xml:space="preserve">OPERAÇÃO ARMAZÉM </v>
          </cell>
        </row>
        <row r="429">
          <cell r="A429" t="str">
            <v>25801SILVANA MARA FERREIRA DE MOURA</v>
          </cell>
          <cell r="B429">
            <v>25801</v>
          </cell>
          <cell r="C429" t="str">
            <v>SILVANA MARA FERREIRA DE MOURA</v>
          </cell>
          <cell r="D429" t="str">
            <v xml:space="preserve">OPERAÇÃO ARMAZÉM </v>
          </cell>
        </row>
        <row r="430">
          <cell r="A430" t="str">
            <v>31569SIRINO PASSOS DOS SANTOS</v>
          </cell>
          <cell r="B430">
            <v>31569</v>
          </cell>
          <cell r="C430" t="str">
            <v>SIRINO PASSOS DOS SANTOS</v>
          </cell>
          <cell r="D430" t="str">
            <v>SERVIÇOS</v>
          </cell>
        </row>
        <row r="431">
          <cell r="A431" t="str">
            <v>17679SIRLENE LOPES MELO</v>
          </cell>
          <cell r="B431">
            <v>17679</v>
          </cell>
          <cell r="C431" t="str">
            <v>SIRLENE LOPES MELO</v>
          </cell>
          <cell r="D431" t="str">
            <v xml:space="preserve">OPERAÇÃO ARMAZÉM </v>
          </cell>
        </row>
        <row r="432">
          <cell r="A432" t="str">
            <v>17623SONIA MARIA ROMEIRA SILVA</v>
          </cell>
          <cell r="B432">
            <v>17623</v>
          </cell>
          <cell r="C432" t="str">
            <v>SONIA MARIA ROMEIRA SILVA</v>
          </cell>
          <cell r="D432" t="str">
            <v xml:space="preserve">OPERAÇÃO ARMAZÉM </v>
          </cell>
        </row>
        <row r="433">
          <cell r="A433" t="str">
            <v>24976STEFANI CRISTINA FERREIRA</v>
          </cell>
          <cell r="B433">
            <v>24976</v>
          </cell>
          <cell r="C433" t="str">
            <v>STEFANI CRISTINA FERREIRA</v>
          </cell>
          <cell r="D433" t="str">
            <v>OPERAÇÃO ARMAZÉM</v>
          </cell>
        </row>
        <row r="434">
          <cell r="A434" t="str">
            <v>26782SUELE SOUZA DE PAULA</v>
          </cell>
          <cell r="B434">
            <v>26782</v>
          </cell>
          <cell r="C434" t="str">
            <v>SUELE SOUZA DE PAULA</v>
          </cell>
          <cell r="D434" t="str">
            <v>OPERAÇÃO ARMAZÉM</v>
          </cell>
        </row>
        <row r="435">
          <cell r="A435" t="str">
            <v>31286SUZI LEONEL DA SILVA BOTELHO</v>
          </cell>
          <cell r="B435">
            <v>31286</v>
          </cell>
          <cell r="C435" t="str">
            <v>SUZI LEONEL DA SILVA BOTELHO</v>
          </cell>
          <cell r="D435" t="str">
            <v xml:space="preserve">OPERAÇÃO ARMAZÉM </v>
          </cell>
        </row>
        <row r="436">
          <cell r="A436" t="str">
            <v>21950TAMARA AMANCIO DA SILVA</v>
          </cell>
          <cell r="B436">
            <v>21950</v>
          </cell>
          <cell r="C436" t="str">
            <v>TAMARA AMANCIO DA SILVA</v>
          </cell>
          <cell r="D436" t="str">
            <v xml:space="preserve">OPERAÇÃO ARMAZÉM </v>
          </cell>
        </row>
        <row r="437">
          <cell r="A437" t="str">
            <v>29105TAMARA DE MENDONCA</v>
          </cell>
          <cell r="B437">
            <v>29105</v>
          </cell>
          <cell r="C437" t="str">
            <v>TAMARA DE MENDONCA</v>
          </cell>
          <cell r="D437" t="str">
            <v>OPERAÇÃO ARMAZÉM</v>
          </cell>
        </row>
        <row r="438">
          <cell r="A438" t="str">
            <v>26324TANIA DE OLIVEIRA NEVES</v>
          </cell>
          <cell r="B438">
            <v>26324</v>
          </cell>
          <cell r="C438" t="str">
            <v>TANIA DE OLIVEIRA NEVES</v>
          </cell>
          <cell r="D438" t="str">
            <v>GOVERNANÇA</v>
          </cell>
        </row>
        <row r="439">
          <cell r="A439" t="str">
            <v>18246TATIANA BATISTA DEL PINTOR</v>
          </cell>
          <cell r="B439">
            <v>18246</v>
          </cell>
          <cell r="C439" t="str">
            <v>TATIANA BATISTA DEL PINTOR</v>
          </cell>
          <cell r="D439" t="str">
            <v xml:space="preserve">OPERAÇÃO ARMAZÉM </v>
          </cell>
        </row>
        <row r="440">
          <cell r="A440" t="str">
            <v>31315TATIANE MACHADO ARAUJO</v>
          </cell>
          <cell r="B440">
            <v>31315</v>
          </cell>
          <cell r="C440" t="str">
            <v>TATIANE MACHADO ARAUJO</v>
          </cell>
          <cell r="D440" t="str">
            <v>OPERAÇÃO ARMAZÉM</v>
          </cell>
        </row>
        <row r="441">
          <cell r="A441" t="str">
            <v>26946TATIANE TEREZINHA OLIVEIRA MARTINS</v>
          </cell>
          <cell r="B441">
            <v>26946</v>
          </cell>
          <cell r="C441" t="str">
            <v>TATIANE TEREZINHA OLIVEIRA MARTINS</v>
          </cell>
          <cell r="D441" t="str">
            <v>OPERAÇÃO ARMAZÉM</v>
          </cell>
        </row>
        <row r="442">
          <cell r="A442" t="str">
            <v>25984THAIS SOUZA OLIVEIRA</v>
          </cell>
          <cell r="B442">
            <v>25984</v>
          </cell>
          <cell r="C442" t="str">
            <v>THAIS SOUZA OLIVEIRA</v>
          </cell>
          <cell r="D442" t="str">
            <v xml:space="preserve">OPERAÇÃO ARMAZÉM </v>
          </cell>
        </row>
        <row r="443">
          <cell r="A443" t="str">
            <v>24560THIAGO ATHAYDE SILVA</v>
          </cell>
          <cell r="B443">
            <v>24560</v>
          </cell>
          <cell r="C443" t="str">
            <v>THIAGO ATHAYDE SILVA</v>
          </cell>
          <cell r="D443" t="str">
            <v xml:space="preserve">OPERAÇÃO ARMAZÉM </v>
          </cell>
        </row>
        <row r="444">
          <cell r="A444" t="str">
            <v>22084THIAGO CORREIA</v>
          </cell>
          <cell r="B444">
            <v>22084</v>
          </cell>
          <cell r="C444" t="str">
            <v>THIAGO CORREIA</v>
          </cell>
          <cell r="D444" t="str">
            <v xml:space="preserve">OPERAÇÃO ARMAZÉM </v>
          </cell>
        </row>
        <row r="445">
          <cell r="A445" t="str">
            <v>31590THIAGO DE OLIVEIRA SILVA</v>
          </cell>
          <cell r="B445">
            <v>31590</v>
          </cell>
          <cell r="C445" t="str">
            <v>THIAGO DE OLIVEIRA SILVA</v>
          </cell>
          <cell r="D445" t="str">
            <v>SERVIÇOS</v>
          </cell>
        </row>
        <row r="446">
          <cell r="A446" t="str">
            <v>27251THIAGO KILDER DA SILVA</v>
          </cell>
          <cell r="B446">
            <v>27251</v>
          </cell>
          <cell r="C446" t="str">
            <v>THIAGO KILDER DA SILVA</v>
          </cell>
          <cell r="D446" t="str">
            <v xml:space="preserve">OPERAÇÃO ARMAZÉM </v>
          </cell>
        </row>
        <row r="447">
          <cell r="A447" t="str">
            <v>31059THIAGO MARONE CESARIO</v>
          </cell>
          <cell r="B447">
            <v>31059</v>
          </cell>
          <cell r="C447" t="str">
            <v>THIAGO MARONE CESARIO</v>
          </cell>
          <cell r="D447" t="str">
            <v xml:space="preserve">OPERAÇÃO ARMAZÉM </v>
          </cell>
        </row>
        <row r="448">
          <cell r="A448" t="str">
            <v>25529TIAGO ALVES DOS SANTOS</v>
          </cell>
          <cell r="B448">
            <v>25529</v>
          </cell>
          <cell r="C448" t="str">
            <v>TIAGO ALVES DOS SANTOS</v>
          </cell>
          <cell r="D448" t="str">
            <v xml:space="preserve">OPERAÇÃO ARMAZÉM </v>
          </cell>
        </row>
        <row r="449">
          <cell r="A449" t="str">
            <v>26983TIAGO DE OLIVEIRA ROCHA</v>
          </cell>
          <cell r="B449">
            <v>26983</v>
          </cell>
          <cell r="C449" t="str">
            <v>TIAGO DE OLIVEIRA ROCHA</v>
          </cell>
          <cell r="D449" t="str">
            <v>QUALIDADE</v>
          </cell>
        </row>
        <row r="450">
          <cell r="A450" t="str">
            <v>23627TIAGO JOSE DA SILVA</v>
          </cell>
          <cell r="B450">
            <v>23627</v>
          </cell>
          <cell r="C450" t="str">
            <v>TIAGO JOSE DA SILVA</v>
          </cell>
          <cell r="D450" t="str">
            <v xml:space="preserve">OPERAÇÃO ARMAZÉM </v>
          </cell>
        </row>
        <row r="451">
          <cell r="A451" t="str">
            <v>31586TIAGO VILACA DOS SANTOS</v>
          </cell>
          <cell r="B451">
            <v>31586</v>
          </cell>
          <cell r="C451" t="str">
            <v>TIAGO VILACA DOS SANTOS</v>
          </cell>
          <cell r="D451" t="str">
            <v xml:space="preserve">OPERAÇÃO ARMAZÉM </v>
          </cell>
        </row>
        <row r="452">
          <cell r="A452" t="str">
            <v>18195PAULO CESAR CAMARGO</v>
          </cell>
          <cell r="B452">
            <v>18195</v>
          </cell>
          <cell r="C452" t="str">
            <v>PAULO CESAR CAMARGO</v>
          </cell>
          <cell r="D452" t="str">
            <v xml:space="preserve">OPERAÇÃO ARMAZÉM </v>
          </cell>
        </row>
        <row r="453">
          <cell r="A453" t="str">
            <v>29353UBYRATAM DO NASCIMENTO COELHO</v>
          </cell>
          <cell r="B453">
            <v>29353</v>
          </cell>
          <cell r="C453" t="str">
            <v>UBYRATAM DO NASCIMENTO COELHO</v>
          </cell>
          <cell r="D453" t="str">
            <v>OPERAÇÃO ARMAZÉM</v>
          </cell>
        </row>
        <row r="454">
          <cell r="A454" t="str">
            <v>26551UDIRLEY LEAO COSTA</v>
          </cell>
          <cell r="B454">
            <v>26551</v>
          </cell>
          <cell r="C454" t="str">
            <v>UDIRLEY LEAO COSTA</v>
          </cell>
          <cell r="D454" t="str">
            <v>SERVIÇOS</v>
          </cell>
        </row>
        <row r="455">
          <cell r="A455" t="str">
            <v>18275ULISSES DOMINGUES RABELLO</v>
          </cell>
          <cell r="B455">
            <v>18275</v>
          </cell>
          <cell r="C455" t="str">
            <v>ULISSES DOMINGUES RABELLO</v>
          </cell>
          <cell r="D455" t="str">
            <v>TECNOLOGIA DA INFORMAÇÃO</v>
          </cell>
        </row>
        <row r="456">
          <cell r="A456" t="str">
            <v>18092RAFAEL RICARDO PEREIRA</v>
          </cell>
          <cell r="B456">
            <v>18092</v>
          </cell>
          <cell r="C456" t="str">
            <v>RAFAEL RICARDO PEREIRA</v>
          </cell>
          <cell r="D456" t="str">
            <v xml:space="preserve">OPERAÇÃO ARMAZÉM </v>
          </cell>
        </row>
        <row r="457">
          <cell r="A457" t="str">
            <v>28714VALCI MONTEIRO MAIA</v>
          </cell>
          <cell r="B457">
            <v>28714</v>
          </cell>
          <cell r="C457" t="str">
            <v>VALCI MONTEIRO MAIA</v>
          </cell>
          <cell r="D457" t="str">
            <v>OPERAÇÃO ARMAZÉM</v>
          </cell>
        </row>
        <row r="458">
          <cell r="A458" t="str">
            <v>19965VALDECIR JUNIOR MORO</v>
          </cell>
          <cell r="B458">
            <v>19965</v>
          </cell>
          <cell r="C458" t="str">
            <v>VALDECIR JUNIOR MORO</v>
          </cell>
          <cell r="D458" t="str">
            <v>OPERAÇÃO ARMAZÉM</v>
          </cell>
        </row>
        <row r="459">
          <cell r="A459" t="str">
            <v>17612VALDENILDE DE ARAUJO BARROS</v>
          </cell>
          <cell r="B459">
            <v>17612</v>
          </cell>
          <cell r="C459" t="str">
            <v>VALDENILDE DE ARAUJO BARROS</v>
          </cell>
          <cell r="D459" t="str">
            <v xml:space="preserve">OPERAÇÃO ARMAZÉM </v>
          </cell>
        </row>
        <row r="460">
          <cell r="A460" t="str">
            <v>26574VALDENIR GOMES DA SILVA</v>
          </cell>
          <cell r="B460">
            <v>26574</v>
          </cell>
          <cell r="C460" t="str">
            <v>VALDENIR GOMES DA SILVA</v>
          </cell>
          <cell r="D460" t="str">
            <v>OPERAÇÃO ARMAZÉM</v>
          </cell>
        </row>
        <row r="461">
          <cell r="A461" t="str">
            <v>18434RENATA GOMES DE OLIVEIRA</v>
          </cell>
          <cell r="B461">
            <v>18434</v>
          </cell>
          <cell r="C461" t="str">
            <v>RENATA GOMES DE OLIVEIRA</v>
          </cell>
          <cell r="D461" t="str">
            <v xml:space="preserve">OPERAÇÃO ARMAZÉM </v>
          </cell>
        </row>
        <row r="462">
          <cell r="A462" t="str">
            <v>30957VANESSA ALEXANDRE DO CARMO DE SOUSA</v>
          </cell>
          <cell r="B462">
            <v>30957</v>
          </cell>
          <cell r="C462" t="str">
            <v>VANESSA ALEXANDRE DO CARMO DE SOUSA</v>
          </cell>
          <cell r="D462" t="str">
            <v xml:space="preserve">OPERAÇÃO ARMAZÉM </v>
          </cell>
        </row>
        <row r="463">
          <cell r="A463" t="str">
            <v>18757VANESSA RAUX LOSI</v>
          </cell>
          <cell r="B463">
            <v>18757</v>
          </cell>
          <cell r="C463" t="str">
            <v>VANESSA RAUX LOSI</v>
          </cell>
          <cell r="D463" t="str">
            <v>OPERAÇÃO ARMAZÉM</v>
          </cell>
        </row>
        <row r="464">
          <cell r="A464" t="str">
            <v>28704VINICIO FERREIRA DE LIMA</v>
          </cell>
          <cell r="B464">
            <v>28704</v>
          </cell>
          <cell r="C464" t="str">
            <v>VINICIO FERREIRA DE LIMA</v>
          </cell>
          <cell r="D464" t="str">
            <v xml:space="preserve">OPERAÇÃO ARMAZÉM </v>
          </cell>
        </row>
        <row r="465">
          <cell r="A465" t="str">
            <v>18114ROSA CRISTINA DE ARAUJO</v>
          </cell>
          <cell r="B465">
            <v>18114</v>
          </cell>
          <cell r="C465" t="str">
            <v>ROSA CRISTINA DE ARAUJO</v>
          </cell>
          <cell r="D465" t="str">
            <v xml:space="preserve">OPERAÇÃO ARMAZÉM </v>
          </cell>
        </row>
        <row r="466">
          <cell r="A466" t="str">
            <v>27252VIRGINIA ALVES DE MELO TAVARES</v>
          </cell>
          <cell r="B466">
            <v>27252</v>
          </cell>
          <cell r="C466" t="str">
            <v>VIRGINIA ALVES DE MELO TAVARES</v>
          </cell>
          <cell r="D466" t="str">
            <v xml:space="preserve">OPERAÇÃO ARMAZÉM </v>
          </cell>
        </row>
        <row r="467">
          <cell r="A467" t="str">
            <v>30968VITOR HUGO GOMES DE ALMEIDA</v>
          </cell>
          <cell r="B467">
            <v>30968</v>
          </cell>
          <cell r="C467" t="str">
            <v>VITOR HUGO GOMES DE ALMEIDA</v>
          </cell>
          <cell r="D467" t="str">
            <v>QUALIDADE</v>
          </cell>
        </row>
        <row r="468">
          <cell r="A468" t="str">
            <v>24213ROSEMEIRE GODOY</v>
          </cell>
          <cell r="B468">
            <v>24213</v>
          </cell>
          <cell r="C468" t="str">
            <v>ROSEMEIRE GODOY</v>
          </cell>
          <cell r="D468" t="str">
            <v xml:space="preserve">OPERAÇÃO ARMAZÉM </v>
          </cell>
        </row>
        <row r="469">
          <cell r="A469" t="str">
            <v>29172VIVIAN DA SILVA OLIVEIRA ALMEIDA</v>
          </cell>
          <cell r="B469">
            <v>29172</v>
          </cell>
          <cell r="C469" t="str">
            <v>VIVIAN DA SILVA OLIVEIRA ALMEIDA</v>
          </cell>
          <cell r="D469" t="str">
            <v xml:space="preserve">OPERAÇÃO ARMAZÉM </v>
          </cell>
        </row>
        <row r="470">
          <cell r="A470" t="str">
            <v>23232VALQUIRIA FRANCO</v>
          </cell>
          <cell r="B470">
            <v>23232</v>
          </cell>
          <cell r="C470" t="str">
            <v>VALQUIRIA FRANCO</v>
          </cell>
          <cell r="D470" t="str">
            <v xml:space="preserve">OPERAÇÃO ARMAZÉM </v>
          </cell>
        </row>
        <row r="471">
          <cell r="A471" t="str">
            <v>30954WAGNER RODRIGO MULIZINI</v>
          </cell>
          <cell r="B471">
            <v>30954</v>
          </cell>
          <cell r="C471" t="str">
            <v>WAGNER RODRIGO MULIZINI</v>
          </cell>
          <cell r="D471" t="str">
            <v>OPERAÇÃO ARMAZÉM</v>
          </cell>
        </row>
        <row r="472">
          <cell r="A472" t="str">
            <v>25847WANUSA MACEDO DOS SANTOS</v>
          </cell>
          <cell r="B472">
            <v>25847</v>
          </cell>
          <cell r="C472" t="str">
            <v>WANUSA MACEDO DOS SANTOS</v>
          </cell>
          <cell r="D472" t="str">
            <v>QUALIDADE</v>
          </cell>
        </row>
        <row r="473">
          <cell r="A473" t="str">
            <v>18077WELTON DE LIMA SILVA</v>
          </cell>
          <cell r="B473">
            <v>18077</v>
          </cell>
          <cell r="C473" t="str">
            <v>WELTON DE LIMA SILVA</v>
          </cell>
          <cell r="D473" t="str">
            <v xml:space="preserve">OPERAÇÃO ARMAZÉM </v>
          </cell>
        </row>
        <row r="474">
          <cell r="A474" t="str">
            <v>27967WESLEY FREIRE DE OLIVEIRA</v>
          </cell>
          <cell r="B474">
            <v>27967</v>
          </cell>
          <cell r="C474" t="str">
            <v>WESLEY FREIRE DE OLIVEIRA</v>
          </cell>
          <cell r="D474" t="str">
            <v xml:space="preserve">OPERAÇÃO ARMAZÉM </v>
          </cell>
        </row>
        <row r="475">
          <cell r="A475" t="str">
            <v>28523WESLEY MARINHO DE SOUZA</v>
          </cell>
          <cell r="B475">
            <v>28523</v>
          </cell>
          <cell r="C475" t="str">
            <v>WESLEY MARINHO DE SOUZA</v>
          </cell>
          <cell r="D475" t="str">
            <v xml:space="preserve">OPERAÇÃO ARMAZÉM </v>
          </cell>
        </row>
        <row r="476">
          <cell r="A476" t="str">
            <v>28588WESLLEY BRUNO ALVES MENDES DA SILVA</v>
          </cell>
          <cell r="B476">
            <v>28588</v>
          </cell>
          <cell r="C476" t="str">
            <v>WESLLEY BRUNO ALVES MENDES DA SILVA</v>
          </cell>
          <cell r="D476" t="str">
            <v xml:space="preserve">OPERAÇÃO ARMAZÉM </v>
          </cell>
        </row>
        <row r="477">
          <cell r="A477" t="str">
            <v>31594WILLIAM ALVES DE OLIVEIRA</v>
          </cell>
          <cell r="B477">
            <v>31594</v>
          </cell>
          <cell r="C477" t="str">
            <v>WILLIAM ALVES DE OLIVEIRA</v>
          </cell>
          <cell r="D477" t="str">
            <v xml:space="preserve">OPERAÇÃO ARMAZÉM </v>
          </cell>
        </row>
        <row r="478">
          <cell r="A478" t="str">
            <v>18088WILLIANS APARECIDO PEDROSO</v>
          </cell>
          <cell r="B478">
            <v>18088</v>
          </cell>
          <cell r="C478" t="str">
            <v>WILLIANS APARECIDO PEDROSO</v>
          </cell>
          <cell r="D478" t="str">
            <v>TECNOLOGIA DA INFORMAÇÃO</v>
          </cell>
        </row>
        <row r="479">
          <cell r="A479" t="str">
            <v>17009WILTON PEREIRA DA SILVA</v>
          </cell>
          <cell r="B479">
            <v>17009</v>
          </cell>
          <cell r="C479" t="str">
            <v>WILTON PEREIRA DA SILVA</v>
          </cell>
          <cell r="D479" t="str">
            <v xml:space="preserve">OPERAÇÃO ARMAZÉM </v>
          </cell>
        </row>
        <row r="480">
          <cell r="A480" t="str">
            <v>31587YASMIN CAROLINE ROCHA DA SILVA</v>
          </cell>
          <cell r="B480">
            <v>31587</v>
          </cell>
          <cell r="C480" t="str">
            <v>YASMIN CAROLINE ROCHA DA SILVA</v>
          </cell>
          <cell r="D480" t="str">
            <v>OPERAÇÃO ARMAZÉM</v>
          </cell>
        </row>
        <row r="481">
          <cell r="A481" t="str">
            <v>27868ZALUAR DA SILVA VIEIRA</v>
          </cell>
          <cell r="B481">
            <v>27868</v>
          </cell>
          <cell r="C481" t="str">
            <v>ZALUAR DA SILVA VIEIRA</v>
          </cell>
          <cell r="D481" t="str">
            <v xml:space="preserve">OPERAÇÃO ARMAZÉM </v>
          </cell>
        </row>
        <row r="482">
          <cell r="A482" t="str">
            <v xml:space="preserve">TAIS DOS SANTOS </v>
          </cell>
          <cell r="C482" t="str">
            <v xml:space="preserve">TAIS DOS SANTOS </v>
          </cell>
          <cell r="D482" t="str">
            <v>OPERAÇÃO ARMAZÉM</v>
          </cell>
        </row>
        <row r="483">
          <cell r="A483" t="str">
            <v xml:space="preserve">FABIANO DE ANDRADE DA SILVA </v>
          </cell>
          <cell r="C483" t="str">
            <v xml:space="preserve">FABIANO DE ANDRADE DA SILVA </v>
          </cell>
          <cell r="D483" t="str">
            <v>OPERAÇÃO ARMAZÉM</v>
          </cell>
        </row>
        <row r="484">
          <cell r="A484" t="str">
            <v>15899ABELARDO CORREIA BARROS</v>
          </cell>
          <cell r="B484">
            <v>15899</v>
          </cell>
          <cell r="C484" t="str">
            <v>ABELARDO CORREIA BARROS</v>
          </cell>
          <cell r="D484" t="str">
            <v>OPERAÇÃO TRANSPORTES</v>
          </cell>
        </row>
        <row r="485">
          <cell r="A485" t="str">
            <v>30967ABIMAEL GOMES DA SILVA ROCHA</v>
          </cell>
          <cell r="B485">
            <v>30967</v>
          </cell>
          <cell r="C485" t="str">
            <v>ABIMAEL GOMES DA SILVA ROCHA</v>
          </cell>
          <cell r="D485" t="str">
            <v>GOVERNANÇA</v>
          </cell>
        </row>
        <row r="486">
          <cell r="A486" t="str">
            <v>29324ABIMAEL MENDES LINCOLN</v>
          </cell>
          <cell r="B486">
            <v>29324</v>
          </cell>
          <cell r="C486" t="str">
            <v>ABIMAEL MENDES LINCOLN</v>
          </cell>
          <cell r="D486" t="str">
            <v>OPERAÇÃO TRANSPORTES</v>
          </cell>
        </row>
        <row r="487">
          <cell r="A487" t="str">
            <v>24279ADAILTON DE SOUSA SILVA</v>
          </cell>
          <cell r="B487">
            <v>24279</v>
          </cell>
          <cell r="C487" t="str">
            <v>ADAILTON DE SOUSA SILVA</v>
          </cell>
          <cell r="D487" t="str">
            <v>OPERAÇÃO TRANSPORTES</v>
          </cell>
        </row>
        <row r="488">
          <cell r="A488" t="str">
            <v>27947ADENILSON PAULA RIBEIRO</v>
          </cell>
          <cell r="B488">
            <v>27947</v>
          </cell>
          <cell r="C488" t="str">
            <v>ADENILSON PAULA RIBEIRO</v>
          </cell>
          <cell r="D488" t="str">
            <v>OPERAÇÃO TRANSPORTES</v>
          </cell>
        </row>
        <row r="489">
          <cell r="A489" t="str">
            <v>20623ADILCO FRANCISCO DIAS</v>
          </cell>
          <cell r="B489">
            <v>20623</v>
          </cell>
          <cell r="C489" t="str">
            <v>ADILCO FRANCISCO DIAS</v>
          </cell>
          <cell r="D489" t="str">
            <v>OPERAÇÃO TRANSPORTES</v>
          </cell>
        </row>
        <row r="490">
          <cell r="A490" t="str">
            <v>27670ADRIANA APARECIDA DE MIRANDA</v>
          </cell>
          <cell r="B490">
            <v>27670</v>
          </cell>
          <cell r="C490" t="str">
            <v>ADRIANA APARECIDA DE MIRANDA</v>
          </cell>
          <cell r="D490" t="str">
            <v>QUALIDADE</v>
          </cell>
        </row>
        <row r="491">
          <cell r="A491" t="str">
            <v>26833ADRIANO ALVES MARTINS</v>
          </cell>
          <cell r="B491">
            <v>26833</v>
          </cell>
          <cell r="C491" t="str">
            <v>ADRIANO ALVES MARTINS</v>
          </cell>
          <cell r="D491" t="str">
            <v>OPERAÇÃO TRANSPORTES</v>
          </cell>
        </row>
        <row r="492">
          <cell r="A492" t="str">
            <v>21482ADRIANO DA SILVA SANTOS</v>
          </cell>
          <cell r="B492">
            <v>21482</v>
          </cell>
          <cell r="C492" t="str">
            <v>ADRIANO DA SILVA SANTOS</v>
          </cell>
          <cell r="D492" t="str">
            <v>OPERAÇÃO TRANSPORTES</v>
          </cell>
        </row>
        <row r="493">
          <cell r="A493" t="str">
            <v>27965ADRIANO DE JESUS DA SILVA</v>
          </cell>
          <cell r="B493">
            <v>27965</v>
          </cell>
          <cell r="C493" t="str">
            <v>ADRIANO DE JESUS DA SILVA</v>
          </cell>
          <cell r="D493" t="str">
            <v>OPERAÇÃO TRANSPORTES</v>
          </cell>
        </row>
        <row r="494">
          <cell r="A494" t="str">
            <v>25256ADRIANO MACHADO DE ARAUJO</v>
          </cell>
          <cell r="B494">
            <v>25256</v>
          </cell>
          <cell r="C494" t="str">
            <v>ADRIANO MACHADO DE ARAUJO</v>
          </cell>
          <cell r="D494" t="str">
            <v>OPERAÇÃO TRANSPORTES</v>
          </cell>
        </row>
        <row r="495">
          <cell r="A495" t="str">
            <v>26767ADRIANO PEIXOTO NUNES PEREIRA</v>
          </cell>
          <cell r="B495">
            <v>26767</v>
          </cell>
          <cell r="C495" t="str">
            <v>ADRIANO PEIXOTO NUNES PEREIRA</v>
          </cell>
          <cell r="D495" t="str">
            <v>OPERAÇÃO TRANSPORTES</v>
          </cell>
        </row>
        <row r="496">
          <cell r="A496" t="str">
            <v>29252ADRIANO SANTANNA FERNANDES</v>
          </cell>
          <cell r="B496">
            <v>29252</v>
          </cell>
          <cell r="C496" t="str">
            <v>ADRIANO SANTANNA FERNANDES</v>
          </cell>
          <cell r="D496" t="str">
            <v>OPERAÇÃO TRANSPORTES</v>
          </cell>
        </row>
        <row r="497">
          <cell r="A497" t="str">
            <v>28743AGUINALDO THEODORO DA SILVA</v>
          </cell>
          <cell r="B497">
            <v>28743</v>
          </cell>
          <cell r="C497" t="str">
            <v>AGUINALDO THEODORO DA SILVA</v>
          </cell>
          <cell r="D497" t="str">
            <v>OPERAÇÃO TRANSPORTES</v>
          </cell>
        </row>
        <row r="498">
          <cell r="A498" t="str">
            <v>16597AIMBERE DA SILVA VILETE</v>
          </cell>
          <cell r="B498">
            <v>16597</v>
          </cell>
          <cell r="C498" t="str">
            <v>AIMBERE DA SILVA VILETE</v>
          </cell>
          <cell r="D498" t="str">
            <v>OPERAÇÃO TRANSPORTES</v>
          </cell>
        </row>
        <row r="499">
          <cell r="A499" t="str">
            <v>28804AISLAN MIRANDA DA SILVA NURCHIS</v>
          </cell>
          <cell r="B499">
            <v>28804</v>
          </cell>
          <cell r="C499" t="str">
            <v>AISLAN MIRANDA DA SILVA NURCHIS</v>
          </cell>
          <cell r="D499" t="str">
            <v>OPERAÇÃO TRANSPORTES</v>
          </cell>
        </row>
        <row r="500">
          <cell r="A500" t="str">
            <v>31611ALAN EMILIANO ESCOUTO PEREIRA</v>
          </cell>
          <cell r="B500">
            <v>31611</v>
          </cell>
          <cell r="C500" t="str">
            <v>ALAN EMILIANO ESCOUTO PEREIRA</v>
          </cell>
          <cell r="D500" t="str">
            <v>OPERAÇÃO TRANSPORTES</v>
          </cell>
        </row>
        <row r="501">
          <cell r="A501" t="str">
            <v>24861ALBECI DOS SANTOS RIBEIRO</v>
          </cell>
          <cell r="B501">
            <v>24861</v>
          </cell>
          <cell r="C501" t="str">
            <v>ALBECI DOS SANTOS RIBEIRO</v>
          </cell>
          <cell r="D501" t="str">
            <v>OPERAÇÃO TRANSPORTES</v>
          </cell>
        </row>
        <row r="502">
          <cell r="A502" t="str">
            <v>31554ALEF DE LIMA SILVA</v>
          </cell>
          <cell r="B502">
            <v>31554</v>
          </cell>
          <cell r="C502" t="str">
            <v>ALEF DE LIMA SILVA</v>
          </cell>
          <cell r="D502" t="str">
            <v>OPERAÇÃO TRANSPORTES</v>
          </cell>
        </row>
        <row r="503">
          <cell r="A503" t="str">
            <v>21922ALESSANDRA DA SILVA SANTOS</v>
          </cell>
          <cell r="B503">
            <v>21922</v>
          </cell>
          <cell r="C503" t="str">
            <v>ALESSANDRA DA SILVA SANTOS</v>
          </cell>
          <cell r="D503" t="str">
            <v>GOVERNANÇA</v>
          </cell>
        </row>
        <row r="504">
          <cell r="A504" t="str">
            <v>31698ALESSANDRA MARTINS DA SILVA</v>
          </cell>
          <cell r="B504">
            <v>31698</v>
          </cell>
          <cell r="C504" t="str">
            <v>ALESSANDRA MARTINS DA SILVA</v>
          </cell>
          <cell r="D504" t="str">
            <v>OPERAÇÃO TRANSPORTES</v>
          </cell>
        </row>
        <row r="505">
          <cell r="A505" t="str">
            <v>30984ALESSANDRO CONSTANTE VIEIRA</v>
          </cell>
          <cell r="B505">
            <v>30984</v>
          </cell>
          <cell r="C505" t="str">
            <v>ALESSANDRO CONSTANTE VIEIRA</v>
          </cell>
          <cell r="D505" t="str">
            <v>OPERAÇÃO TRANSPORTES</v>
          </cell>
        </row>
        <row r="506">
          <cell r="A506" t="str">
            <v>24681ALESSANDRO DE OLIVEIRA CUSTODIO</v>
          </cell>
          <cell r="B506">
            <v>24681</v>
          </cell>
          <cell r="C506" t="str">
            <v>ALESSANDRO DE OLIVEIRA CUSTODIO</v>
          </cell>
          <cell r="D506" t="str">
            <v>OPERAÇÃO TRANSPORTES</v>
          </cell>
        </row>
        <row r="507">
          <cell r="A507" t="str">
            <v>31183ALESSANDRO KENNEDY CARNEIRO SILVA</v>
          </cell>
          <cell r="B507">
            <v>31183</v>
          </cell>
          <cell r="C507" t="str">
            <v>ALESSANDRO KENNEDY CARNEIRO SILVA</v>
          </cell>
          <cell r="D507" t="str">
            <v>OPERAÇÃO TRANSPORTES</v>
          </cell>
        </row>
        <row r="508">
          <cell r="A508" t="str">
            <v>27961ALEX PEREIRA MELO</v>
          </cell>
          <cell r="B508">
            <v>27961</v>
          </cell>
          <cell r="C508" t="str">
            <v>ALEX PEREIRA MELO</v>
          </cell>
          <cell r="D508" t="str">
            <v>OPERAÇÃO TRANSPORTES</v>
          </cell>
        </row>
        <row r="509">
          <cell r="A509" t="str">
            <v>31669ALEX RODRIGO CONCEICAO SANDES</v>
          </cell>
          <cell r="B509">
            <v>31669</v>
          </cell>
          <cell r="C509" t="str">
            <v>ALEX RODRIGO CONCEICAO SANDES</v>
          </cell>
          <cell r="D509" t="str">
            <v>OPERAÇÃO TRANSPORTES</v>
          </cell>
        </row>
        <row r="510">
          <cell r="A510" t="str">
            <v>28341ALEXANDRA SANTOS DE SOUZA</v>
          </cell>
          <cell r="B510">
            <v>28341</v>
          </cell>
          <cell r="C510" t="str">
            <v>ALEXANDRA SANTOS DE SOUZA</v>
          </cell>
          <cell r="D510" t="str">
            <v>GOVERNANÇA</v>
          </cell>
        </row>
        <row r="511">
          <cell r="A511" t="str">
            <v>31576ALEXANDRE BRUNO DA SILVA SAMPAIO</v>
          </cell>
          <cell r="B511">
            <v>31576</v>
          </cell>
          <cell r="C511" t="str">
            <v>ALEXANDRE BRUNO DA SILVA SAMPAIO</v>
          </cell>
          <cell r="D511" t="str">
            <v>OPERAÇÃO TRANSPORTES</v>
          </cell>
        </row>
        <row r="512">
          <cell r="A512" t="str">
            <v>13911ALEXANDRE DE OLIVEIRA BRETAS</v>
          </cell>
          <cell r="B512">
            <v>13911</v>
          </cell>
          <cell r="C512" t="str">
            <v>ALEXANDRE DE OLIVEIRA BRETAS</v>
          </cell>
          <cell r="D512" t="str">
            <v>OPERAÇÃO TRANSPORTES</v>
          </cell>
        </row>
        <row r="513">
          <cell r="A513" t="str">
            <v>31626ALEXANDRE HADER JUNIOR</v>
          </cell>
          <cell r="B513">
            <v>31626</v>
          </cell>
          <cell r="C513" t="str">
            <v>ALEXANDRE HADER JUNIOR</v>
          </cell>
          <cell r="D513" t="str">
            <v>OPERAÇÃO TRANSPORTES</v>
          </cell>
        </row>
        <row r="514">
          <cell r="A514" t="str">
            <v>28923ALEXSANDER OLIVEIRA DE CAMARGOS</v>
          </cell>
          <cell r="B514">
            <v>28923</v>
          </cell>
          <cell r="C514" t="str">
            <v>ALEXSANDER OLIVEIRA DE CAMARGOS</v>
          </cell>
          <cell r="D514" t="str">
            <v>OPERAÇÃO TRANSPORTES</v>
          </cell>
        </row>
        <row r="515">
          <cell r="A515" t="str">
            <v>26761ALINE CAVALCANTE LIMA</v>
          </cell>
          <cell r="B515">
            <v>26761</v>
          </cell>
          <cell r="C515" t="str">
            <v>ALINE CAVALCANTE LIMA</v>
          </cell>
          <cell r="D515" t="str">
            <v>OPERAÇÃO TRANSPORTES</v>
          </cell>
        </row>
        <row r="516">
          <cell r="A516" t="str">
            <v>16325ALISSON TEIXEIRA DA COSTA</v>
          </cell>
          <cell r="B516">
            <v>16325</v>
          </cell>
          <cell r="C516" t="str">
            <v>ALISSON TEIXEIRA DA COSTA</v>
          </cell>
          <cell r="D516" t="str">
            <v>OPERAÇÃO TRANSPORTES</v>
          </cell>
        </row>
        <row r="517">
          <cell r="A517" t="str">
            <v>31621ALLAN CARLOS SILVA DE SOUSA</v>
          </cell>
          <cell r="B517">
            <v>31621</v>
          </cell>
          <cell r="C517" t="str">
            <v>ALLAN CARLOS SILVA DE SOUSA</v>
          </cell>
          <cell r="D517" t="str">
            <v>SERVIÇOS</v>
          </cell>
        </row>
        <row r="518">
          <cell r="A518" t="str">
            <v>15802ALTAMIRO ALMEIDA LEITE</v>
          </cell>
          <cell r="B518">
            <v>15802</v>
          </cell>
          <cell r="C518" t="str">
            <v>ALTAMIRO ALMEIDA LEITE</v>
          </cell>
          <cell r="D518" t="str">
            <v>OPERAÇÃO TRANSPORTES</v>
          </cell>
        </row>
        <row r="519">
          <cell r="A519" t="str">
            <v>12623ALUIZIO DA SILVA VERISSIMO</v>
          </cell>
          <cell r="B519">
            <v>12623</v>
          </cell>
          <cell r="C519" t="str">
            <v>ALUIZIO DA SILVA VERISSIMO</v>
          </cell>
          <cell r="D519" t="str">
            <v>OPERAÇÃO TRANSPORTES</v>
          </cell>
        </row>
        <row r="520">
          <cell r="A520" t="str">
            <v>26690AMANDA DANIELE ABILIO DE SOUSA</v>
          </cell>
          <cell r="B520">
            <v>26690</v>
          </cell>
          <cell r="C520" t="str">
            <v>AMANDA DANIELE ABILIO DE SOUSA</v>
          </cell>
          <cell r="D520" t="str">
            <v>GOVERNANÇA</v>
          </cell>
        </row>
        <row r="521">
          <cell r="A521" t="str">
            <v>15796AMARO CIRILO DO NASCIMENTO FILHO</v>
          </cell>
          <cell r="B521">
            <v>15796</v>
          </cell>
          <cell r="C521" t="str">
            <v>AMARO CIRILO DO NASCIMENTO FILHO</v>
          </cell>
          <cell r="D521" t="str">
            <v>PRESIDENCIA</v>
          </cell>
        </row>
        <row r="522">
          <cell r="A522" t="str">
            <v>22246ANA CAROLINA BITENCOURT COSTA</v>
          </cell>
          <cell r="B522">
            <v>22246</v>
          </cell>
          <cell r="C522" t="str">
            <v>ANA CAROLINA BITENCOURT COSTA</v>
          </cell>
          <cell r="D522" t="str">
            <v>QUALIDADE</v>
          </cell>
        </row>
        <row r="523">
          <cell r="A523" t="str">
            <v>30905ANA CLAUDIA BARBOSA MARANHAO</v>
          </cell>
          <cell r="B523">
            <v>30905</v>
          </cell>
          <cell r="C523" t="str">
            <v>ANA CLAUDIA BARBOSA MARANHAO</v>
          </cell>
          <cell r="D523" t="str">
            <v>OPERAÇÃO TRANSPORTES</v>
          </cell>
        </row>
        <row r="524">
          <cell r="A524" t="str">
            <v>31662ANA CRISTINA MULLER MARTINS</v>
          </cell>
          <cell r="B524">
            <v>31662</v>
          </cell>
          <cell r="C524" t="str">
            <v>ANA CRISTINA MULLER MARTINS</v>
          </cell>
          <cell r="D524" t="str">
            <v>OPERAÇÃO TRANSPORTES</v>
          </cell>
        </row>
        <row r="525">
          <cell r="A525" t="str">
            <v>15920ANA MARIA RODRIGUES DA SILVA</v>
          </cell>
          <cell r="B525">
            <v>15920</v>
          </cell>
          <cell r="C525" t="str">
            <v>ANA MARIA RODRIGUES DA SILVA</v>
          </cell>
          <cell r="D525" t="str">
            <v>OPERAÇÃO TRANSPORTES</v>
          </cell>
        </row>
        <row r="526">
          <cell r="A526" t="str">
            <v>30068ANAOR CORREIA DA SILVA</v>
          </cell>
          <cell r="B526">
            <v>30068</v>
          </cell>
          <cell r="C526" t="str">
            <v>ANAOR CORREIA DA SILVA</v>
          </cell>
          <cell r="D526" t="str">
            <v>OPERAÇÃO TRANSPORTES</v>
          </cell>
        </row>
        <row r="527">
          <cell r="A527" t="str">
            <v>25808ANDERSON CLAYTON DA CUNHA</v>
          </cell>
          <cell r="B527">
            <v>25808</v>
          </cell>
          <cell r="C527" t="str">
            <v>ANDERSON CLAYTON DA CUNHA</v>
          </cell>
          <cell r="D527" t="str">
            <v>OPERAÇÃO TRANSPORTES</v>
          </cell>
        </row>
        <row r="528">
          <cell r="A528" t="str">
            <v>31513ANDERSON FELIPE ALVES DA SILVA</v>
          </cell>
          <cell r="B528">
            <v>31513</v>
          </cell>
          <cell r="C528" t="str">
            <v>ANDERSON FELIPE ALVES DA SILVA</v>
          </cell>
          <cell r="D528" t="str">
            <v>OPERAÇÃO TRANSPORTES</v>
          </cell>
        </row>
        <row r="529">
          <cell r="A529" t="str">
            <v>17089ANDERSON ROGERIO DE SOUZA</v>
          </cell>
          <cell r="B529">
            <v>17089</v>
          </cell>
          <cell r="C529" t="str">
            <v>ANDERSON ROGERIO DE SOUZA</v>
          </cell>
          <cell r="D529" t="str">
            <v>SERVIÇOS</v>
          </cell>
        </row>
        <row r="530">
          <cell r="A530" t="str">
            <v>28462ANDIARA MARTINS BARROSO</v>
          </cell>
          <cell r="B530">
            <v>28462</v>
          </cell>
          <cell r="C530" t="str">
            <v>ANDIARA MARTINS BARROSO</v>
          </cell>
          <cell r="D530" t="str">
            <v>QUALIDADE</v>
          </cell>
        </row>
        <row r="531">
          <cell r="A531" t="str">
            <v>30941ANDRE HASEGAWA</v>
          </cell>
          <cell r="B531">
            <v>30941</v>
          </cell>
          <cell r="C531" t="str">
            <v>ANDRE HASEGAWA</v>
          </cell>
          <cell r="D531" t="str">
            <v>GOVERNANÇA</v>
          </cell>
        </row>
        <row r="532">
          <cell r="A532" t="str">
            <v>26255ANDRE LUIS BESSA</v>
          </cell>
          <cell r="B532">
            <v>26255</v>
          </cell>
          <cell r="C532" t="str">
            <v>ANDRE LUIS BESSA</v>
          </cell>
          <cell r="D532" t="str">
            <v>OPERAÇÃO TRANSPORTES</v>
          </cell>
        </row>
        <row r="533">
          <cell r="A533" t="str">
            <v>24558ANDRESSA DE CASSIA TEIXEIRA</v>
          </cell>
          <cell r="B533">
            <v>24558</v>
          </cell>
          <cell r="C533" t="str">
            <v>ANDRESSA DE CASSIA TEIXEIRA</v>
          </cell>
          <cell r="D533" t="str">
            <v>OPERAÇÃO TRANSPORTES</v>
          </cell>
        </row>
        <row r="534">
          <cell r="A534" t="str">
            <v>31190ANGELO INOCENCIO DE OLIVEIRA JUNIOR</v>
          </cell>
          <cell r="B534">
            <v>31190</v>
          </cell>
          <cell r="C534" t="str">
            <v>ANGELO INOCENCIO DE OLIVEIRA JUNIOR</v>
          </cell>
          <cell r="D534" t="str">
            <v>OPERAÇÃO TRANSPORTES</v>
          </cell>
        </row>
        <row r="535">
          <cell r="A535" t="str">
            <v>16991ANTONIO ASCENCO FILHO</v>
          </cell>
          <cell r="B535">
            <v>16991</v>
          </cell>
          <cell r="C535" t="str">
            <v>ANTONIO ASCENCO FILHO</v>
          </cell>
          <cell r="D535" t="str">
            <v>OPERAÇÃO TRANSPORTES</v>
          </cell>
        </row>
        <row r="536">
          <cell r="A536" t="str">
            <v>17013ANTONIO AUGUSTO GAMA</v>
          </cell>
          <cell r="B536">
            <v>17013</v>
          </cell>
          <cell r="C536" t="str">
            <v>ANTONIO AUGUSTO GAMA</v>
          </cell>
          <cell r="D536" t="str">
            <v>OPERAÇÃO TRANSPORTES</v>
          </cell>
        </row>
        <row r="537">
          <cell r="A537" t="str">
            <v>15759ANTONIO CAMPOS DA SILVA</v>
          </cell>
          <cell r="B537">
            <v>15759</v>
          </cell>
          <cell r="C537" t="str">
            <v>ANTONIO CAMPOS DA SILVA</v>
          </cell>
          <cell r="D537" t="str">
            <v>OPERAÇÃO TRANSPORTES</v>
          </cell>
        </row>
        <row r="538">
          <cell r="A538" t="str">
            <v>25414ANTONIO CARLOS LIMA SANTOS</v>
          </cell>
          <cell r="B538">
            <v>25414</v>
          </cell>
          <cell r="C538" t="str">
            <v>ANTONIO CARLOS LIMA SANTOS</v>
          </cell>
          <cell r="D538" t="str">
            <v>OPERAÇÃO TRANSPORTES</v>
          </cell>
        </row>
        <row r="539">
          <cell r="A539" t="str">
            <v>16834ANTONIO CARLOS NONATO</v>
          </cell>
          <cell r="B539">
            <v>16834</v>
          </cell>
          <cell r="C539" t="str">
            <v>ANTONIO CARLOS NONATO</v>
          </cell>
          <cell r="D539" t="str">
            <v>OPERAÇÃO TRANSPORTES</v>
          </cell>
        </row>
        <row r="540">
          <cell r="A540" t="str">
            <v>13804ANTONIO CARLOS SANTANNA CRELIER</v>
          </cell>
          <cell r="B540">
            <v>13804</v>
          </cell>
          <cell r="C540" t="str">
            <v>ANTONIO CARLOS SANTANNA CRELIER</v>
          </cell>
          <cell r="D540" t="str">
            <v>OPERAÇÃO TRANSPORTES</v>
          </cell>
        </row>
        <row r="541">
          <cell r="A541" t="str">
            <v>17021ANTONIO DE JESUS SILVA</v>
          </cell>
          <cell r="B541">
            <v>17021</v>
          </cell>
          <cell r="C541" t="str">
            <v>ANTONIO DE JESUS SILVA</v>
          </cell>
          <cell r="D541" t="str">
            <v>OPERAÇÃO TRANSPORTES</v>
          </cell>
        </row>
        <row r="542">
          <cell r="A542" t="str">
            <v>22510ANTONIO JOSENILSON MENDES COSTA</v>
          </cell>
          <cell r="B542">
            <v>22510</v>
          </cell>
          <cell r="C542" t="str">
            <v>ANTONIO JOSENILSON MENDES COSTA</v>
          </cell>
          <cell r="D542" t="str">
            <v>OPERAÇÃO TRANSPORTES</v>
          </cell>
        </row>
        <row r="543">
          <cell r="A543" t="str">
            <v>31634ANTONIO MARCOS DAMASCENO SANTOS</v>
          </cell>
          <cell r="B543">
            <v>31634</v>
          </cell>
          <cell r="C543" t="str">
            <v>ANTONIO MARCOS DAMASCENO SANTOS</v>
          </cell>
          <cell r="D543" t="str">
            <v>OPERAÇÃO TRANSPORTES</v>
          </cell>
        </row>
        <row r="544">
          <cell r="A544" t="str">
            <v>17004ANTONIO MARCOS DO NASCIMENTO</v>
          </cell>
          <cell r="B544">
            <v>17004</v>
          </cell>
          <cell r="C544" t="str">
            <v>ANTONIO MARCOS DO NASCIMENTO</v>
          </cell>
          <cell r="D544" t="str">
            <v>OPERAÇÃO TRANSPORTES</v>
          </cell>
        </row>
        <row r="545">
          <cell r="A545" t="str">
            <v>26756ANTONIO MIGUEL DE LACERDA NETO</v>
          </cell>
          <cell r="B545">
            <v>26756</v>
          </cell>
          <cell r="C545" t="str">
            <v>ANTONIO MIGUEL DE LACERDA NETO</v>
          </cell>
          <cell r="D545" t="str">
            <v>OPERAÇÃO TRANSPORTES</v>
          </cell>
        </row>
        <row r="546">
          <cell r="A546" t="str">
            <v>15789ANTONIO OLIVEIRA FONSECA FILHO</v>
          </cell>
          <cell r="B546">
            <v>15789</v>
          </cell>
          <cell r="C546" t="str">
            <v>ANTONIO OLIVEIRA FONSECA FILHO</v>
          </cell>
          <cell r="D546" t="str">
            <v>PRESIDENCIA</v>
          </cell>
        </row>
        <row r="547">
          <cell r="A547" t="str">
            <v>16259ANTONIO REGINALDO ROQUE DA SILVA</v>
          </cell>
          <cell r="B547">
            <v>16259</v>
          </cell>
          <cell r="C547" t="str">
            <v>ANTONIO REGINALDO ROQUE DA SILVA</v>
          </cell>
          <cell r="D547" t="str">
            <v>OPERAÇÃO TRANSPORTES</v>
          </cell>
        </row>
        <row r="548">
          <cell r="A548" t="str">
            <v>25953ARIANE FELINA TOURNIER BELLO</v>
          </cell>
          <cell r="B548">
            <v>25953</v>
          </cell>
          <cell r="C548" t="str">
            <v>ARIANE FELINA TOURNIER BELLO</v>
          </cell>
          <cell r="D548" t="str">
            <v>SERVIÇOS</v>
          </cell>
        </row>
        <row r="549">
          <cell r="A549" t="str">
            <v>16730ARNALDO DE OLIVEIRA SANTOS</v>
          </cell>
          <cell r="B549">
            <v>16730</v>
          </cell>
          <cell r="C549" t="str">
            <v>ARNALDO DE OLIVEIRA SANTOS</v>
          </cell>
          <cell r="D549" t="str">
            <v>OPERAÇÃO TRANSPORTES</v>
          </cell>
        </row>
        <row r="550">
          <cell r="A550" t="str">
            <v>21322ARNALDO FERREIRA</v>
          </cell>
          <cell r="B550">
            <v>21322</v>
          </cell>
          <cell r="C550" t="str">
            <v>ARNALDO FERREIRA</v>
          </cell>
          <cell r="D550" t="str">
            <v>OPERAÇÃO TRANSPORTES</v>
          </cell>
        </row>
        <row r="551">
          <cell r="A551" t="str">
            <v>27574ATAIDE PEREIRA DE SALES JUNIOR</v>
          </cell>
          <cell r="B551">
            <v>27574</v>
          </cell>
          <cell r="C551" t="str">
            <v>ATAIDE PEREIRA DE SALES JUNIOR</v>
          </cell>
          <cell r="D551" t="str">
            <v>OPERAÇÃO TRANSPORTES</v>
          </cell>
        </row>
        <row r="552">
          <cell r="A552" t="str">
            <v>22529BENEDITO ALVES DO NASCIMENTO</v>
          </cell>
          <cell r="B552">
            <v>22529</v>
          </cell>
          <cell r="C552" t="str">
            <v>BENEDITO ALVES DO NASCIMENTO</v>
          </cell>
          <cell r="D552" t="str">
            <v>OPERAÇÃO TRANSPORTES</v>
          </cell>
        </row>
        <row r="553">
          <cell r="A553" t="str">
            <v>30185BENEDITO SILVA ROCHA</v>
          </cell>
          <cell r="B553">
            <v>30185</v>
          </cell>
          <cell r="C553" t="str">
            <v>BENEDITO SILVA ROCHA</v>
          </cell>
          <cell r="D553" t="str">
            <v>OPERAÇÃO TRANSPORTES</v>
          </cell>
        </row>
        <row r="554">
          <cell r="A554" t="str">
            <v>31712BERNARDO LUCAS CAMPOS</v>
          </cell>
          <cell r="B554">
            <v>31712</v>
          </cell>
          <cell r="C554" t="str">
            <v>BERNARDO LUCAS CAMPOS</v>
          </cell>
          <cell r="D554" t="str">
            <v>OPERAÇÃO TRANSPORTES</v>
          </cell>
        </row>
        <row r="555">
          <cell r="A555" t="str">
            <v>31539BIANCA DA SILVA FERREIRA</v>
          </cell>
          <cell r="B555">
            <v>31539</v>
          </cell>
          <cell r="C555" t="str">
            <v>BIANCA DA SILVA FERREIRA</v>
          </cell>
          <cell r="D555" t="str">
            <v>OPERAÇÃO TRANSPORTES</v>
          </cell>
        </row>
        <row r="556">
          <cell r="A556" t="str">
            <v>23538BIANCA ROCHA DOS ANJOS</v>
          </cell>
          <cell r="B556">
            <v>23538</v>
          </cell>
          <cell r="C556" t="str">
            <v>BIANCA ROCHA DOS ANJOS</v>
          </cell>
          <cell r="D556" t="str">
            <v>GOVERNANÇA</v>
          </cell>
        </row>
        <row r="557">
          <cell r="A557" t="str">
            <v>31685BRUNA BRITTO DA ROCHA</v>
          </cell>
          <cell r="B557">
            <v>31685</v>
          </cell>
          <cell r="C557" t="str">
            <v>BRUNA BRITTO DA ROCHA</v>
          </cell>
          <cell r="D557" t="str">
            <v>GOVERNANÇA</v>
          </cell>
        </row>
        <row r="558">
          <cell r="A558" t="str">
            <v>24635BRUNA FERREIRA GARCIA</v>
          </cell>
          <cell r="B558">
            <v>24635</v>
          </cell>
          <cell r="C558" t="str">
            <v>BRUNA FERREIRA GARCIA</v>
          </cell>
          <cell r="D558" t="str">
            <v>OPERAÇÃO TRANSPORTES</v>
          </cell>
        </row>
        <row r="559">
          <cell r="A559" t="str">
            <v>25214BRUNA ROCHA DOS SANTOS</v>
          </cell>
          <cell r="B559">
            <v>25214</v>
          </cell>
          <cell r="C559" t="str">
            <v>BRUNA ROCHA DOS SANTOS</v>
          </cell>
          <cell r="D559" t="str">
            <v>GOVERNANÇA</v>
          </cell>
        </row>
        <row r="560">
          <cell r="A560" t="str">
            <v>31676BRUNA RODRIGUES FERREIRA</v>
          </cell>
          <cell r="B560">
            <v>31676</v>
          </cell>
          <cell r="C560" t="str">
            <v>BRUNA RODRIGUES FERREIRA</v>
          </cell>
          <cell r="D560" t="str">
            <v>SERVIÇOS</v>
          </cell>
        </row>
        <row r="561">
          <cell r="A561" t="str">
            <v>29398BRUNO CESAR SILVA BARCELOS</v>
          </cell>
          <cell r="B561">
            <v>29398</v>
          </cell>
          <cell r="C561" t="str">
            <v>BRUNO CESAR SILVA BARCELOS</v>
          </cell>
          <cell r="D561" t="str">
            <v>OPERAÇÃO TRANSPORTES</v>
          </cell>
        </row>
        <row r="562">
          <cell r="A562" t="str">
            <v>29179BRUNO DA SILVA SANTOS</v>
          </cell>
          <cell r="B562">
            <v>29179</v>
          </cell>
          <cell r="C562" t="str">
            <v>BRUNO DA SILVA SANTOS</v>
          </cell>
          <cell r="D562" t="str">
            <v>OPERAÇÃO TRANSPORTES</v>
          </cell>
        </row>
        <row r="563">
          <cell r="A563" t="str">
            <v>31007BRUNO DEPIERI SILVA</v>
          </cell>
          <cell r="B563">
            <v>31007</v>
          </cell>
          <cell r="C563" t="str">
            <v>BRUNO DEPIERI SILVA</v>
          </cell>
          <cell r="D563" t="str">
            <v>GOVERNANÇA</v>
          </cell>
        </row>
        <row r="564">
          <cell r="A564" t="str">
            <v>31561BRUNO FILIPE COSTA SILVA</v>
          </cell>
          <cell r="B564">
            <v>31561</v>
          </cell>
          <cell r="C564" t="str">
            <v>BRUNO FILIPE COSTA SILVA</v>
          </cell>
          <cell r="D564" t="str">
            <v>OPERAÇÃO TRANSPORTES</v>
          </cell>
        </row>
        <row r="565">
          <cell r="A565" t="str">
            <v>30014BRUNO KOCH DA SILVA</v>
          </cell>
          <cell r="B565">
            <v>30014</v>
          </cell>
          <cell r="C565" t="str">
            <v>BRUNO KOCH DA SILVA</v>
          </cell>
          <cell r="D565" t="str">
            <v>OPERAÇÃO TRANSPORTES</v>
          </cell>
        </row>
        <row r="566">
          <cell r="A566" t="str">
            <v>31336BRUNO LEITE DE OLIVEIRA</v>
          </cell>
          <cell r="B566">
            <v>31336</v>
          </cell>
          <cell r="C566" t="str">
            <v>BRUNO LEITE DE OLIVEIRA</v>
          </cell>
          <cell r="D566" t="str">
            <v>OPERAÇÃO TRANSPORTES</v>
          </cell>
        </row>
        <row r="567">
          <cell r="A567" t="str">
            <v>31616CAIO DA ROCHA MORENO</v>
          </cell>
          <cell r="B567">
            <v>31616</v>
          </cell>
          <cell r="C567" t="str">
            <v>CAIO DA ROCHA MORENO</v>
          </cell>
          <cell r="D567" t="str">
            <v>PRESIDENCIA</v>
          </cell>
        </row>
        <row r="568">
          <cell r="A568" t="str">
            <v>26350CARLA CRISTINE BUENO DE CAMARGO</v>
          </cell>
          <cell r="B568">
            <v>26350</v>
          </cell>
          <cell r="C568" t="str">
            <v>CARLA CRISTINE BUENO DE CAMARGO</v>
          </cell>
          <cell r="D568" t="str">
            <v>GOVERNANÇA</v>
          </cell>
        </row>
        <row r="569">
          <cell r="A569" t="str">
            <v>13834CARLOS ALBERTO DA CRUZ LIRA</v>
          </cell>
          <cell r="B569">
            <v>13834</v>
          </cell>
          <cell r="C569" t="str">
            <v>CARLOS ALBERTO DA CRUZ LIRA</v>
          </cell>
          <cell r="D569" t="str">
            <v>OPERAÇÃO TRANSPORTES</v>
          </cell>
        </row>
        <row r="570">
          <cell r="A570" t="str">
            <v>21736CARLOS ALBERTO DE ANDRADE DOMINGUES COSTA</v>
          </cell>
          <cell r="B570">
            <v>21736</v>
          </cell>
          <cell r="C570" t="str">
            <v>CARLOS ALBERTO DE ANDRADE DOMINGUES COSTA</v>
          </cell>
          <cell r="D570" t="str">
            <v>OPERAÇÃO TRANSPORTES</v>
          </cell>
        </row>
        <row r="571">
          <cell r="A571" t="str">
            <v>31136CARLOS ALBERTO PEREIRA DE OLIVEIRA</v>
          </cell>
          <cell r="B571">
            <v>31136</v>
          </cell>
          <cell r="C571" t="str">
            <v>CARLOS ALBERTO PEREIRA DE OLIVEIRA</v>
          </cell>
          <cell r="D571" t="str">
            <v>OPERAÇÃO TRANSPORTES</v>
          </cell>
        </row>
        <row r="572">
          <cell r="A572" t="str">
            <v>25902CARLOS ALBERTO SOUZA CASTILHOS</v>
          </cell>
          <cell r="B572">
            <v>25902</v>
          </cell>
          <cell r="C572" t="str">
            <v>CARLOS ALBERTO SOUZA CASTILHOS</v>
          </cell>
          <cell r="D572" t="str">
            <v>OPERAÇÃO TRANSPORTES</v>
          </cell>
        </row>
        <row r="573">
          <cell r="A573" t="str">
            <v>13824CARLOS AUGUSTO DOS SANTOS</v>
          </cell>
          <cell r="B573">
            <v>13824</v>
          </cell>
          <cell r="C573" t="str">
            <v>CARLOS AUGUSTO DOS SANTOS</v>
          </cell>
          <cell r="D573" t="str">
            <v>OPERAÇÃO TRANSPORTES</v>
          </cell>
        </row>
        <row r="574">
          <cell r="A574" t="str">
            <v>29190CARLOS COSME DE SOUZA ROSA</v>
          </cell>
          <cell r="B574">
            <v>29190</v>
          </cell>
          <cell r="C574" t="str">
            <v>CARLOS COSME DE SOUZA ROSA</v>
          </cell>
          <cell r="D574" t="str">
            <v>OPERAÇÃO TRANSPORTES</v>
          </cell>
        </row>
        <row r="575">
          <cell r="A575" t="str">
            <v>31246CARLOS ERBAS OLIVEIRA ROCHA</v>
          </cell>
          <cell r="B575">
            <v>31246</v>
          </cell>
          <cell r="C575" t="str">
            <v>CARLOS ERBAS OLIVEIRA ROCHA</v>
          </cell>
          <cell r="D575" t="str">
            <v>OPERAÇÃO TRANSPORTES</v>
          </cell>
        </row>
        <row r="576">
          <cell r="A576" t="str">
            <v>13952CARLOS HENRIQUE DA SILVA</v>
          </cell>
          <cell r="B576">
            <v>13952</v>
          </cell>
          <cell r="C576" t="str">
            <v>CARLOS HENRIQUE DA SILVA</v>
          </cell>
          <cell r="D576" t="str">
            <v>OPERAÇÃO TRANSPORTES</v>
          </cell>
        </row>
        <row r="577">
          <cell r="A577" t="str">
            <v>31586CAROLINE APARECIDA BATISTIN</v>
          </cell>
          <cell r="B577">
            <v>31586</v>
          </cell>
          <cell r="C577" t="str">
            <v>CAROLINE APARECIDA BATISTIN</v>
          </cell>
          <cell r="D577" t="str">
            <v>COMERCIAL/ENG. LOGÍSTICA</v>
          </cell>
        </row>
        <row r="578">
          <cell r="A578" t="str">
            <v>31639CASSIA LORENA RODRIGUES REIS</v>
          </cell>
          <cell r="B578">
            <v>31639</v>
          </cell>
          <cell r="C578" t="str">
            <v>CASSIA LORENA RODRIGUES REIS</v>
          </cell>
          <cell r="D578" t="str">
            <v>SERVIÇOS</v>
          </cell>
        </row>
        <row r="579">
          <cell r="A579" t="str">
            <v>15935CELIA MARIA NOVAES GAZETA</v>
          </cell>
          <cell r="B579">
            <v>15935</v>
          </cell>
          <cell r="C579" t="str">
            <v>CELIA MARIA NOVAES GAZETA</v>
          </cell>
          <cell r="D579" t="str">
            <v>OPERAÇÃO TRANSPORTES</v>
          </cell>
        </row>
        <row r="580">
          <cell r="A580" t="str">
            <v>16915CELIO LAZARO</v>
          </cell>
          <cell r="B580">
            <v>16915</v>
          </cell>
          <cell r="C580" t="str">
            <v>CELIO LAZARO</v>
          </cell>
          <cell r="D580" t="str">
            <v>OPERAÇÃO TRANSPORTES</v>
          </cell>
        </row>
        <row r="581">
          <cell r="A581" t="str">
            <v>31702CELSO CANDIDO DA SILVA JUNIOR</v>
          </cell>
          <cell r="B581">
            <v>31702</v>
          </cell>
          <cell r="C581" t="str">
            <v>CELSO CANDIDO DA SILVA JUNIOR</v>
          </cell>
          <cell r="D581" t="str">
            <v>OPERAÇÃO TRANSPORTES</v>
          </cell>
        </row>
        <row r="582">
          <cell r="A582" t="str">
            <v>15786CELSOLINO FRANCISCO DA SILVA</v>
          </cell>
          <cell r="B582">
            <v>15786</v>
          </cell>
          <cell r="C582" t="str">
            <v>CELSOLINO FRANCISCO DA SILVA</v>
          </cell>
          <cell r="D582" t="str">
            <v>OPERAÇÃO TRANSPORTES</v>
          </cell>
        </row>
        <row r="583">
          <cell r="A583" t="str">
            <v>31694CESAR AUGUSTO ZANOTIN</v>
          </cell>
          <cell r="B583">
            <v>31694</v>
          </cell>
          <cell r="C583" t="str">
            <v>CESAR AUGUSTO ZANOTIN</v>
          </cell>
          <cell r="D583" t="str">
            <v>OPERAÇÃO TRANSPORTES</v>
          </cell>
        </row>
        <row r="584">
          <cell r="A584" t="str">
            <v>31597CESAR HENRIQUE SILVA DE OLIVEIRA</v>
          </cell>
          <cell r="B584">
            <v>31597</v>
          </cell>
          <cell r="C584" t="str">
            <v>CESAR HENRIQUE SILVA DE OLIVEIRA</v>
          </cell>
          <cell r="D584" t="str">
            <v>GOVERNANÇA</v>
          </cell>
        </row>
        <row r="585">
          <cell r="A585" t="str">
            <v>31595CESAR JUNIO GOMES MAXIMIANO</v>
          </cell>
          <cell r="B585">
            <v>31595</v>
          </cell>
          <cell r="C585" t="str">
            <v>CESAR JUNIO GOMES MAXIMIANO</v>
          </cell>
          <cell r="D585" t="str">
            <v>OPERAÇÃO TRANSPORTES</v>
          </cell>
        </row>
        <row r="586">
          <cell r="A586" t="str">
            <v>31584CHRISTYAN ALEXANDRE PAZ</v>
          </cell>
          <cell r="B586">
            <v>31584</v>
          </cell>
          <cell r="C586" t="str">
            <v>CHRISTYAN ALEXANDRE PAZ</v>
          </cell>
          <cell r="D586" t="str">
            <v>OPERAÇÃO TRANSPORTES</v>
          </cell>
        </row>
        <row r="587">
          <cell r="A587" t="str">
            <v>31598CICERO GONCALVES DA COSTA</v>
          </cell>
          <cell r="B587">
            <v>31598</v>
          </cell>
          <cell r="C587" t="str">
            <v>CICERO GONCALVES DA COSTA</v>
          </cell>
          <cell r="D587" t="str">
            <v>SERVIÇOS</v>
          </cell>
        </row>
        <row r="588">
          <cell r="A588" t="str">
            <v>16019CICERO PEREIRA DA GAMA</v>
          </cell>
          <cell r="B588">
            <v>16019</v>
          </cell>
          <cell r="C588" t="str">
            <v>CICERO PEREIRA DA GAMA</v>
          </cell>
          <cell r="D588" t="str">
            <v>OPERAÇÃO TRANSPORTES</v>
          </cell>
        </row>
        <row r="589">
          <cell r="A589" t="str">
            <v>16267CLAUDEMIR SERVULO</v>
          </cell>
          <cell r="B589">
            <v>16267</v>
          </cell>
          <cell r="C589" t="str">
            <v>CLAUDEMIR SERVULO</v>
          </cell>
          <cell r="D589" t="str">
            <v>OPERAÇÃO TRANSPORTES</v>
          </cell>
        </row>
        <row r="590">
          <cell r="A590" t="str">
            <v>16583CLAUDINEI DONIZETE DOS SANTOS MARINHEIRO</v>
          </cell>
          <cell r="B590">
            <v>16583</v>
          </cell>
          <cell r="C590" t="str">
            <v>CLAUDINEI DONIZETE DOS SANTOS MARINHEIRO</v>
          </cell>
          <cell r="D590" t="str">
            <v>OPERAÇÃO TRANSPORTES</v>
          </cell>
        </row>
        <row r="591">
          <cell r="A591" t="str">
            <v>15758CLAUDINEI FERREIRA  CERQUEIRA</v>
          </cell>
          <cell r="B591">
            <v>15758</v>
          </cell>
          <cell r="C591" t="str">
            <v>CLAUDINEI FERREIRA  CERQUEIRA</v>
          </cell>
          <cell r="D591" t="str">
            <v>OPERAÇÃO TRANSPORTES</v>
          </cell>
        </row>
        <row r="592">
          <cell r="A592" t="str">
            <v>15887CLAUDINEI PEREIRA DE CAMARGO</v>
          </cell>
          <cell r="B592">
            <v>15887</v>
          </cell>
          <cell r="C592" t="str">
            <v>CLAUDINEI PEREIRA DE CAMARGO</v>
          </cell>
          <cell r="D592" t="str">
            <v>OPERAÇÃO TRANSPORTES</v>
          </cell>
        </row>
        <row r="593">
          <cell r="A593" t="str">
            <v>29368CLAUDIO DE AZEVEDO NASCIMENTO</v>
          </cell>
          <cell r="B593">
            <v>29368</v>
          </cell>
          <cell r="C593" t="str">
            <v>CLAUDIO DE AZEVEDO NASCIMENTO</v>
          </cell>
          <cell r="D593" t="str">
            <v>OPERAÇÃO TRANSPORTES</v>
          </cell>
        </row>
        <row r="594">
          <cell r="A594" t="str">
            <v>22654CLAUDIO TEIXEIRA MOREIRA</v>
          </cell>
          <cell r="B594">
            <v>22654</v>
          </cell>
          <cell r="C594" t="str">
            <v>CLAUDIO TEIXEIRA MOREIRA</v>
          </cell>
          <cell r="D594" t="str">
            <v>OPERAÇÃO TRANSPORTES</v>
          </cell>
        </row>
        <row r="595">
          <cell r="A595" t="str">
            <v>31047CLAUDIVAN GOMES DA SILVA</v>
          </cell>
          <cell r="B595">
            <v>31047</v>
          </cell>
          <cell r="C595" t="str">
            <v>CLAUDIVAN GOMES DA SILVA</v>
          </cell>
          <cell r="D595" t="str">
            <v>OPERAÇÃO TRANSPORTES</v>
          </cell>
        </row>
        <row r="596">
          <cell r="A596" t="str">
            <v>22346CLEBER AUGUSTO DO NASCIMENTO MARCOS</v>
          </cell>
          <cell r="B596">
            <v>22346</v>
          </cell>
          <cell r="C596" t="str">
            <v>CLEBER AUGUSTO DO NASCIMENTO MARCOS</v>
          </cell>
          <cell r="D596" t="str">
            <v>OPERAÇÃO TRANSPORTES</v>
          </cell>
        </row>
        <row r="597">
          <cell r="A597" t="str">
            <v>25342CLEIDSON BENFICA FERREIRA</v>
          </cell>
          <cell r="B597">
            <v>25342</v>
          </cell>
          <cell r="C597" t="str">
            <v>CLEIDSON BENFICA FERREIRA</v>
          </cell>
          <cell r="D597" t="str">
            <v>OPERAÇÃO TRANSPORTES</v>
          </cell>
        </row>
        <row r="598">
          <cell r="A598" t="str">
            <v>29952CLEITON ALVES SIQUEIRA</v>
          </cell>
          <cell r="B598">
            <v>29952</v>
          </cell>
          <cell r="C598" t="str">
            <v>CLEITON ALVES SIQUEIRA</v>
          </cell>
          <cell r="D598" t="str">
            <v>OPERAÇÃO TRANSPORTES</v>
          </cell>
        </row>
        <row r="599">
          <cell r="A599" t="str">
            <v>22778CLEITON CASSIO DA SILVA</v>
          </cell>
          <cell r="B599">
            <v>22778</v>
          </cell>
          <cell r="C599" t="str">
            <v>CLEITON CASSIO DA SILVA</v>
          </cell>
          <cell r="D599" t="str">
            <v>OPERAÇÃO TRANSPORTES</v>
          </cell>
        </row>
        <row r="600">
          <cell r="A600" t="str">
            <v>27957CLEITON ZEFERINO</v>
          </cell>
          <cell r="B600">
            <v>27957</v>
          </cell>
          <cell r="C600" t="str">
            <v>CLEITON ZEFERINO</v>
          </cell>
          <cell r="D600" t="str">
            <v>OPERAÇÃO TRANSPORTES</v>
          </cell>
        </row>
        <row r="601">
          <cell r="A601" t="str">
            <v>31162CLEUBER MORAIS DO AMARAL</v>
          </cell>
          <cell r="B601">
            <v>31162</v>
          </cell>
          <cell r="C601" t="str">
            <v>CLEUBER MORAIS DO AMARAL</v>
          </cell>
          <cell r="D601" t="str">
            <v>OPERAÇÃO TRANSPORTES</v>
          </cell>
        </row>
        <row r="602">
          <cell r="A602" t="str">
            <v>22513CLEYTON TOME DA SILVA</v>
          </cell>
          <cell r="B602">
            <v>22513</v>
          </cell>
          <cell r="C602" t="str">
            <v>CLEYTON TOME DA SILVA</v>
          </cell>
          <cell r="D602" t="str">
            <v>TECNOLOGIA DA INFORMAÇÃO</v>
          </cell>
        </row>
        <row r="603">
          <cell r="A603" t="str">
            <v>31009CRISLAINE BARBOSA DE JESUS</v>
          </cell>
          <cell r="B603">
            <v>31009</v>
          </cell>
          <cell r="C603" t="str">
            <v>CRISLAINE BARBOSA DE JESUS</v>
          </cell>
          <cell r="D603" t="str">
            <v>OPERAÇÃO TRANSPORTES</v>
          </cell>
        </row>
        <row r="604">
          <cell r="A604" t="str">
            <v>16999CRISTIAN DENISE PASSARELI GARCIA</v>
          </cell>
          <cell r="B604">
            <v>16999</v>
          </cell>
          <cell r="C604" t="str">
            <v>CRISTIAN DENISE PASSARELI GARCIA</v>
          </cell>
          <cell r="D604" t="str">
            <v>PRESIDENCIA</v>
          </cell>
        </row>
        <row r="605">
          <cell r="A605" t="str">
            <v>16696CRISTIANO PUTINI RAMOS FAVORETO</v>
          </cell>
          <cell r="B605">
            <v>16696</v>
          </cell>
          <cell r="C605" t="str">
            <v>CRISTIANO PUTINI RAMOS FAVORETO</v>
          </cell>
          <cell r="D605" t="str">
            <v>OPERAÇÃO TRANSPORTES</v>
          </cell>
        </row>
        <row r="606">
          <cell r="A606" t="str">
            <v>23919DAIANE KIMBERLY TOMAZ</v>
          </cell>
          <cell r="B606">
            <v>23919</v>
          </cell>
          <cell r="C606" t="str">
            <v>DAIANE KIMBERLY TOMAZ</v>
          </cell>
          <cell r="D606" t="str">
            <v>GOVERNANÇA</v>
          </cell>
        </row>
        <row r="607">
          <cell r="A607" t="str">
            <v>30526DANIEL CELIO DA SILVA RODRIGUES</v>
          </cell>
          <cell r="B607">
            <v>30526</v>
          </cell>
          <cell r="C607" t="str">
            <v>DANIEL CELIO DA SILVA RODRIGUES</v>
          </cell>
          <cell r="D607" t="str">
            <v>OPERAÇÃO TRANSPORTES</v>
          </cell>
        </row>
        <row r="608">
          <cell r="A608" t="str">
            <v>25232DANIEL JORDAN OLIVEIRA FERREIRA</v>
          </cell>
          <cell r="B608">
            <v>25232</v>
          </cell>
          <cell r="C608" t="str">
            <v>DANIEL JORDAN OLIVEIRA FERREIRA</v>
          </cell>
          <cell r="D608" t="str">
            <v>OPERAÇÃO TRANSPORTES</v>
          </cell>
        </row>
        <row r="609">
          <cell r="A609" t="str">
            <v>31500DANIEL MIRANDA ROSSATTI</v>
          </cell>
          <cell r="B609">
            <v>31500</v>
          </cell>
          <cell r="C609" t="str">
            <v>DANIEL MIRANDA ROSSATTI</v>
          </cell>
          <cell r="D609" t="str">
            <v>OPERAÇÃO TRANSPORTES</v>
          </cell>
        </row>
        <row r="610">
          <cell r="A610" t="str">
            <v>29180DANIELA DA SILVA DE ALMEIDA</v>
          </cell>
          <cell r="B610">
            <v>29180</v>
          </cell>
          <cell r="C610" t="str">
            <v>DANIELA DA SILVA DE ALMEIDA</v>
          </cell>
          <cell r="D610" t="str">
            <v>OPERAÇÃO TRANSPORTES</v>
          </cell>
        </row>
        <row r="611">
          <cell r="A611" t="str">
            <v>28745DANIELLE DA SILVA ESCALEIRA</v>
          </cell>
          <cell r="B611">
            <v>28745</v>
          </cell>
          <cell r="C611" t="str">
            <v>DANIELLE DA SILVA ESCALEIRA</v>
          </cell>
          <cell r="D611" t="str">
            <v>QUALIDADE</v>
          </cell>
        </row>
        <row r="612">
          <cell r="A612" t="str">
            <v>13780DANILO BRANDAO PRATES CASTELO BRANCO</v>
          </cell>
          <cell r="B612">
            <v>13780</v>
          </cell>
          <cell r="C612" t="str">
            <v>DANILO BRANDAO PRATES CASTELO BRANCO</v>
          </cell>
          <cell r="D612" t="str">
            <v>OPERAÇÃO TRANSPORTES</v>
          </cell>
        </row>
        <row r="613">
          <cell r="A613" t="str">
            <v>22640DAVID RICARD SOUSA CAMPOS</v>
          </cell>
          <cell r="B613">
            <v>22640</v>
          </cell>
          <cell r="C613" t="str">
            <v>DAVID RICARD SOUSA CAMPOS</v>
          </cell>
          <cell r="D613" t="str">
            <v>OPERAÇÃO TRANSPORTES</v>
          </cell>
        </row>
        <row r="614">
          <cell r="A614" t="str">
            <v>29140DAYSE BISPO DE OLIVEIRA</v>
          </cell>
          <cell r="B614">
            <v>29140</v>
          </cell>
          <cell r="C614" t="str">
            <v>DAYSE BISPO DE OLIVEIRA</v>
          </cell>
          <cell r="D614" t="str">
            <v>OPERAÇÃO TRANSPORTES</v>
          </cell>
        </row>
        <row r="615">
          <cell r="A615" t="str">
            <v>30049DAYWISON DAS CHAGAS SILVA</v>
          </cell>
          <cell r="B615">
            <v>30049</v>
          </cell>
          <cell r="C615" t="str">
            <v>DAYWISON DAS CHAGAS SILVA</v>
          </cell>
          <cell r="D615" t="str">
            <v>OPERAÇÃO TRANSPORTES</v>
          </cell>
        </row>
        <row r="616">
          <cell r="A616" t="str">
            <v>31105DEBORA RODRIGUES LIMA</v>
          </cell>
          <cell r="B616">
            <v>31105</v>
          </cell>
          <cell r="C616" t="str">
            <v>DEBORA RODRIGUES LIMA</v>
          </cell>
          <cell r="D616" t="str">
            <v>OPERAÇÃO TRANSPORTES</v>
          </cell>
        </row>
        <row r="617">
          <cell r="A617" t="str">
            <v>16144DEBORA SILVA DE FRANCA ABREU</v>
          </cell>
          <cell r="B617">
            <v>16144</v>
          </cell>
          <cell r="C617" t="str">
            <v>DEBORA SILVA DE FRANCA ABREU</v>
          </cell>
          <cell r="D617" t="str">
            <v>QUALIDADE</v>
          </cell>
        </row>
        <row r="618">
          <cell r="A618" t="str">
            <v>28684DENISON DE FRANCA SANTOS</v>
          </cell>
          <cell r="B618">
            <v>28684</v>
          </cell>
          <cell r="C618" t="str">
            <v>DENISON DE FRANCA SANTOS</v>
          </cell>
          <cell r="D618" t="str">
            <v>SERVIÇOS</v>
          </cell>
        </row>
        <row r="619">
          <cell r="A619" t="str">
            <v>22146DENIZE PRAXEDES FIGUEIREDO FERREIRA</v>
          </cell>
          <cell r="B619">
            <v>22146</v>
          </cell>
          <cell r="C619" t="str">
            <v>DENIZE PRAXEDES FIGUEIREDO FERREIRA</v>
          </cell>
          <cell r="D619" t="str">
            <v>OPERAÇÃO TRANSPORTES</v>
          </cell>
        </row>
        <row r="620">
          <cell r="A620" t="str">
            <v>26449DIEGO BRITO DOS SANTOS</v>
          </cell>
          <cell r="B620">
            <v>26449</v>
          </cell>
          <cell r="C620" t="str">
            <v>DIEGO BRITO DOS SANTOS</v>
          </cell>
          <cell r="D620" t="str">
            <v>OPERAÇÃO TRANSPORTES</v>
          </cell>
        </row>
        <row r="621">
          <cell r="A621" t="str">
            <v>21596DIEGO DE OLIVEIRA SILVA</v>
          </cell>
          <cell r="B621">
            <v>21596</v>
          </cell>
          <cell r="C621" t="str">
            <v>DIEGO DE OLIVEIRA SILVA</v>
          </cell>
          <cell r="D621" t="str">
            <v>GOVERNANÇA</v>
          </cell>
        </row>
        <row r="622">
          <cell r="A622" t="str">
            <v>24855DIEGO FARIA MENDONCA DE SOUZA</v>
          </cell>
          <cell r="B622">
            <v>24855</v>
          </cell>
          <cell r="C622" t="str">
            <v>DIEGO FARIA MENDONCA DE SOUZA</v>
          </cell>
          <cell r="D622" t="str">
            <v>OPERAÇÃO TRANSPORTES</v>
          </cell>
        </row>
        <row r="623">
          <cell r="A623" t="str">
            <v>14344DIEGO JESUS XAVIER BARBOSA</v>
          </cell>
          <cell r="B623">
            <v>14344</v>
          </cell>
          <cell r="C623" t="str">
            <v>DIEGO JESUS XAVIER BARBOSA</v>
          </cell>
          <cell r="D623" t="str">
            <v>OPERAÇÃO TRANSPORTES</v>
          </cell>
        </row>
        <row r="624">
          <cell r="A624" t="str">
            <v>31664DIOGO RODRIGUES SANTOS</v>
          </cell>
          <cell r="B624">
            <v>31664</v>
          </cell>
          <cell r="C624" t="str">
            <v>DIOGO RODRIGUES SANTOS</v>
          </cell>
          <cell r="D624" t="str">
            <v>OPERAÇÃO TRANSPORTES</v>
          </cell>
        </row>
        <row r="625">
          <cell r="A625" t="str">
            <v>31665DIOGO SANTIAGO DE ARAUJO</v>
          </cell>
          <cell r="B625">
            <v>31665</v>
          </cell>
          <cell r="C625" t="str">
            <v>DIOGO SANTIAGO DE ARAUJO</v>
          </cell>
          <cell r="D625" t="str">
            <v>OPERAÇÃO TRANSPORTES</v>
          </cell>
        </row>
        <row r="626">
          <cell r="A626" t="str">
            <v>26784DIVINO CORDEIRO DE TOLEDO</v>
          </cell>
          <cell r="B626">
            <v>26784</v>
          </cell>
          <cell r="C626" t="str">
            <v>DIVINO CORDEIRO DE TOLEDO</v>
          </cell>
          <cell r="D626" t="str">
            <v>OPERAÇÃO TRANSPORTES</v>
          </cell>
        </row>
        <row r="627">
          <cell r="A627" t="str">
            <v>15785DIVINO PINTO PEREIRA</v>
          </cell>
          <cell r="B627">
            <v>15785</v>
          </cell>
          <cell r="C627" t="str">
            <v>DIVINO PINTO PEREIRA</v>
          </cell>
          <cell r="D627" t="str">
            <v>OPERAÇÃO TRANSPORTES</v>
          </cell>
        </row>
        <row r="628">
          <cell r="A628" t="str">
            <v>31705DOUGLAS LUCINO DE SOUZA</v>
          </cell>
          <cell r="B628">
            <v>31705</v>
          </cell>
          <cell r="C628" t="str">
            <v>DOUGLAS LUCINO DE SOUZA</v>
          </cell>
          <cell r="D628" t="str">
            <v>OPERAÇÃO TRANSPORTES</v>
          </cell>
        </row>
        <row r="629">
          <cell r="A629" t="str">
            <v>31632EDESIO FERREIRA PRATES SILVA</v>
          </cell>
          <cell r="B629">
            <v>31632</v>
          </cell>
          <cell r="C629" t="str">
            <v>EDESIO FERREIRA PRATES SILVA</v>
          </cell>
          <cell r="D629" t="str">
            <v>OPERAÇÃO TRANSPORTES</v>
          </cell>
        </row>
        <row r="630">
          <cell r="A630" t="str">
            <v>24027EDGAR JOSE DOS SANTOS</v>
          </cell>
          <cell r="B630">
            <v>24027</v>
          </cell>
          <cell r="C630" t="str">
            <v>EDGAR JOSE DOS SANTOS</v>
          </cell>
          <cell r="D630" t="str">
            <v>OPERAÇÃO TRANSPORTES</v>
          </cell>
        </row>
        <row r="631">
          <cell r="A631" t="str">
            <v>25872EDICARLOS ALVES DE SA</v>
          </cell>
          <cell r="B631">
            <v>25872</v>
          </cell>
          <cell r="C631" t="str">
            <v>EDICARLOS ALVES DE SA</v>
          </cell>
          <cell r="D631" t="str">
            <v>OPERAÇÃO TRANSPORTES</v>
          </cell>
        </row>
        <row r="632">
          <cell r="A632" t="str">
            <v>22509EDISON CANDIDO DA SILVA</v>
          </cell>
          <cell r="B632">
            <v>22509</v>
          </cell>
          <cell r="C632" t="str">
            <v>EDISON CANDIDO DA SILVA</v>
          </cell>
          <cell r="D632" t="str">
            <v>OPERAÇÃO TRANSPORTES</v>
          </cell>
        </row>
        <row r="633">
          <cell r="A633" t="str">
            <v>30577EDMILSON DA COSTA SANTOS</v>
          </cell>
          <cell r="B633">
            <v>30577</v>
          </cell>
          <cell r="C633" t="str">
            <v>EDMILSON DA COSTA SANTOS</v>
          </cell>
          <cell r="D633" t="str">
            <v>SERVIÇOS</v>
          </cell>
        </row>
        <row r="634">
          <cell r="A634" t="str">
            <v>15886EDMILSON GOMES TORRES</v>
          </cell>
          <cell r="B634">
            <v>15886</v>
          </cell>
          <cell r="C634" t="str">
            <v>EDMILSON GOMES TORRES</v>
          </cell>
          <cell r="D634" t="str">
            <v>OPERAÇÃO TRANSPORTES</v>
          </cell>
        </row>
        <row r="635">
          <cell r="A635" t="str">
            <v>28342EDMILSON JOSE PIRES</v>
          </cell>
          <cell r="B635">
            <v>28342</v>
          </cell>
          <cell r="C635" t="str">
            <v>EDMILSON JOSE PIRES</v>
          </cell>
          <cell r="D635" t="str">
            <v>OPERAÇÃO TRANSPORTES</v>
          </cell>
        </row>
        <row r="636">
          <cell r="A636" t="str">
            <v>31703EDMILSON PAULO DOS SANTOS</v>
          </cell>
          <cell r="B636">
            <v>31703</v>
          </cell>
          <cell r="C636" t="str">
            <v>EDMILSON PAULO DOS SANTOS</v>
          </cell>
          <cell r="D636" t="str">
            <v>OPERAÇÃO TRANSPORTES</v>
          </cell>
        </row>
        <row r="637">
          <cell r="A637" t="str">
            <v>31672EDMILSON SANTOS DA SILVA</v>
          </cell>
          <cell r="B637">
            <v>31672</v>
          </cell>
          <cell r="C637" t="str">
            <v>EDMILSON SANTOS DA SILVA</v>
          </cell>
          <cell r="D637" t="str">
            <v>OPERAÇÃO TRANSPORTES</v>
          </cell>
        </row>
        <row r="638">
          <cell r="A638" t="str">
            <v>15787EDMILTON PEREIRA BARROS</v>
          </cell>
          <cell r="B638">
            <v>15787</v>
          </cell>
          <cell r="C638" t="str">
            <v>EDMILTON PEREIRA BARROS</v>
          </cell>
          <cell r="D638" t="str">
            <v>OPERAÇÃO TRANSPORTES</v>
          </cell>
        </row>
        <row r="639">
          <cell r="A639" t="str">
            <v>27312EDNA DE PAULA LEITE</v>
          </cell>
          <cell r="B639">
            <v>27312</v>
          </cell>
          <cell r="C639" t="str">
            <v>EDNA DE PAULA LEITE</v>
          </cell>
          <cell r="D639" t="str">
            <v>OPERAÇÃO TRANSPORTES</v>
          </cell>
        </row>
        <row r="640">
          <cell r="A640" t="str">
            <v>16192EDSON ANTONIO DE OLIVEIRA</v>
          </cell>
          <cell r="B640">
            <v>16192</v>
          </cell>
          <cell r="C640" t="str">
            <v>EDSON ANTONIO DE OLIVEIRA</v>
          </cell>
          <cell r="D640" t="str">
            <v>OPERAÇÃO TRANSPORTES</v>
          </cell>
        </row>
        <row r="641">
          <cell r="A641" t="str">
            <v>16540EDSON ANTONIO MUNHOZ</v>
          </cell>
          <cell r="B641">
            <v>16540</v>
          </cell>
          <cell r="C641" t="str">
            <v>EDSON ANTONIO MUNHOZ</v>
          </cell>
          <cell r="D641" t="str">
            <v>OPERAÇÃO TRANSPORTES</v>
          </cell>
        </row>
        <row r="642">
          <cell r="A642" t="str">
            <v>30375EDSON APARECIDO SALES DA COSTA</v>
          </cell>
          <cell r="B642">
            <v>30375</v>
          </cell>
          <cell r="C642" t="str">
            <v>EDSON APARECIDO SALES DA COSTA</v>
          </cell>
          <cell r="D642" t="str">
            <v>OPERAÇÃO TRANSPORTES</v>
          </cell>
        </row>
        <row r="643">
          <cell r="A643" t="str">
            <v>17066EDSON FONSECA DO NASCIMENTO</v>
          </cell>
          <cell r="B643">
            <v>17066</v>
          </cell>
          <cell r="C643" t="str">
            <v>EDSON FONSECA DO NASCIMENTO</v>
          </cell>
          <cell r="D643" t="str">
            <v>OPERAÇÃO TRANSPORTES</v>
          </cell>
        </row>
        <row r="644">
          <cell r="A644" t="str">
            <v>31575EDSON INACIO PEREIRA</v>
          </cell>
          <cell r="B644">
            <v>31575</v>
          </cell>
          <cell r="C644" t="str">
            <v>EDSON INACIO PEREIRA</v>
          </cell>
          <cell r="D644" t="str">
            <v>OPERAÇÃO TRANSPORTES</v>
          </cell>
        </row>
        <row r="645">
          <cell r="A645" t="str">
            <v>13894EDSON LUIZ DA SILVA SOUZA</v>
          </cell>
          <cell r="B645">
            <v>13894</v>
          </cell>
          <cell r="C645" t="str">
            <v>EDSON LUIZ DA SILVA SOUZA</v>
          </cell>
          <cell r="D645" t="str">
            <v>OPERAÇÃO TRANSPORTES</v>
          </cell>
        </row>
        <row r="646">
          <cell r="A646" t="str">
            <v>15788EDSON PEREIRA MADRUGA</v>
          </cell>
          <cell r="B646">
            <v>15788</v>
          </cell>
          <cell r="C646" t="str">
            <v>EDSON PEREIRA MADRUGA</v>
          </cell>
          <cell r="D646" t="str">
            <v>OPERAÇÃO TRANSPORTES</v>
          </cell>
        </row>
        <row r="647">
          <cell r="A647" t="str">
            <v>31661EDUARDO DOS SANTOS BAUMGARTEN</v>
          </cell>
          <cell r="B647">
            <v>31661</v>
          </cell>
          <cell r="C647" t="str">
            <v>EDUARDO DOS SANTOS BAUMGARTEN</v>
          </cell>
          <cell r="D647" t="str">
            <v>OPERAÇÃO TRANSPORTES</v>
          </cell>
        </row>
        <row r="648">
          <cell r="A648" t="str">
            <v>28687EDUARDO JOSE LEITE</v>
          </cell>
          <cell r="B648">
            <v>28687</v>
          </cell>
          <cell r="C648" t="str">
            <v>EDUARDO JOSE LEITE</v>
          </cell>
          <cell r="D648" t="str">
            <v>OPERAÇÃO TRANSPORTES</v>
          </cell>
        </row>
        <row r="649">
          <cell r="A649" t="str">
            <v>31104EDUARDO MARCIO DA SILVA LEMOS</v>
          </cell>
          <cell r="B649">
            <v>31104</v>
          </cell>
          <cell r="C649" t="str">
            <v>EDUARDO MARCIO DA SILVA LEMOS</v>
          </cell>
          <cell r="D649" t="str">
            <v>OPERAÇÃO TRANSPORTES</v>
          </cell>
        </row>
        <row r="650">
          <cell r="A650" t="str">
            <v>31354ELAINE DA SILVA COSTA RIMAS</v>
          </cell>
          <cell r="B650">
            <v>31354</v>
          </cell>
          <cell r="C650" t="str">
            <v>ELAINE DA SILVA COSTA RIMAS</v>
          </cell>
          <cell r="D650" t="str">
            <v>OPERAÇÃO TRANSPORTES</v>
          </cell>
        </row>
        <row r="651">
          <cell r="A651" t="str">
            <v>16398ELIANE CRISTINA DOS SANTOS LOPES</v>
          </cell>
          <cell r="B651">
            <v>16398</v>
          </cell>
          <cell r="C651" t="str">
            <v>ELIANE CRISTINA DOS SANTOS LOPES</v>
          </cell>
          <cell r="D651" t="str">
            <v>OPERAÇÃO TRANSPORTES</v>
          </cell>
        </row>
        <row r="652">
          <cell r="A652" t="str">
            <v>22200ELIAS GOMES PEREIRA</v>
          </cell>
          <cell r="B652">
            <v>22200</v>
          </cell>
          <cell r="C652" t="str">
            <v>ELIAS GOMES PEREIRA</v>
          </cell>
          <cell r="D652" t="str">
            <v>OPERAÇÃO TRANSPORTES</v>
          </cell>
        </row>
        <row r="653">
          <cell r="A653" t="str">
            <v>25356ELIAS MANOEL DA SILVA</v>
          </cell>
          <cell r="B653">
            <v>25356</v>
          </cell>
          <cell r="C653" t="str">
            <v>ELIAS MANOEL DA SILVA</v>
          </cell>
          <cell r="D653" t="str">
            <v>OPERAÇÃO TRANSPORTES</v>
          </cell>
        </row>
        <row r="654">
          <cell r="A654" t="str">
            <v>25346ELIASIBE ROSA DE LIMA</v>
          </cell>
          <cell r="B654">
            <v>25346</v>
          </cell>
          <cell r="C654" t="str">
            <v>ELIASIBE ROSA DE LIMA</v>
          </cell>
          <cell r="D654" t="str">
            <v>OPERAÇÃO TRANSPORTES</v>
          </cell>
        </row>
        <row r="655">
          <cell r="A655" t="str">
            <v>21514ELIEL DE MELO SOUZA</v>
          </cell>
          <cell r="B655">
            <v>21514</v>
          </cell>
          <cell r="C655" t="str">
            <v>ELIEL DE MELO SOUZA</v>
          </cell>
          <cell r="D655" t="str">
            <v>GOVERNANÇA</v>
          </cell>
        </row>
        <row r="656">
          <cell r="A656" t="str">
            <v>26248ELIEZER DE SOUZA GONCALVES</v>
          </cell>
          <cell r="B656">
            <v>26248</v>
          </cell>
          <cell r="C656" t="str">
            <v>ELIEZER DE SOUZA GONCALVES</v>
          </cell>
          <cell r="D656" t="str">
            <v>OPERAÇÃO TRANSPORTES</v>
          </cell>
        </row>
        <row r="657">
          <cell r="A657" t="str">
            <v>14050ELISEU DOS SANTOS SILVEIRA</v>
          </cell>
          <cell r="B657">
            <v>14050</v>
          </cell>
          <cell r="C657" t="str">
            <v>ELISEU DOS SANTOS SILVEIRA</v>
          </cell>
          <cell r="D657" t="str">
            <v>OPERAÇÃO TRANSPORTES</v>
          </cell>
        </row>
        <row r="658">
          <cell r="A658" t="str">
            <v>23345ELLEN DIAS DOS SANTOS</v>
          </cell>
          <cell r="B658">
            <v>23345</v>
          </cell>
          <cell r="C658" t="str">
            <v>ELLEN DIAS DOS SANTOS</v>
          </cell>
          <cell r="D658" t="str">
            <v>OPERAÇÃO TRANSPORTES</v>
          </cell>
        </row>
        <row r="659">
          <cell r="A659" t="str">
            <v>28193ELOI PEREIRA SOARES</v>
          </cell>
          <cell r="B659">
            <v>28193</v>
          </cell>
          <cell r="C659" t="str">
            <v>ELOI PEREIRA SOARES</v>
          </cell>
          <cell r="D659" t="str">
            <v>OPERAÇÃO TRANSPORTES</v>
          </cell>
        </row>
        <row r="660">
          <cell r="A660" t="str">
            <v>29351ELTON RODRIGUES</v>
          </cell>
          <cell r="B660">
            <v>29351</v>
          </cell>
          <cell r="C660" t="str">
            <v>ELTON RODRIGUES</v>
          </cell>
          <cell r="D660" t="str">
            <v>OPERAÇÃO TRANSPORTES</v>
          </cell>
        </row>
        <row r="661">
          <cell r="A661" t="str">
            <v>23577EMERSON MARQUES DOS SANTOS</v>
          </cell>
          <cell r="B661">
            <v>23577</v>
          </cell>
          <cell r="C661" t="str">
            <v>EMERSON MARQUES DOS SANTOS</v>
          </cell>
          <cell r="D661" t="str">
            <v>OPERAÇÃO TRANSPORTES</v>
          </cell>
        </row>
        <row r="662">
          <cell r="A662" t="str">
            <v>16058EMERSON OLIVEIRA DE LIMA</v>
          </cell>
          <cell r="B662">
            <v>16058</v>
          </cell>
          <cell r="C662" t="str">
            <v>EMERSON OLIVEIRA DE LIMA</v>
          </cell>
          <cell r="D662" t="str">
            <v>OPERAÇÃO TRANSPORTES</v>
          </cell>
        </row>
        <row r="663">
          <cell r="A663" t="str">
            <v>31602EMERSON SANTOS SILVA</v>
          </cell>
          <cell r="B663">
            <v>31602</v>
          </cell>
          <cell r="C663" t="str">
            <v>EMERSON SANTOS SILVA</v>
          </cell>
          <cell r="D663" t="str">
            <v>OPERAÇÃO TRANSPORTES</v>
          </cell>
        </row>
        <row r="664">
          <cell r="A664" t="str">
            <v>31334EMILLE KAROLINE SERRA TEIXEIRA</v>
          </cell>
          <cell r="B664">
            <v>31334</v>
          </cell>
          <cell r="C664" t="str">
            <v>EMILLE KAROLINE SERRA TEIXEIRA</v>
          </cell>
          <cell r="D664" t="str">
            <v>OPERAÇÃO TRANSPORTES</v>
          </cell>
        </row>
        <row r="665">
          <cell r="A665" t="str">
            <v>31568EMILLY KETLEN ARAUJO NASCIMENTO</v>
          </cell>
          <cell r="B665">
            <v>31568</v>
          </cell>
          <cell r="C665" t="str">
            <v>EMILLY KETLEN ARAUJO NASCIMENTO</v>
          </cell>
          <cell r="D665" t="str">
            <v>OPERAÇÃO TRANSPORTES</v>
          </cell>
        </row>
        <row r="666">
          <cell r="A666" t="str">
            <v>31678EMILLY SANTANA SANTOS</v>
          </cell>
          <cell r="B666">
            <v>31678</v>
          </cell>
          <cell r="C666" t="str">
            <v>EMILLY SANTANA SANTOS</v>
          </cell>
          <cell r="D666" t="str">
            <v>PRESIDENCIA</v>
          </cell>
        </row>
        <row r="667">
          <cell r="A667" t="str">
            <v>27029EMIRANDE GOMES DOS SANTOS</v>
          </cell>
          <cell r="B667">
            <v>27029</v>
          </cell>
          <cell r="C667" t="str">
            <v>EMIRANDE GOMES DOS SANTOS</v>
          </cell>
          <cell r="D667" t="str">
            <v>OPERAÇÃO TRANSPORTES</v>
          </cell>
        </row>
        <row r="668">
          <cell r="A668" t="str">
            <v>31574ERALDO JOSE DA SILVA</v>
          </cell>
          <cell r="B668">
            <v>31574</v>
          </cell>
          <cell r="C668" t="str">
            <v>ERALDO JOSE DA SILVA</v>
          </cell>
          <cell r="D668" t="str">
            <v>OPERAÇÃO TRANSPORTES</v>
          </cell>
        </row>
        <row r="669">
          <cell r="A669" t="str">
            <v>31191ERIBERTO SOARES PINHEIRO</v>
          </cell>
          <cell r="B669">
            <v>31191</v>
          </cell>
          <cell r="C669" t="str">
            <v>ERIBERTO SOARES PINHEIRO</v>
          </cell>
          <cell r="D669" t="str">
            <v>OPERAÇÃO TRANSPORTES</v>
          </cell>
        </row>
        <row r="670">
          <cell r="A670" t="str">
            <v>22703ERIKA BARRADA MONTE</v>
          </cell>
          <cell r="B670">
            <v>22703</v>
          </cell>
          <cell r="C670" t="str">
            <v>ERIKA BARRADA MONTE</v>
          </cell>
          <cell r="D670" t="str">
            <v>OPERAÇÃO TRANSPORTES</v>
          </cell>
        </row>
        <row r="671">
          <cell r="A671" t="str">
            <v>31599ERINALDO ELIAS DA SILVA</v>
          </cell>
          <cell r="B671">
            <v>31599</v>
          </cell>
          <cell r="C671" t="str">
            <v>ERINALDO ELIAS DA SILVA</v>
          </cell>
          <cell r="D671" t="str">
            <v>SERVIÇOS</v>
          </cell>
        </row>
        <row r="672">
          <cell r="A672" t="str">
            <v>31581ERIQUE FLORENCIO DE JESUS</v>
          </cell>
          <cell r="B672">
            <v>31581</v>
          </cell>
          <cell r="C672" t="str">
            <v>ERIQUE FLORENCIO DE JESUS</v>
          </cell>
          <cell r="D672" t="str">
            <v>OPERAÇÃO TRANSPORTES</v>
          </cell>
        </row>
        <row r="673">
          <cell r="A673" t="str">
            <v>25778ERLY RAFAELLE FERREIRA ROCHA</v>
          </cell>
          <cell r="B673">
            <v>25778</v>
          </cell>
          <cell r="C673" t="str">
            <v>ERLY RAFAELLE FERREIRA ROCHA</v>
          </cell>
          <cell r="D673" t="str">
            <v>SERVIÇOS</v>
          </cell>
        </row>
        <row r="674">
          <cell r="A674" t="str">
            <v>30842ESDRAS ALVARO DA SILVA</v>
          </cell>
          <cell r="B674">
            <v>30842</v>
          </cell>
          <cell r="C674" t="str">
            <v>ESDRAS ALVARO DA SILVA</v>
          </cell>
          <cell r="D674" t="str">
            <v>OPERAÇÃO TRANSPORTES</v>
          </cell>
        </row>
        <row r="675">
          <cell r="A675" t="str">
            <v>26059EUDES DOS SANTOS MARREIROS</v>
          </cell>
          <cell r="B675">
            <v>26059</v>
          </cell>
          <cell r="C675" t="str">
            <v>EUDES DOS SANTOS MARREIROS</v>
          </cell>
          <cell r="D675" t="str">
            <v>OPERAÇÃO TRANSPORTES</v>
          </cell>
        </row>
        <row r="676">
          <cell r="A676" t="str">
            <v>30578EUGERFFERSON MACIEL OLIVEIRA</v>
          </cell>
          <cell r="B676">
            <v>30578</v>
          </cell>
          <cell r="C676" t="str">
            <v>EUGERFFERSON MACIEL OLIVEIRA</v>
          </cell>
          <cell r="D676" t="str">
            <v>OPERAÇÃO TRANSPORTES</v>
          </cell>
        </row>
        <row r="677">
          <cell r="A677" t="str">
            <v>29348EVANDRO DE BARROS SILVA</v>
          </cell>
          <cell r="B677">
            <v>29348</v>
          </cell>
          <cell r="C677" t="str">
            <v>EVANDRO DE BARROS SILVA</v>
          </cell>
          <cell r="D677" t="str">
            <v>OPERAÇÃO TRANSPORTES</v>
          </cell>
        </row>
        <row r="678">
          <cell r="A678" t="str">
            <v>16779EVANDRO SANTOS GOMES</v>
          </cell>
          <cell r="B678">
            <v>16779</v>
          </cell>
          <cell r="C678" t="str">
            <v>EVANDRO SANTOS GOMES</v>
          </cell>
          <cell r="D678" t="str">
            <v>OPERAÇÃO TRANSPORTES</v>
          </cell>
        </row>
        <row r="679">
          <cell r="A679" t="str">
            <v>16953EVERALDO DIAS</v>
          </cell>
          <cell r="B679">
            <v>16953</v>
          </cell>
          <cell r="C679" t="str">
            <v>EVERALDO DIAS</v>
          </cell>
          <cell r="D679" t="str">
            <v>OPERAÇÃO TRANSPORTES</v>
          </cell>
        </row>
        <row r="680">
          <cell r="A680" t="str">
            <v>31617EVERTON ALESSANDRO FATTURI</v>
          </cell>
          <cell r="B680">
            <v>31617</v>
          </cell>
          <cell r="C680" t="str">
            <v>EVERTON ALESSANDRO FATTURI</v>
          </cell>
          <cell r="D680" t="str">
            <v>OPERAÇÃO TRANSPORTES</v>
          </cell>
        </row>
        <row r="681">
          <cell r="A681" t="str">
            <v>27689EVERTON CAETANO DE SOUSA</v>
          </cell>
          <cell r="B681">
            <v>27689</v>
          </cell>
          <cell r="C681" t="str">
            <v>EVERTON CAETANO DE SOUSA</v>
          </cell>
          <cell r="D681" t="str">
            <v>OPERAÇÃO TRANSPORTES</v>
          </cell>
        </row>
        <row r="682">
          <cell r="A682" t="str">
            <v>31496EVERTON PRAZERES DA SILVA</v>
          </cell>
          <cell r="B682">
            <v>31496</v>
          </cell>
          <cell r="C682" t="str">
            <v>EVERTON PRAZERES DA SILVA</v>
          </cell>
          <cell r="D682" t="str">
            <v>OPERAÇÃO TRANSPORTES</v>
          </cell>
        </row>
        <row r="683">
          <cell r="A683" t="str">
            <v>30959EVERTON SILVA DOS SANTOS</v>
          </cell>
          <cell r="B683">
            <v>30959</v>
          </cell>
          <cell r="C683" t="str">
            <v>EVERTON SILVA DOS SANTOS</v>
          </cell>
          <cell r="D683" t="str">
            <v>OPERAÇÃO TRANSPORTES</v>
          </cell>
        </row>
        <row r="684">
          <cell r="A684" t="str">
            <v>28298EVILANIA RODRIGUES ANDRADE</v>
          </cell>
          <cell r="B684">
            <v>28298</v>
          </cell>
          <cell r="C684" t="str">
            <v>EVILANIA RODRIGUES ANDRADE</v>
          </cell>
          <cell r="D684" t="str">
            <v>OPERAÇÃO TRANSPORTES</v>
          </cell>
        </row>
        <row r="685">
          <cell r="A685" t="str">
            <v>31499FABIANO SOUZA DA SILVA</v>
          </cell>
          <cell r="B685">
            <v>31499</v>
          </cell>
          <cell r="C685" t="str">
            <v>FABIANO SOUZA DA SILVA</v>
          </cell>
          <cell r="D685" t="str">
            <v>TECNOLOGIA DA INFORMAÇÃO</v>
          </cell>
        </row>
        <row r="686">
          <cell r="A686" t="str">
            <v>26740FABIANO TEODORO MOREIRA</v>
          </cell>
          <cell r="B686">
            <v>26740</v>
          </cell>
          <cell r="C686" t="str">
            <v>FABIANO TEODORO MOREIRA</v>
          </cell>
          <cell r="D686" t="str">
            <v>OPERAÇÃO TRANSPORTES</v>
          </cell>
        </row>
        <row r="687">
          <cell r="A687" t="str">
            <v>31682FABIO EDUARDO DE BORBA</v>
          </cell>
          <cell r="B687">
            <v>31682</v>
          </cell>
          <cell r="C687" t="str">
            <v>FABIO EDUARDO DE BORBA</v>
          </cell>
          <cell r="D687" t="str">
            <v>OPERAÇÃO TRANSPORTES</v>
          </cell>
        </row>
        <row r="688">
          <cell r="A688" t="str">
            <v>30056FABIO MASANO</v>
          </cell>
          <cell r="B688">
            <v>30056</v>
          </cell>
          <cell r="C688" t="str">
            <v>FABIO MASANO</v>
          </cell>
          <cell r="D688" t="str">
            <v>OPERAÇÃO TRANSPORTES</v>
          </cell>
        </row>
        <row r="689">
          <cell r="A689" t="str">
            <v>17090FABIO RIBEIRO DA SILVA</v>
          </cell>
          <cell r="B689">
            <v>17090</v>
          </cell>
          <cell r="C689" t="str">
            <v>FABIO RIBEIRO DA SILVA</v>
          </cell>
          <cell r="D689" t="str">
            <v>OPERAÇÃO TRANSPORTES</v>
          </cell>
        </row>
        <row r="690">
          <cell r="A690" t="str">
            <v>31601FABIO TEODORO DA COSTA</v>
          </cell>
          <cell r="B690">
            <v>31601</v>
          </cell>
          <cell r="C690" t="str">
            <v>FABIO TEODORO DA COSTA</v>
          </cell>
          <cell r="D690" t="str">
            <v>OPERAÇÃO TRANSPORTES</v>
          </cell>
        </row>
        <row r="691">
          <cell r="A691" t="str">
            <v>31640FABIOLA FELIPE NASCIMENTO</v>
          </cell>
          <cell r="B691">
            <v>31640</v>
          </cell>
          <cell r="C691" t="str">
            <v>FABIOLA FELIPE NASCIMENTO</v>
          </cell>
          <cell r="D691" t="str">
            <v>OPERAÇÃO TRANSPORTES</v>
          </cell>
        </row>
        <row r="692">
          <cell r="A692" t="str">
            <v>31689FABRICIO DE OLIVEIRA TERRES</v>
          </cell>
          <cell r="B692">
            <v>31689</v>
          </cell>
          <cell r="C692" t="str">
            <v>FABRICIO DE OLIVEIRA TERRES</v>
          </cell>
          <cell r="D692" t="str">
            <v>OPERAÇÃO TRANSPORTES</v>
          </cell>
        </row>
        <row r="693">
          <cell r="A693" t="str">
            <v>29210FAGNER AFONCO DE SOUZA</v>
          </cell>
          <cell r="B693">
            <v>29210</v>
          </cell>
          <cell r="C693" t="str">
            <v>FAGNER AFONCO DE SOUZA</v>
          </cell>
          <cell r="D693" t="str">
            <v>OPERAÇÃO TRANSPORTES</v>
          </cell>
        </row>
        <row r="694">
          <cell r="A694" t="str">
            <v>15825FATIMA REGINA GRAZIANO</v>
          </cell>
          <cell r="B694">
            <v>15825</v>
          </cell>
          <cell r="C694" t="str">
            <v>FATIMA REGINA GRAZIANO</v>
          </cell>
          <cell r="D694" t="str">
            <v>OPERAÇÃO TRANSPORTES</v>
          </cell>
        </row>
        <row r="695">
          <cell r="A695" t="str">
            <v>31585FELIPE FERREIRA DOS SANTOS</v>
          </cell>
          <cell r="B695">
            <v>31585</v>
          </cell>
          <cell r="C695" t="str">
            <v>FELIPE FERREIRA DOS SANTOS</v>
          </cell>
          <cell r="D695" t="str">
            <v>OPERAÇÃO TRANSPORTES</v>
          </cell>
        </row>
        <row r="696">
          <cell r="A696" t="str">
            <v>31690FELIPE MARQUES DOS SANTOS</v>
          </cell>
          <cell r="B696">
            <v>31690</v>
          </cell>
          <cell r="C696" t="str">
            <v>FELIPE MARQUES DOS SANTOS</v>
          </cell>
          <cell r="D696" t="str">
            <v>OPERAÇÃO TRANSPORTES</v>
          </cell>
        </row>
        <row r="697">
          <cell r="A697" t="str">
            <v>30645FELIPE MENDES SILVA</v>
          </cell>
          <cell r="B697">
            <v>30645</v>
          </cell>
          <cell r="C697" t="str">
            <v>FELIPE MENDES SILVA</v>
          </cell>
          <cell r="D697" t="str">
            <v>OPERAÇÃO TRANSPORTES</v>
          </cell>
        </row>
        <row r="698">
          <cell r="A698" t="str">
            <v>31187FELIPE MIRANDA RODRIGUES DE SOUZA</v>
          </cell>
          <cell r="B698">
            <v>31187</v>
          </cell>
          <cell r="C698" t="str">
            <v>FELIPE MIRANDA RODRIGUES DE SOUZA</v>
          </cell>
          <cell r="D698" t="str">
            <v>OPERAÇÃO TRANSPORTES</v>
          </cell>
        </row>
        <row r="699">
          <cell r="A699" t="str">
            <v>31532FELIPE OLIVEIRA DA CRUZ</v>
          </cell>
          <cell r="B699">
            <v>31532</v>
          </cell>
          <cell r="C699" t="str">
            <v>FELIPE OLIVEIRA DA CRUZ</v>
          </cell>
          <cell r="D699" t="str">
            <v>OPERAÇÃO TRANSPORTES</v>
          </cell>
        </row>
        <row r="700">
          <cell r="A700" t="str">
            <v>31659FELIPE TEIXEIRA DE SOUZA</v>
          </cell>
          <cell r="B700">
            <v>31659</v>
          </cell>
          <cell r="C700" t="str">
            <v>FELIPE TEIXEIRA DE SOUZA</v>
          </cell>
          <cell r="D700" t="str">
            <v>OPERAÇÃO TRANSPORTES</v>
          </cell>
        </row>
        <row r="701">
          <cell r="A701" t="str">
            <v>28337FELLIPE WILSON DA SILVA</v>
          </cell>
          <cell r="B701">
            <v>28337</v>
          </cell>
          <cell r="C701" t="str">
            <v>FELLIPE WILSON DA SILVA</v>
          </cell>
          <cell r="D701" t="str">
            <v>OPERAÇÃO TRANSPORTES</v>
          </cell>
        </row>
        <row r="702">
          <cell r="A702" t="str">
            <v>30841FERNANDA NASCIMENTO CUNHA</v>
          </cell>
          <cell r="B702">
            <v>30841</v>
          </cell>
          <cell r="C702" t="str">
            <v>FERNANDA NASCIMENTO CUNHA</v>
          </cell>
          <cell r="D702" t="str">
            <v>OPERAÇÃO TRANSPORTES</v>
          </cell>
        </row>
        <row r="703">
          <cell r="A703" t="str">
            <v>29137FERNANDA OLIVEIRA DE PAULA</v>
          </cell>
          <cell r="B703">
            <v>29137</v>
          </cell>
          <cell r="C703" t="str">
            <v>FERNANDA OLIVEIRA DE PAULA</v>
          </cell>
          <cell r="D703" t="str">
            <v>OPERAÇÃO TRANSPORTES</v>
          </cell>
        </row>
        <row r="704">
          <cell r="A704" t="str">
            <v>22063FERNANDO BAPTISTA BARBOSA</v>
          </cell>
          <cell r="B704">
            <v>22063</v>
          </cell>
          <cell r="C704" t="str">
            <v>FERNANDO BAPTISTA BARBOSA</v>
          </cell>
          <cell r="D704" t="str">
            <v>OPERAÇÃO TRANSPORTES</v>
          </cell>
        </row>
        <row r="705">
          <cell r="A705" t="str">
            <v>16967FERNANDO FERREIRA DE SOUZA</v>
          </cell>
          <cell r="B705">
            <v>16967</v>
          </cell>
          <cell r="C705" t="str">
            <v>FERNANDO FERREIRA DE SOUZA</v>
          </cell>
          <cell r="D705" t="str">
            <v>SERVIÇOS</v>
          </cell>
        </row>
        <row r="706">
          <cell r="A706" t="str">
            <v>28610FERNANDO LUFT</v>
          </cell>
          <cell r="B706">
            <v>28610</v>
          </cell>
          <cell r="C706" t="str">
            <v>FERNANDO LUFT</v>
          </cell>
          <cell r="D706" t="str">
            <v>PRESIDENCIA</v>
          </cell>
        </row>
        <row r="707">
          <cell r="A707" t="str">
            <v>30728FERNANDO PEREIRA DA SILVA</v>
          </cell>
          <cell r="B707">
            <v>30728</v>
          </cell>
          <cell r="C707" t="str">
            <v>FERNANDO PEREIRA DA SILVA</v>
          </cell>
          <cell r="D707" t="str">
            <v>OPERAÇÃO TRANSPORTES</v>
          </cell>
        </row>
        <row r="708">
          <cell r="A708" t="str">
            <v>25910FERNANDO PONCIANO DUARTE MEIRINHO</v>
          </cell>
          <cell r="B708">
            <v>25910</v>
          </cell>
          <cell r="C708" t="str">
            <v>FERNANDO PONCIANO DUARTE MEIRINHO</v>
          </cell>
          <cell r="D708" t="str">
            <v>OPERAÇÃO TRANSPORTES</v>
          </cell>
        </row>
        <row r="709">
          <cell r="A709" t="str">
            <v>23915FERNANDO SILVEIRA DA SILVA</v>
          </cell>
          <cell r="B709">
            <v>23915</v>
          </cell>
          <cell r="C709" t="str">
            <v>FERNANDO SILVEIRA DA SILVA</v>
          </cell>
          <cell r="D709" t="str">
            <v>OPERAÇÃO TRANSPORTES</v>
          </cell>
        </row>
        <row r="710">
          <cell r="A710" t="str">
            <v>27004FILIPE CORREIA DE ARAUJO</v>
          </cell>
          <cell r="B710">
            <v>27004</v>
          </cell>
          <cell r="C710" t="str">
            <v>FILIPE CORREIA DE ARAUJO</v>
          </cell>
          <cell r="D710" t="str">
            <v>OPERAÇÃO TRANSPORTES</v>
          </cell>
        </row>
        <row r="711">
          <cell r="A711" t="str">
            <v>28363FILIPE DE MATOS VAZ</v>
          </cell>
          <cell r="B711">
            <v>28363</v>
          </cell>
          <cell r="C711" t="str">
            <v>FILIPE DE MATOS VAZ</v>
          </cell>
          <cell r="D711" t="str">
            <v>OPERAÇÃO TRANSPORTES</v>
          </cell>
        </row>
        <row r="712">
          <cell r="A712" t="str">
            <v>25734FILIPE FERNANDES DE MELO</v>
          </cell>
          <cell r="B712">
            <v>25734</v>
          </cell>
          <cell r="C712" t="str">
            <v>FILIPE FERNANDES DE MELO</v>
          </cell>
          <cell r="D712" t="str">
            <v>OPERAÇÃO TRANSPORTES</v>
          </cell>
        </row>
        <row r="713">
          <cell r="A713" t="str">
            <v>29255FLAVIA HELENA PALADINO BARONE</v>
          </cell>
          <cell r="B713">
            <v>29255</v>
          </cell>
          <cell r="C713" t="str">
            <v>FLAVIA HELENA PALADINO BARONE</v>
          </cell>
          <cell r="D713" t="str">
            <v>COMERCIAL/ENG. LOGÍSTICA</v>
          </cell>
        </row>
        <row r="714">
          <cell r="A714" t="str">
            <v>31701FLAVIA SILVA DA ROSA</v>
          </cell>
          <cell r="B714">
            <v>31701</v>
          </cell>
          <cell r="C714" t="str">
            <v>FLAVIA SILVA DA ROSA</v>
          </cell>
          <cell r="D714" t="str">
            <v>OPERAÇÃO TRANSPORTES</v>
          </cell>
        </row>
        <row r="715">
          <cell r="A715" t="str">
            <v>26197FLAVIO DE LIMA</v>
          </cell>
          <cell r="B715">
            <v>26197</v>
          </cell>
          <cell r="C715" t="str">
            <v>FLAVIO DE LIMA</v>
          </cell>
          <cell r="D715" t="str">
            <v>OPERAÇÃO TRANSPORTES</v>
          </cell>
        </row>
        <row r="716">
          <cell r="A716" t="str">
            <v>28668FLAVIO OLIVEIRA DOS SANTOS</v>
          </cell>
          <cell r="B716">
            <v>28668</v>
          </cell>
          <cell r="C716" t="str">
            <v>FLAVIO OLIVEIRA DOS SANTOS</v>
          </cell>
          <cell r="D716" t="str">
            <v>SERVIÇOS</v>
          </cell>
        </row>
        <row r="717">
          <cell r="A717" t="str">
            <v>25809FLAVIO RIBEIRO DE MACEDO</v>
          </cell>
          <cell r="B717">
            <v>25809</v>
          </cell>
          <cell r="C717" t="str">
            <v>FLAVIO RIBEIRO DE MACEDO</v>
          </cell>
          <cell r="D717" t="str">
            <v>OPERAÇÃO TRANSPORTES</v>
          </cell>
        </row>
        <row r="718">
          <cell r="A718" t="str">
            <v>31663FLAVIO ROBERTO JUNIOR</v>
          </cell>
          <cell r="B718">
            <v>31663</v>
          </cell>
          <cell r="C718" t="str">
            <v>FLAVIO ROBERTO JUNIOR</v>
          </cell>
          <cell r="D718" t="str">
            <v>GOVERNANÇA</v>
          </cell>
        </row>
        <row r="719">
          <cell r="A719" t="str">
            <v>25264FLAVIO VILLELA</v>
          </cell>
          <cell r="B719">
            <v>25264</v>
          </cell>
          <cell r="C719" t="str">
            <v>FLAVIO VILLELA</v>
          </cell>
          <cell r="D719" t="str">
            <v>OPERAÇÃO TRANSPORTES</v>
          </cell>
        </row>
        <row r="720">
          <cell r="A720" t="str">
            <v>31644FRANCISCO ADAO MACEDO DOS SANTOS</v>
          </cell>
          <cell r="B720">
            <v>31644</v>
          </cell>
          <cell r="C720" t="str">
            <v>FRANCISCO ADAO MACEDO DOS SANTOS</v>
          </cell>
          <cell r="D720" t="str">
            <v>OPERAÇÃO TRANSPORTES</v>
          </cell>
        </row>
        <row r="721">
          <cell r="A721" t="str">
            <v>15939FRANCISCO AMARAL DE JESUS</v>
          </cell>
          <cell r="B721">
            <v>15939</v>
          </cell>
          <cell r="C721" t="str">
            <v>FRANCISCO AMARAL DE JESUS</v>
          </cell>
          <cell r="D721" t="str">
            <v>OPERAÇÃO TRANSPORTES</v>
          </cell>
        </row>
        <row r="722">
          <cell r="A722" t="str">
            <v>16817FRANCISCO DE ASSIS DOS SANTOS</v>
          </cell>
          <cell r="B722">
            <v>16817</v>
          </cell>
          <cell r="C722" t="str">
            <v>FRANCISCO DE ASSIS DOS SANTOS</v>
          </cell>
          <cell r="D722" t="str">
            <v>OPERAÇÃO TRANSPORTES</v>
          </cell>
        </row>
        <row r="723">
          <cell r="A723" t="str">
            <v>21924FRANCISCO JACSON MARTINS DOS SANTOS</v>
          </cell>
          <cell r="B723">
            <v>21924</v>
          </cell>
          <cell r="C723" t="str">
            <v>FRANCISCO JACSON MARTINS DOS SANTOS</v>
          </cell>
          <cell r="D723" t="str">
            <v>COMERCIAL/ENG. LOGÍSTICA</v>
          </cell>
        </row>
        <row r="724">
          <cell r="A724" t="str">
            <v>25253FRANCISCO LIMA CAVALCANTE</v>
          </cell>
          <cell r="B724">
            <v>25253</v>
          </cell>
          <cell r="C724" t="str">
            <v>FRANCISCO LIMA CAVALCANTE</v>
          </cell>
          <cell r="D724" t="str">
            <v>OPERAÇÃO TRANSPORTES</v>
          </cell>
        </row>
        <row r="725">
          <cell r="A725" t="str">
            <v>15962FRANCISCO LUIZ CANELLA</v>
          </cell>
          <cell r="B725">
            <v>15962</v>
          </cell>
          <cell r="C725" t="str">
            <v>FRANCISCO LUIZ CANELLA</v>
          </cell>
          <cell r="D725" t="str">
            <v>OPERAÇÃO TRANSPORTES</v>
          </cell>
        </row>
        <row r="726">
          <cell r="A726" t="str">
            <v>25871FRANCISCO RONALDO FERREIRA DA SILVA</v>
          </cell>
          <cell r="B726">
            <v>25871</v>
          </cell>
          <cell r="C726" t="str">
            <v>FRANCISCO RONALDO FERREIRA DA SILVA</v>
          </cell>
          <cell r="D726" t="str">
            <v>OPERAÇÃO TRANSPORTES</v>
          </cell>
        </row>
        <row r="727">
          <cell r="A727" t="str">
            <v>31620GABRIEL CRUZ DE PAULO</v>
          </cell>
          <cell r="B727">
            <v>31620</v>
          </cell>
          <cell r="C727" t="str">
            <v>GABRIEL CRUZ DE PAULO</v>
          </cell>
          <cell r="D727" t="str">
            <v>OPERAÇÃO TRANSPORTES</v>
          </cell>
        </row>
        <row r="728">
          <cell r="A728" t="str">
            <v>29901GABRIEL HENRIQUE GOMES DO CARMO</v>
          </cell>
          <cell r="B728">
            <v>29901</v>
          </cell>
          <cell r="C728" t="str">
            <v>GABRIEL HENRIQUE GOMES DO CARMO</v>
          </cell>
          <cell r="D728" t="str">
            <v>OPERAÇÃO TRANSPORTES</v>
          </cell>
        </row>
        <row r="729">
          <cell r="A729" t="str">
            <v>31583GABRIEL VILELA MOURA RAMOS</v>
          </cell>
          <cell r="B729">
            <v>31583</v>
          </cell>
          <cell r="C729" t="str">
            <v>GABRIEL VILELA MOURA RAMOS</v>
          </cell>
          <cell r="D729" t="str">
            <v>PRESIDENCIA</v>
          </cell>
        </row>
        <row r="730">
          <cell r="A730" t="str">
            <v>29144GABRIELA VIEIRA</v>
          </cell>
          <cell r="B730">
            <v>29144</v>
          </cell>
          <cell r="C730" t="str">
            <v>GABRIELA VIEIRA</v>
          </cell>
          <cell r="D730" t="str">
            <v>OPERAÇÃO TRANSPORTES</v>
          </cell>
        </row>
        <row r="731">
          <cell r="A731" t="str">
            <v>31697GABRIELE CANIATO PEREIRA</v>
          </cell>
          <cell r="B731">
            <v>31697</v>
          </cell>
          <cell r="C731" t="str">
            <v>GABRIELE CANIATO PEREIRA</v>
          </cell>
          <cell r="D731" t="str">
            <v>GOVERNANÇA</v>
          </cell>
        </row>
        <row r="732">
          <cell r="A732" t="str">
            <v>30309GEDEAO BARBOSA DE CARVALHO</v>
          </cell>
          <cell r="B732">
            <v>30309</v>
          </cell>
          <cell r="C732" t="str">
            <v>GEDEAO BARBOSA DE CARVALHO</v>
          </cell>
          <cell r="D732" t="str">
            <v>OPERAÇÃO TRANSPORTES</v>
          </cell>
        </row>
        <row r="733">
          <cell r="A733" t="str">
            <v>29260GEILSON DOS SANTOS CARVALHO</v>
          </cell>
          <cell r="B733">
            <v>29260</v>
          </cell>
          <cell r="C733" t="str">
            <v>GEILSON DOS SANTOS CARVALHO</v>
          </cell>
          <cell r="D733" t="str">
            <v>OPERAÇÃO TRANSPORTES</v>
          </cell>
        </row>
        <row r="734">
          <cell r="A734" t="str">
            <v>28549GELSON CONCEICAO DOS SANTOS</v>
          </cell>
          <cell r="B734">
            <v>28549</v>
          </cell>
          <cell r="C734" t="str">
            <v>GELSON CONCEICAO DOS SANTOS</v>
          </cell>
          <cell r="D734" t="str">
            <v>OPERAÇÃO TRANSPORTES</v>
          </cell>
        </row>
        <row r="735">
          <cell r="A735" t="str">
            <v>14279GENESIO RODRIGUES FILHO</v>
          </cell>
          <cell r="B735">
            <v>14279</v>
          </cell>
          <cell r="C735" t="str">
            <v>GENESIO RODRIGUES FILHO</v>
          </cell>
          <cell r="D735" t="str">
            <v>OPERAÇÃO TRANSPORTES</v>
          </cell>
        </row>
        <row r="736">
          <cell r="A736" t="str">
            <v>23284GENIFFER YOLANDA FELIX</v>
          </cell>
          <cell r="B736">
            <v>23284</v>
          </cell>
          <cell r="C736" t="str">
            <v>GENIFFER YOLANDA FELIX</v>
          </cell>
          <cell r="D736" t="str">
            <v>OPERAÇÃO TRANSPORTES</v>
          </cell>
        </row>
        <row r="737">
          <cell r="A737" t="str">
            <v>25031GEOVAN SIDNEY LOPES</v>
          </cell>
          <cell r="B737">
            <v>25031</v>
          </cell>
          <cell r="C737" t="str">
            <v>GEOVAN SIDNEY LOPES</v>
          </cell>
          <cell r="D737" t="str">
            <v>OPERAÇÃO TRANSPORTES</v>
          </cell>
        </row>
        <row r="738">
          <cell r="A738" t="str">
            <v>31512GEOVANE RODRIGUES DE OLIVEIRA</v>
          </cell>
          <cell r="B738">
            <v>31512</v>
          </cell>
          <cell r="C738" t="str">
            <v>GEOVANE RODRIGUES DE OLIVEIRA</v>
          </cell>
          <cell r="D738" t="str">
            <v>OPERAÇÃO TRANSPORTES</v>
          </cell>
        </row>
        <row r="739">
          <cell r="A739" t="str">
            <v>31283GEOVANI SANTOS SOUZA</v>
          </cell>
          <cell r="B739">
            <v>31283</v>
          </cell>
          <cell r="C739" t="str">
            <v>GEOVANI SANTOS SOUZA</v>
          </cell>
          <cell r="D739" t="str">
            <v>OPERAÇÃO TRANSPORTES</v>
          </cell>
        </row>
        <row r="740">
          <cell r="A740" t="str">
            <v>14194GESIO MARQUES DE OLIVEIRA</v>
          </cell>
          <cell r="B740">
            <v>14194</v>
          </cell>
          <cell r="C740" t="str">
            <v>GESIO MARQUES DE OLIVEIRA</v>
          </cell>
          <cell r="D740" t="str">
            <v>OPERAÇÃO TRANSPORTES</v>
          </cell>
        </row>
        <row r="741">
          <cell r="A741" t="str">
            <v>28040GIAN DARIS DE OLIVEIRA</v>
          </cell>
          <cell r="B741">
            <v>28040</v>
          </cell>
          <cell r="C741" t="str">
            <v>GIAN DARIS DE OLIVEIRA</v>
          </cell>
          <cell r="D741" t="str">
            <v>OPERAÇÃO TRANSPORTES</v>
          </cell>
        </row>
        <row r="742">
          <cell r="A742" t="str">
            <v>13742GILBERTO DOS SANTOS SOARES</v>
          </cell>
          <cell r="B742">
            <v>13742</v>
          </cell>
          <cell r="C742" t="str">
            <v>GILBERTO DOS SANTOS SOARES</v>
          </cell>
          <cell r="D742" t="str">
            <v>OPERAÇÃO TRANSPORTES</v>
          </cell>
        </row>
        <row r="743">
          <cell r="A743" t="str">
            <v>21401GILBERTO MENDES CARDOSO</v>
          </cell>
          <cell r="B743">
            <v>21401</v>
          </cell>
          <cell r="C743" t="str">
            <v>GILBERTO MENDES CARDOSO</v>
          </cell>
          <cell r="D743" t="str">
            <v>OPERAÇÃO TRANSPORTES</v>
          </cell>
        </row>
        <row r="744">
          <cell r="A744" t="str">
            <v>14195GILCARLOS BORGES DE PAULA</v>
          </cell>
          <cell r="B744">
            <v>14195</v>
          </cell>
          <cell r="C744" t="str">
            <v>GILCARLOS BORGES DE PAULA</v>
          </cell>
          <cell r="D744" t="str">
            <v>OPERAÇÃO TRANSPORTES</v>
          </cell>
        </row>
        <row r="745">
          <cell r="A745" t="str">
            <v>25209GILDASIO XAVIER SOUSA</v>
          </cell>
          <cell r="B745">
            <v>25209</v>
          </cell>
          <cell r="C745" t="str">
            <v>GILDASIO XAVIER SOUSA</v>
          </cell>
          <cell r="D745" t="str">
            <v>OPERAÇÃO TRANSPORTES</v>
          </cell>
        </row>
        <row r="746">
          <cell r="A746" t="str">
            <v>14350GILIARDI SANTOS CAETANO</v>
          </cell>
          <cell r="B746">
            <v>14350</v>
          </cell>
          <cell r="C746" t="str">
            <v>GILIARDI SANTOS CAETANO</v>
          </cell>
          <cell r="D746" t="str">
            <v>OPERAÇÃO TRANSPORTES</v>
          </cell>
        </row>
        <row r="747">
          <cell r="A747" t="str">
            <v>31535GILMAR PONCIANO DE ARAUJO</v>
          </cell>
          <cell r="B747">
            <v>31535</v>
          </cell>
          <cell r="C747" t="str">
            <v>GILMAR PONCIANO DE ARAUJO</v>
          </cell>
          <cell r="D747" t="str">
            <v>OPERAÇÃO TRANSPORTES</v>
          </cell>
        </row>
        <row r="748">
          <cell r="A748" t="str">
            <v>25307GILMAR RODRIGUES DA SILVA JUNIOR</v>
          </cell>
          <cell r="B748">
            <v>25307</v>
          </cell>
          <cell r="C748" t="str">
            <v>GILMAR RODRIGUES DA SILVA JUNIOR</v>
          </cell>
          <cell r="D748" t="str">
            <v>OPERAÇÃO TRANSPORTES</v>
          </cell>
        </row>
        <row r="749">
          <cell r="A749" t="str">
            <v>15845GILSON CAITANO COELHO</v>
          </cell>
          <cell r="B749">
            <v>15845</v>
          </cell>
          <cell r="C749" t="str">
            <v>GILSON CAITANO COELHO</v>
          </cell>
          <cell r="D749" t="str">
            <v>OPERAÇÃO TRANSPORTES</v>
          </cell>
        </row>
        <row r="750">
          <cell r="A750" t="str">
            <v>14259GILSON ETERNO RIBEIRO</v>
          </cell>
          <cell r="B750">
            <v>14259</v>
          </cell>
          <cell r="C750" t="str">
            <v>GILSON ETERNO RIBEIRO</v>
          </cell>
          <cell r="D750" t="str">
            <v>OPERAÇÃO TRANSPORTES</v>
          </cell>
        </row>
        <row r="751">
          <cell r="A751" t="str">
            <v>31696GILSON FRANCISCO DOS SANTOS</v>
          </cell>
          <cell r="B751">
            <v>31696</v>
          </cell>
          <cell r="C751" t="str">
            <v>GILSON FRANCISCO DOS SANTOS</v>
          </cell>
          <cell r="D751" t="str">
            <v>OPERAÇÃO TRANSPORTES</v>
          </cell>
        </row>
        <row r="752">
          <cell r="A752" t="str">
            <v>16929GILSON GIANSO</v>
          </cell>
          <cell r="B752">
            <v>16929</v>
          </cell>
          <cell r="C752" t="str">
            <v>GILSON GIANSO</v>
          </cell>
          <cell r="D752" t="str">
            <v>TECNOLOGIA DA INFORMAÇÃO</v>
          </cell>
        </row>
        <row r="753">
          <cell r="A753" t="str">
            <v>31695GILSON RICARDO DA SILVA</v>
          </cell>
          <cell r="B753">
            <v>31695</v>
          </cell>
          <cell r="C753" t="str">
            <v>GILSON RICARDO DA SILVA</v>
          </cell>
          <cell r="D753" t="str">
            <v>OPERAÇÃO TRANSPORTES</v>
          </cell>
        </row>
        <row r="754">
          <cell r="A754" t="str">
            <v>30140GILVAN GOMES BISPO</v>
          </cell>
          <cell r="B754">
            <v>30140</v>
          </cell>
          <cell r="C754" t="str">
            <v>GILVAN GOMES BISPO</v>
          </cell>
          <cell r="D754" t="str">
            <v>OPERAÇÃO TRANSPORTES</v>
          </cell>
        </row>
        <row r="755">
          <cell r="A755" t="str">
            <v>17144GIOVANA CARDOSO BENTO</v>
          </cell>
          <cell r="B755">
            <v>17144</v>
          </cell>
          <cell r="C755" t="str">
            <v>GIOVANA CARDOSO BENTO</v>
          </cell>
          <cell r="D755" t="str">
            <v>OPERAÇÃO TRANSPORTES</v>
          </cell>
        </row>
        <row r="756">
          <cell r="A756" t="str">
            <v>26581GISELDA MATIAS DOS SANTOS</v>
          </cell>
          <cell r="B756">
            <v>26581</v>
          </cell>
          <cell r="C756" t="str">
            <v>GISELDA MATIAS DOS SANTOS</v>
          </cell>
          <cell r="D756" t="str">
            <v>OPERAÇÃO TRANSPORTES</v>
          </cell>
        </row>
        <row r="757">
          <cell r="A757" t="str">
            <v>15968GIVALDO DE JESUS SANTOS</v>
          </cell>
          <cell r="B757">
            <v>15968</v>
          </cell>
          <cell r="C757" t="str">
            <v>GIVALDO DE JESUS SANTOS</v>
          </cell>
          <cell r="D757" t="str">
            <v>OPERAÇÃO TRANSPORTES</v>
          </cell>
        </row>
        <row r="758">
          <cell r="A758" t="str">
            <v>21756GIVANILDA AIRES DE OLIVEIRA</v>
          </cell>
          <cell r="B758">
            <v>21756</v>
          </cell>
          <cell r="C758" t="str">
            <v>GIVANILDA AIRES DE OLIVEIRA</v>
          </cell>
          <cell r="D758" t="str">
            <v>OPERAÇÃO TRANSPORTES</v>
          </cell>
        </row>
        <row r="759">
          <cell r="A759" t="str">
            <v>31615GLADISTON TADEU COUTINHO</v>
          </cell>
          <cell r="B759">
            <v>31615</v>
          </cell>
          <cell r="C759" t="str">
            <v>GLADISTON TADEU COUTINHO</v>
          </cell>
          <cell r="D759" t="str">
            <v>OPERAÇÃO TRANSPORTES</v>
          </cell>
        </row>
        <row r="760">
          <cell r="A760" t="str">
            <v>12471GLAYCE MARY SILVA</v>
          </cell>
          <cell r="B760">
            <v>12471</v>
          </cell>
          <cell r="C760" t="str">
            <v>GLAYCE MARY SILVA</v>
          </cell>
          <cell r="D760" t="str">
            <v>PRESIDENCIA</v>
          </cell>
        </row>
        <row r="761">
          <cell r="A761" t="str">
            <v>28669GLEIBER ALMEIDA BARROS</v>
          </cell>
          <cell r="B761">
            <v>28669</v>
          </cell>
          <cell r="C761" t="str">
            <v>GLEIBER ALMEIDA BARROS</v>
          </cell>
          <cell r="D761" t="str">
            <v>OPERAÇÃO TRANSPORTES</v>
          </cell>
        </row>
        <row r="762">
          <cell r="A762" t="str">
            <v>31675GLEIVISON DA SILVA PERDIGAO</v>
          </cell>
          <cell r="B762">
            <v>31675</v>
          </cell>
          <cell r="C762" t="str">
            <v>GLEIVISON DA SILVA PERDIGAO</v>
          </cell>
          <cell r="D762" t="str">
            <v>OPERAÇÃO TRANSPORTES</v>
          </cell>
        </row>
        <row r="763">
          <cell r="A763" t="str">
            <v>14177GLENYO DE OLIVEIRA CUNHA</v>
          </cell>
          <cell r="B763">
            <v>14177</v>
          </cell>
          <cell r="C763" t="str">
            <v>GLENYO DE OLIVEIRA CUNHA</v>
          </cell>
          <cell r="D763" t="str">
            <v>OPERAÇÃO TRANSPORTES</v>
          </cell>
        </row>
        <row r="764">
          <cell r="A764" t="str">
            <v>31677GREICY SANTOS DA SILVA</v>
          </cell>
          <cell r="B764">
            <v>31677</v>
          </cell>
          <cell r="C764" t="str">
            <v>GREICY SANTOS DA SILVA</v>
          </cell>
          <cell r="D764" t="str">
            <v>GOVERNANÇA</v>
          </cell>
        </row>
        <row r="765">
          <cell r="A765" t="str">
            <v>31630GUILHERME LOPES ALMEIDA</v>
          </cell>
          <cell r="B765">
            <v>31630</v>
          </cell>
          <cell r="C765" t="str">
            <v>GUILHERME LOPES ALMEIDA</v>
          </cell>
          <cell r="D765" t="str">
            <v>OPERAÇÃO TRANSPORTES</v>
          </cell>
        </row>
        <row r="766">
          <cell r="A766" t="str">
            <v>30347GUSTAVO SILVIO DE SOUZA</v>
          </cell>
          <cell r="B766">
            <v>30347</v>
          </cell>
          <cell r="C766" t="str">
            <v>GUSTAVO SILVIO DE SOUZA</v>
          </cell>
          <cell r="D766" t="str">
            <v>OPERAÇÃO TRANSPORTES</v>
          </cell>
        </row>
        <row r="767">
          <cell r="A767" t="str">
            <v>14349HAILTON HIGINO DINIZ</v>
          </cell>
          <cell r="B767">
            <v>14349</v>
          </cell>
          <cell r="C767" t="str">
            <v>HAILTON HIGINO DINIZ</v>
          </cell>
          <cell r="D767" t="str">
            <v>OPERAÇÃO TRANSPORTES</v>
          </cell>
        </row>
        <row r="768">
          <cell r="A768" t="str">
            <v>30576HAMILTON FERREIRA DE SOUSA JUNIOR</v>
          </cell>
          <cell r="B768">
            <v>30576</v>
          </cell>
          <cell r="C768" t="str">
            <v>HAMILTON FERREIRA DE SOUSA JUNIOR</v>
          </cell>
          <cell r="D768" t="str">
            <v>OPERAÇÃO TRANSPORTES</v>
          </cell>
        </row>
        <row r="769">
          <cell r="A769" t="str">
            <v>25921HEBERT GONCALVES FERREIRA</v>
          </cell>
          <cell r="B769">
            <v>25921</v>
          </cell>
          <cell r="C769" t="str">
            <v>HEBERT GONCALVES FERREIRA</v>
          </cell>
          <cell r="D769" t="str">
            <v>OPERAÇÃO TRANSPORTES</v>
          </cell>
        </row>
        <row r="770">
          <cell r="A770" t="str">
            <v>29923HEBERT SALES FURLAN</v>
          </cell>
          <cell r="B770">
            <v>29923</v>
          </cell>
          <cell r="C770" t="str">
            <v>HEBERT SALES FURLAN</v>
          </cell>
          <cell r="D770" t="str">
            <v>OPERAÇÃO TRANSPORTES</v>
          </cell>
        </row>
        <row r="771">
          <cell r="A771" t="str">
            <v>30935HEIDER ALVES DE ALMEIDA</v>
          </cell>
          <cell r="B771">
            <v>30935</v>
          </cell>
          <cell r="C771" t="str">
            <v>HEIDER ALVES DE ALMEIDA</v>
          </cell>
          <cell r="D771" t="str">
            <v>OPERAÇÃO TRANSPORTES</v>
          </cell>
        </row>
        <row r="772">
          <cell r="A772" t="str">
            <v>15770HELIO APARECIDO DA COSTA</v>
          </cell>
          <cell r="B772">
            <v>15770</v>
          </cell>
          <cell r="C772" t="str">
            <v>HELIO APARECIDO DA COSTA</v>
          </cell>
          <cell r="D772" t="str">
            <v>OPERAÇÃO TRANSPORTES</v>
          </cell>
        </row>
        <row r="773">
          <cell r="A773" t="str">
            <v>31514HELLEN CHAYNNE MARTINS DOS SANTOS</v>
          </cell>
          <cell r="B773">
            <v>31514</v>
          </cell>
          <cell r="C773" t="str">
            <v>HELLEN CHAYNNE MARTINS DOS SANTOS</v>
          </cell>
          <cell r="D773" t="str">
            <v>OPERAÇÃO TRANSPORTES</v>
          </cell>
        </row>
        <row r="774">
          <cell r="A774" t="str">
            <v>31655HELLEN CRISTINE CUNHA ALMEIDA</v>
          </cell>
          <cell r="B774">
            <v>31655</v>
          </cell>
          <cell r="C774" t="str">
            <v>HELLEN CRISTINE CUNHA ALMEIDA</v>
          </cell>
          <cell r="D774" t="str">
            <v>OPERAÇÃO TRANSPORTES</v>
          </cell>
        </row>
        <row r="775">
          <cell r="A775" t="str">
            <v>28448HELOISA FELIX E SILVA</v>
          </cell>
          <cell r="B775">
            <v>28448</v>
          </cell>
          <cell r="C775" t="str">
            <v>HELOISA FELIX E SILVA</v>
          </cell>
          <cell r="D775" t="str">
            <v>COMERCIAL/ENG. LOGÍSTICA</v>
          </cell>
        </row>
        <row r="776">
          <cell r="A776" t="str">
            <v>29900HERMES MARQUES DE OLIVEIRA</v>
          </cell>
          <cell r="B776">
            <v>29900</v>
          </cell>
          <cell r="C776" t="str">
            <v>HERMES MARQUES DE OLIVEIRA</v>
          </cell>
          <cell r="D776" t="str">
            <v>OPERAÇÃO TRANSPORTES</v>
          </cell>
        </row>
        <row r="777">
          <cell r="A777" t="str">
            <v>23926HUBSON CLEIBSON DA SILVA</v>
          </cell>
          <cell r="B777">
            <v>23926</v>
          </cell>
          <cell r="C777" t="str">
            <v>HUBSON CLEIBSON DA SILVA</v>
          </cell>
          <cell r="D777" t="str">
            <v>OPERAÇÃO TRANSPORTES</v>
          </cell>
        </row>
        <row r="778">
          <cell r="A778" t="str">
            <v>31660HUGO HENRIQUE CARDOSO</v>
          </cell>
          <cell r="B778">
            <v>31660</v>
          </cell>
          <cell r="C778" t="str">
            <v>HUGO HENRIQUE CARDOSO</v>
          </cell>
          <cell r="D778" t="str">
            <v>OPERAÇÃO TRANSPORTES</v>
          </cell>
        </row>
        <row r="779">
          <cell r="A779" t="str">
            <v>26577HUGO HENRIQUE DE SOUSA</v>
          </cell>
          <cell r="B779">
            <v>26577</v>
          </cell>
          <cell r="C779" t="str">
            <v>HUGO HENRIQUE DE SOUSA</v>
          </cell>
          <cell r="D779" t="str">
            <v>OPERAÇÃO TRANSPORTES</v>
          </cell>
        </row>
        <row r="780">
          <cell r="A780" t="str">
            <v>31311ICARO DIEGO E SILVA CAMPOS</v>
          </cell>
          <cell r="B780">
            <v>31311</v>
          </cell>
          <cell r="C780" t="str">
            <v>ICARO DIEGO E SILVA CAMPOS</v>
          </cell>
          <cell r="D780" t="str">
            <v>OPERAÇÃO TRANSPORTES</v>
          </cell>
        </row>
        <row r="781">
          <cell r="A781" t="str">
            <v>26064ILSON FERREIRA DE MELO ROBERTO</v>
          </cell>
          <cell r="B781">
            <v>26064</v>
          </cell>
          <cell r="C781" t="str">
            <v>ILSON FERREIRA DE MELO ROBERTO</v>
          </cell>
          <cell r="D781" t="str">
            <v>OPERAÇÃO TRANSPORTES</v>
          </cell>
        </row>
        <row r="782">
          <cell r="A782" t="str">
            <v>27514IRENITO DIAS DE OLIVEIRA</v>
          </cell>
          <cell r="B782">
            <v>27514</v>
          </cell>
          <cell r="C782" t="str">
            <v>IRENITO DIAS DE OLIVEIRA</v>
          </cell>
          <cell r="D782" t="str">
            <v>OPERAÇÃO TRANSPORTES</v>
          </cell>
        </row>
        <row r="783">
          <cell r="A783" t="str">
            <v>13820IRLEY DE MATTOS MARTINS</v>
          </cell>
          <cell r="B783">
            <v>13820</v>
          </cell>
          <cell r="C783" t="str">
            <v>IRLEY DE MATTOS MARTINS</v>
          </cell>
          <cell r="D783" t="str">
            <v>OPERAÇÃO TRANSPORTES</v>
          </cell>
        </row>
        <row r="784">
          <cell r="A784" t="str">
            <v>15779ISAIAS BASILIO DOS SANTOS</v>
          </cell>
          <cell r="B784">
            <v>15779</v>
          </cell>
          <cell r="C784" t="str">
            <v>ISAIAS BASILIO DOS SANTOS</v>
          </cell>
          <cell r="D784" t="str">
            <v>OPERAÇÃO TRANSPORTES</v>
          </cell>
        </row>
        <row r="785">
          <cell r="A785" t="str">
            <v>28457ISAIAS COSTA SANTOS</v>
          </cell>
          <cell r="B785">
            <v>28457</v>
          </cell>
          <cell r="C785" t="str">
            <v>ISAIAS COSTA SANTOS</v>
          </cell>
          <cell r="D785" t="str">
            <v>OPERAÇÃO TRANSPORTES</v>
          </cell>
        </row>
        <row r="786">
          <cell r="A786" t="str">
            <v>15777ISAIAS DE SOUZA JARDIM</v>
          </cell>
          <cell r="B786">
            <v>15777</v>
          </cell>
          <cell r="C786" t="str">
            <v>ISAIAS DE SOUZA JARDIM</v>
          </cell>
          <cell r="D786" t="str">
            <v>OPERAÇÃO TRANSPORTES</v>
          </cell>
        </row>
        <row r="787">
          <cell r="A787" t="str">
            <v>24030ISRAEL ALVES LACERDA</v>
          </cell>
          <cell r="B787">
            <v>24030</v>
          </cell>
          <cell r="C787" t="str">
            <v>ISRAEL ALVES LACERDA</v>
          </cell>
          <cell r="D787" t="str">
            <v>OPERAÇÃO TRANSPORTES</v>
          </cell>
        </row>
        <row r="788">
          <cell r="A788" t="str">
            <v>31670JACKELINE PAULINO FREITAS SILVA</v>
          </cell>
          <cell r="B788">
            <v>31670</v>
          </cell>
          <cell r="C788" t="str">
            <v>JACKELINE PAULINO FREITAS SILVA</v>
          </cell>
          <cell r="D788" t="str">
            <v>OPERAÇÃO TRANSPORTES</v>
          </cell>
        </row>
        <row r="789">
          <cell r="A789" t="str">
            <v>25991JACKSON ADRIANO LIMA PEREIRA</v>
          </cell>
          <cell r="B789">
            <v>25991</v>
          </cell>
          <cell r="C789" t="str">
            <v>JACKSON ADRIANO LIMA PEREIRA</v>
          </cell>
          <cell r="D789" t="str">
            <v>OPERAÇÃO TRANSPORTES</v>
          </cell>
        </row>
        <row r="790">
          <cell r="A790" t="str">
            <v>14249JAIME SILVA LIMA</v>
          </cell>
          <cell r="B790">
            <v>14249</v>
          </cell>
          <cell r="C790" t="str">
            <v>JAIME SILVA LIMA</v>
          </cell>
          <cell r="D790" t="str">
            <v>OPERAÇÃO TRANSPORTES</v>
          </cell>
        </row>
        <row r="791">
          <cell r="A791" t="str">
            <v>31649JAIRO TOLEDO NOGUEIRA</v>
          </cell>
          <cell r="B791">
            <v>31649</v>
          </cell>
          <cell r="C791" t="str">
            <v>JAIRO TOLEDO NOGUEIRA</v>
          </cell>
          <cell r="D791" t="str">
            <v>OPERAÇÃO TRANSPORTES</v>
          </cell>
        </row>
        <row r="792">
          <cell r="A792" t="str">
            <v>31266JAISSON WALTRICK</v>
          </cell>
          <cell r="B792">
            <v>31266</v>
          </cell>
          <cell r="C792" t="str">
            <v>JAISSON WALTRICK</v>
          </cell>
          <cell r="D792" t="str">
            <v>OPERAÇÃO TRANSPORTES</v>
          </cell>
        </row>
        <row r="793">
          <cell r="A793" t="str">
            <v>28806JAMILLY MARRY SANTOS COSTA</v>
          </cell>
          <cell r="B793">
            <v>28806</v>
          </cell>
          <cell r="C793" t="str">
            <v>JAMILLY MARRY SANTOS COSTA</v>
          </cell>
          <cell r="D793" t="str">
            <v>OPERAÇÃO TRANSPORTES</v>
          </cell>
        </row>
        <row r="794">
          <cell r="A794" t="str">
            <v>26057JEAN AUGUSTO DA SILVA BATISTA</v>
          </cell>
          <cell r="B794">
            <v>26057</v>
          </cell>
          <cell r="C794" t="str">
            <v>JEAN AUGUSTO DA SILVA BATISTA</v>
          </cell>
          <cell r="D794" t="str">
            <v>OPERAÇÃO TRANSPORTES</v>
          </cell>
        </row>
        <row r="795">
          <cell r="A795" t="str">
            <v>31667JEAN VICTOR DE ALMEIDA FRANCISCO</v>
          </cell>
          <cell r="B795">
            <v>31667</v>
          </cell>
          <cell r="C795" t="str">
            <v>JEAN VICTOR DE ALMEIDA FRANCISCO</v>
          </cell>
          <cell r="D795" t="str">
            <v>OPERAÇÃO TRANSPORTES</v>
          </cell>
        </row>
        <row r="796">
          <cell r="A796" t="str">
            <v>28273JEFFERSON CESAR DA SILVA</v>
          </cell>
          <cell r="B796">
            <v>28273</v>
          </cell>
          <cell r="C796" t="str">
            <v>JEFFERSON CESAR DA SILVA</v>
          </cell>
          <cell r="D796" t="str">
            <v>OPERAÇÃO TRANSPORTES</v>
          </cell>
        </row>
        <row r="797">
          <cell r="A797" t="str">
            <v>24747JEFFERSON DOMINGUES DA SILVA</v>
          </cell>
          <cell r="B797">
            <v>24747</v>
          </cell>
          <cell r="C797" t="str">
            <v>JEFFERSON DOMINGUES DA SILVA</v>
          </cell>
          <cell r="D797" t="str">
            <v>OPERAÇÃO TRANSPORTES</v>
          </cell>
        </row>
        <row r="798">
          <cell r="A798" t="str">
            <v>26635JEFFERSON FERREIRA DA COSTA</v>
          </cell>
          <cell r="B798">
            <v>26635</v>
          </cell>
          <cell r="C798" t="str">
            <v>JEFFERSON FERREIRA DA COSTA</v>
          </cell>
          <cell r="D798" t="str">
            <v>OPERAÇÃO TRANSPORTES</v>
          </cell>
        </row>
        <row r="799">
          <cell r="A799" t="str">
            <v>31614JEFFERSON LINCOLN SOUZA DA SILVA</v>
          </cell>
          <cell r="B799">
            <v>31614</v>
          </cell>
          <cell r="C799" t="str">
            <v>JEFFERSON LINCOLN SOUZA DA SILVA</v>
          </cell>
          <cell r="D799" t="str">
            <v>OPERAÇÃO TRANSPORTES</v>
          </cell>
        </row>
        <row r="800">
          <cell r="A800" t="str">
            <v>31657JEFFERSON SOUZA LIMA</v>
          </cell>
          <cell r="B800">
            <v>31657</v>
          </cell>
          <cell r="C800" t="str">
            <v>JEFFERSON SOUZA LIMA</v>
          </cell>
          <cell r="D800" t="str">
            <v>OPERAÇÃO TRANSPORTES</v>
          </cell>
        </row>
        <row r="801">
          <cell r="A801" t="str">
            <v>31674JENIFFER VALERIA DA CRUZ NUNES</v>
          </cell>
          <cell r="B801">
            <v>31674</v>
          </cell>
          <cell r="C801" t="str">
            <v>JENIFFER VALERIA DA CRUZ NUNES</v>
          </cell>
          <cell r="D801" t="str">
            <v>OPERAÇÃO TRANSPORTES</v>
          </cell>
        </row>
        <row r="802">
          <cell r="A802" t="str">
            <v>31673JESON JOSE DA SILVA</v>
          </cell>
          <cell r="B802">
            <v>31673</v>
          </cell>
          <cell r="C802" t="str">
            <v>JESON JOSE DA SILVA</v>
          </cell>
          <cell r="D802" t="str">
            <v>OPERAÇÃO TRANSPORTES</v>
          </cell>
        </row>
        <row r="803">
          <cell r="A803" t="str">
            <v>31591JESSE CONCEICAO DA SILVA</v>
          </cell>
          <cell r="B803">
            <v>31591</v>
          </cell>
          <cell r="C803" t="str">
            <v>JESSE CONCEICAO DA SILVA</v>
          </cell>
          <cell r="D803" t="str">
            <v>OPERAÇÃO TRANSPORTES</v>
          </cell>
        </row>
        <row r="804">
          <cell r="A804" t="str">
            <v>18490JESSICA FORTUNATO PRADO</v>
          </cell>
          <cell r="B804">
            <v>18490</v>
          </cell>
          <cell r="C804" t="str">
            <v>JESSICA FORTUNATO PRADO</v>
          </cell>
          <cell r="D804" t="str">
            <v>QUALIDADE</v>
          </cell>
        </row>
        <row r="805">
          <cell r="A805" t="str">
            <v>31460JESSICA LUANA BRITO SOUZA LAGE</v>
          </cell>
          <cell r="B805">
            <v>31460</v>
          </cell>
          <cell r="C805" t="str">
            <v>JESSICA LUANA BRITO SOUZA LAGE</v>
          </cell>
          <cell r="D805" t="str">
            <v>OPERAÇÃO TRANSPORTES</v>
          </cell>
        </row>
        <row r="806">
          <cell r="A806" t="str">
            <v>31699JHONNIS FLAVIO CORREA DE SOUZA</v>
          </cell>
          <cell r="B806">
            <v>31699</v>
          </cell>
          <cell r="C806" t="str">
            <v>JHONNIS FLAVIO CORREA DE SOUZA</v>
          </cell>
          <cell r="D806" t="str">
            <v>OPERAÇÃO TRANSPORTES</v>
          </cell>
        </row>
        <row r="807">
          <cell r="A807" t="str">
            <v>28033JOAO BATISTA LOPES DE ANDRADE</v>
          </cell>
          <cell r="B807">
            <v>28033</v>
          </cell>
          <cell r="C807" t="str">
            <v>JOAO BATISTA LOPES DE ANDRADE</v>
          </cell>
          <cell r="D807" t="str">
            <v>OPERAÇÃO TRANSPORTES</v>
          </cell>
        </row>
        <row r="808">
          <cell r="A808" t="str">
            <v>31647JOAO HENRIQUE DE CARVALHO</v>
          </cell>
          <cell r="B808">
            <v>31647</v>
          </cell>
          <cell r="C808" t="str">
            <v>JOAO HENRIQUE DE CARVALHO</v>
          </cell>
          <cell r="D808" t="str">
            <v>OPERAÇÃO TRANSPORTES</v>
          </cell>
        </row>
        <row r="809">
          <cell r="A809" t="str">
            <v>27428JOAO PAULO SILVA DOS SANTOS</v>
          </cell>
          <cell r="B809">
            <v>27428</v>
          </cell>
          <cell r="C809" t="str">
            <v>JOAO PAULO SILVA DOS SANTOS</v>
          </cell>
          <cell r="D809" t="str">
            <v>OPERAÇÃO TRANSPORTES</v>
          </cell>
        </row>
        <row r="810">
          <cell r="A810" t="str">
            <v>31666JOAO PEDRO VIETAS DE MATOS</v>
          </cell>
          <cell r="B810">
            <v>31666</v>
          </cell>
          <cell r="C810" t="str">
            <v>JOAO PEDRO VIETAS DE MATOS</v>
          </cell>
          <cell r="D810" t="str">
            <v>OPERAÇÃO TRANSPORTES</v>
          </cell>
        </row>
        <row r="811">
          <cell r="A811" t="str">
            <v>14176JOAO RODRIGUES BARBOSA FILHO</v>
          </cell>
          <cell r="B811">
            <v>14176</v>
          </cell>
          <cell r="C811" t="str">
            <v>JOAO RODRIGUES BARBOSA FILHO</v>
          </cell>
          <cell r="D811" t="str">
            <v>OPERAÇÃO TRANSPORTES</v>
          </cell>
        </row>
        <row r="812">
          <cell r="A812" t="str">
            <v>24982JOAO SERGIO MARQUETTI</v>
          </cell>
          <cell r="B812">
            <v>24982</v>
          </cell>
          <cell r="C812" t="str">
            <v>JOAO SERGIO MARQUETTI</v>
          </cell>
          <cell r="D812" t="str">
            <v>OPERAÇÃO TRANSPORTES</v>
          </cell>
        </row>
        <row r="813">
          <cell r="A813" t="str">
            <v>30988JOAO SOUZA CAMPOS</v>
          </cell>
          <cell r="B813">
            <v>30988</v>
          </cell>
          <cell r="C813" t="str">
            <v>JOAO SOUZA CAMPOS</v>
          </cell>
          <cell r="D813" t="str">
            <v>OPERAÇÃO TRANSPORTES</v>
          </cell>
        </row>
        <row r="814">
          <cell r="A814" t="str">
            <v>16260JOAQUIM BEZERRA DO CARMO</v>
          </cell>
          <cell r="B814">
            <v>16260</v>
          </cell>
          <cell r="C814" t="str">
            <v>JOAQUIM BEZERRA DO CARMO</v>
          </cell>
          <cell r="D814" t="str">
            <v>OPERAÇÃO TRANSPORTES</v>
          </cell>
        </row>
        <row r="815">
          <cell r="A815" t="str">
            <v>31553JOBSON NASCIMENTO MELO</v>
          </cell>
          <cell r="B815">
            <v>31553</v>
          </cell>
          <cell r="C815" t="str">
            <v>JOBSON NASCIMENTO MELO</v>
          </cell>
          <cell r="D815" t="str">
            <v>OPERAÇÃO TRANSPORTES</v>
          </cell>
        </row>
        <row r="816">
          <cell r="A816" t="str">
            <v>27716JOHN ROBSON DE SOUZA MOREIRA</v>
          </cell>
          <cell r="B816">
            <v>27716</v>
          </cell>
          <cell r="C816" t="str">
            <v>JOHN ROBSON DE SOUZA MOREIRA</v>
          </cell>
          <cell r="D816" t="str">
            <v>OPERAÇÃO TRANSPORTES</v>
          </cell>
        </row>
        <row r="817">
          <cell r="A817" t="str">
            <v>31202JONATAS FERREIRA DE OLIVEIRA</v>
          </cell>
          <cell r="B817">
            <v>31202</v>
          </cell>
          <cell r="C817" t="str">
            <v>JONATAS FERREIRA DE OLIVEIRA</v>
          </cell>
          <cell r="D817" t="str">
            <v>TECNOLOGIA DA INFORMAÇÃO</v>
          </cell>
        </row>
        <row r="818">
          <cell r="A818" t="str">
            <v>29949JONATHAN PIMENTA DE ALMEIDA</v>
          </cell>
          <cell r="B818">
            <v>29949</v>
          </cell>
          <cell r="C818" t="str">
            <v>JONATHAN PIMENTA DE ALMEIDA</v>
          </cell>
          <cell r="D818" t="str">
            <v>OPERAÇÃO TRANSPORTES</v>
          </cell>
        </row>
        <row r="819">
          <cell r="A819" t="str">
            <v>28913JONATHAN SILVA DOS SANTOS</v>
          </cell>
          <cell r="B819">
            <v>28913</v>
          </cell>
          <cell r="C819" t="str">
            <v>JONATHAN SILVA DOS SANTOS</v>
          </cell>
          <cell r="D819" t="str">
            <v>OPERAÇÃO TRANSPORTES</v>
          </cell>
        </row>
        <row r="820">
          <cell r="A820" t="str">
            <v>31693JONES DA SILVA ABILIO</v>
          </cell>
          <cell r="B820">
            <v>31693</v>
          </cell>
          <cell r="C820" t="str">
            <v>JONES DA SILVA ABILIO</v>
          </cell>
          <cell r="D820" t="str">
            <v>OPERAÇÃO TRANSPORTES</v>
          </cell>
        </row>
        <row r="821">
          <cell r="A821" t="str">
            <v>31686JONNATHAN HENRIQUE LOPES DIAS</v>
          </cell>
          <cell r="B821">
            <v>31686</v>
          </cell>
          <cell r="C821" t="str">
            <v>JONNATHAN HENRIQUE LOPES DIAS</v>
          </cell>
          <cell r="D821" t="str">
            <v>OPERAÇÃO TRANSPORTES</v>
          </cell>
        </row>
        <row r="822">
          <cell r="A822" t="str">
            <v>27996JORGE JOSE DE SOUZA</v>
          </cell>
          <cell r="B822">
            <v>27996</v>
          </cell>
          <cell r="C822" t="str">
            <v>JORGE JOSE DE SOUZA</v>
          </cell>
          <cell r="D822" t="str">
            <v>OPERAÇÃO TRANSPORTES</v>
          </cell>
        </row>
        <row r="823">
          <cell r="A823" t="str">
            <v>27855JORGE LUIZ QUINTANILHA</v>
          </cell>
          <cell r="B823">
            <v>27855</v>
          </cell>
          <cell r="C823" t="str">
            <v>JORGE LUIZ QUINTANILHA</v>
          </cell>
          <cell r="D823" t="str">
            <v>OPERAÇÃO TRANSPORTES</v>
          </cell>
        </row>
        <row r="824">
          <cell r="A824" t="str">
            <v>29215JOSE ADEILSON DOS SANTOS PEREIRA</v>
          </cell>
          <cell r="B824">
            <v>29215</v>
          </cell>
          <cell r="C824" t="str">
            <v>JOSE ADEILSON DOS SANTOS PEREIRA</v>
          </cell>
          <cell r="D824" t="str">
            <v>OPERAÇÃO TRANSPORTES</v>
          </cell>
        </row>
        <row r="825">
          <cell r="A825" t="str">
            <v>14348JOSE APARECIDO GONCALVES MARTINS</v>
          </cell>
          <cell r="B825">
            <v>14348</v>
          </cell>
          <cell r="C825" t="str">
            <v>JOSE APARECIDO GONCALVES MARTINS</v>
          </cell>
          <cell r="D825" t="str">
            <v>OPERAÇÃO TRANSPORTES</v>
          </cell>
        </row>
        <row r="826">
          <cell r="A826" t="str">
            <v>31627JOSE CARLOS GONCALVES DE OLIVEIRA</v>
          </cell>
          <cell r="B826">
            <v>31627</v>
          </cell>
          <cell r="C826" t="str">
            <v>JOSE CARLOS GONCALVES DE OLIVEIRA</v>
          </cell>
          <cell r="D826" t="str">
            <v>OPERAÇÃO TRANSPORTES</v>
          </cell>
        </row>
        <row r="827">
          <cell r="A827" t="str">
            <v>31600JOSE EDIMAR SERAFIM</v>
          </cell>
          <cell r="B827">
            <v>31600</v>
          </cell>
          <cell r="C827" t="str">
            <v>JOSE EDIMAR SERAFIM</v>
          </cell>
          <cell r="D827" t="str">
            <v>OPERAÇÃO TRANSPORTES</v>
          </cell>
        </row>
        <row r="828">
          <cell r="A828" t="str">
            <v>26932JOSE EDSON AMARO DA SILVA</v>
          </cell>
          <cell r="B828">
            <v>26932</v>
          </cell>
          <cell r="C828" t="str">
            <v>JOSE EDSON AMARO DA SILVA</v>
          </cell>
          <cell r="D828" t="str">
            <v>OPERAÇÃO TRANSPORTES</v>
          </cell>
        </row>
        <row r="829">
          <cell r="A829" t="str">
            <v>20627JOSE ERASMO SILVA DOS SANTOS</v>
          </cell>
          <cell r="B829">
            <v>20627</v>
          </cell>
          <cell r="C829" t="str">
            <v>JOSE ERASMO SILVA DOS SANTOS</v>
          </cell>
          <cell r="D829" t="str">
            <v>OPERAÇÃO TRANSPORTES</v>
          </cell>
        </row>
        <row r="830">
          <cell r="A830" t="str">
            <v>16585JOSE FAUSTO DOS SANTOS</v>
          </cell>
          <cell r="B830">
            <v>16585</v>
          </cell>
          <cell r="C830" t="str">
            <v>JOSE FAUSTO DOS SANTOS</v>
          </cell>
          <cell r="D830" t="str">
            <v>OPERAÇÃO TRANSPORTES</v>
          </cell>
        </row>
        <row r="831">
          <cell r="A831" t="str">
            <v>31065JOSE FLAVIO MARQUES DOS SANTOS</v>
          </cell>
          <cell r="B831">
            <v>31065</v>
          </cell>
          <cell r="C831" t="str">
            <v>JOSE FLAVIO MARQUES DOS SANTOS</v>
          </cell>
          <cell r="D831" t="str">
            <v>OPERAÇÃO TRANSPORTES</v>
          </cell>
        </row>
        <row r="832">
          <cell r="A832" t="str">
            <v>31623JOSE FRANCISCO DA SILVA</v>
          </cell>
          <cell r="B832">
            <v>31623</v>
          </cell>
          <cell r="C832" t="str">
            <v>JOSE FRANCISCO DA SILVA</v>
          </cell>
          <cell r="D832" t="str">
            <v>OPERAÇÃO TRANSPORTES</v>
          </cell>
        </row>
        <row r="833">
          <cell r="A833" t="str">
            <v>14129JOSE HAILTON FERREIRA DE OLIVEIRA</v>
          </cell>
          <cell r="B833">
            <v>14129</v>
          </cell>
          <cell r="C833" t="str">
            <v>JOSE HAILTON FERREIRA DE OLIVEIRA</v>
          </cell>
          <cell r="D833" t="str">
            <v>OPERAÇÃO TRANSPORTES</v>
          </cell>
        </row>
        <row r="834">
          <cell r="A834" t="str">
            <v>27974JOSE HILDO SANTOS DA COSTA</v>
          </cell>
          <cell r="B834">
            <v>27974</v>
          </cell>
          <cell r="C834" t="str">
            <v>JOSE HILDO SANTOS DA COSTA</v>
          </cell>
          <cell r="D834" t="str">
            <v>OPERAÇÃO TRANSPORTES</v>
          </cell>
        </row>
        <row r="835">
          <cell r="A835" t="str">
            <v>22628JOSE LIMA BENTO</v>
          </cell>
          <cell r="B835">
            <v>22628</v>
          </cell>
          <cell r="C835" t="str">
            <v>JOSE LIMA BENTO</v>
          </cell>
          <cell r="D835" t="str">
            <v>OPERAÇÃO TRANSPORTES</v>
          </cell>
        </row>
        <row r="836">
          <cell r="A836" t="str">
            <v>15870JOSE LUZ DA SILVA</v>
          </cell>
          <cell r="B836">
            <v>15870</v>
          </cell>
          <cell r="C836" t="str">
            <v>JOSE LUZ DA SILVA</v>
          </cell>
          <cell r="D836" t="str">
            <v>OPERAÇÃO TRANSPORTES</v>
          </cell>
        </row>
        <row r="837">
          <cell r="A837" t="str">
            <v>23440JOSE MAURO SEVERIANO LEITI</v>
          </cell>
          <cell r="B837">
            <v>23440</v>
          </cell>
          <cell r="C837" t="str">
            <v>JOSE MAURO SEVERIANO LEITI</v>
          </cell>
          <cell r="D837" t="str">
            <v>OPERAÇÃO TRANSPORTES</v>
          </cell>
        </row>
        <row r="838">
          <cell r="A838" t="str">
            <v>26759JOSE OSVALDO GOMES DA SILVA</v>
          </cell>
          <cell r="B838">
            <v>26759</v>
          </cell>
          <cell r="C838" t="str">
            <v>JOSE OSVALDO GOMES DA SILVA</v>
          </cell>
          <cell r="D838" t="str">
            <v>OPERAÇÃO TRANSPORTES</v>
          </cell>
        </row>
        <row r="839">
          <cell r="A839" t="str">
            <v>31652JOSE REINAN BARBOSA DOS SANTOS</v>
          </cell>
          <cell r="B839">
            <v>31652</v>
          </cell>
          <cell r="C839" t="str">
            <v>JOSE REINAN BARBOSA DOS SANTOS</v>
          </cell>
          <cell r="D839" t="str">
            <v>OPERAÇÃO TRANSPORTES</v>
          </cell>
        </row>
        <row r="840">
          <cell r="A840" t="str">
            <v>31251JOSE RILDO DOS SANTOS</v>
          </cell>
          <cell r="B840">
            <v>31251</v>
          </cell>
          <cell r="C840" t="str">
            <v>JOSE RILDO DOS SANTOS</v>
          </cell>
          <cell r="D840" t="str">
            <v>OPERAÇÃO TRANSPORTES</v>
          </cell>
        </row>
        <row r="841">
          <cell r="A841" t="str">
            <v>13818JOSE ROBERIO ALVES CORDEIRO</v>
          </cell>
          <cell r="B841">
            <v>13818</v>
          </cell>
          <cell r="C841" t="str">
            <v>JOSE ROBERIO ALVES CORDEIRO</v>
          </cell>
          <cell r="D841" t="str">
            <v>OPERAÇÃO TRANSPORTES</v>
          </cell>
        </row>
        <row r="842">
          <cell r="A842" t="str">
            <v>27488JOSE ROGERIO DOS SANTOS</v>
          </cell>
          <cell r="B842">
            <v>27488</v>
          </cell>
          <cell r="C842" t="str">
            <v>JOSE ROGERIO DOS SANTOS</v>
          </cell>
          <cell r="D842" t="str">
            <v>OPERAÇÃO TRANSPORTES</v>
          </cell>
        </row>
        <row r="843">
          <cell r="A843" t="str">
            <v>27822JOSE SERGIO DOS SANTOS BISPO NETO</v>
          </cell>
          <cell r="B843">
            <v>27822</v>
          </cell>
          <cell r="C843" t="str">
            <v>JOSE SERGIO DOS SANTOS BISPO NETO</v>
          </cell>
          <cell r="D843" t="str">
            <v>OPERAÇÃO TRANSPORTES</v>
          </cell>
        </row>
        <row r="844">
          <cell r="A844" t="str">
            <v>16281JOSELITO GUEDES PEREIRA</v>
          </cell>
          <cell r="B844">
            <v>16281</v>
          </cell>
          <cell r="C844" t="str">
            <v>JOSELITO GUEDES PEREIRA</v>
          </cell>
          <cell r="D844" t="str">
            <v>OPERAÇÃO TRANSPORTES</v>
          </cell>
        </row>
        <row r="845">
          <cell r="A845" t="str">
            <v>25213JOSENILTON TAVARES SANTOS</v>
          </cell>
          <cell r="B845">
            <v>25213</v>
          </cell>
          <cell r="C845" t="str">
            <v>JOSENILTON TAVARES SANTOS</v>
          </cell>
          <cell r="D845" t="str">
            <v>OPERAÇÃO TRANSPORTES</v>
          </cell>
        </row>
        <row r="846">
          <cell r="A846" t="str">
            <v>27674JOSIANE BORGES LEAL</v>
          </cell>
          <cell r="B846">
            <v>27674</v>
          </cell>
          <cell r="C846" t="str">
            <v>JOSIANE BORGES LEAL</v>
          </cell>
          <cell r="D846" t="str">
            <v>OPERAÇÃO TRANSPORTES</v>
          </cell>
        </row>
        <row r="847">
          <cell r="A847" t="str">
            <v>28290JOSIEL DOS SANTOS DE ALMEIDA</v>
          </cell>
          <cell r="B847">
            <v>28290</v>
          </cell>
          <cell r="C847" t="str">
            <v>JOSIEL DOS SANTOS DE ALMEIDA</v>
          </cell>
          <cell r="D847" t="str">
            <v>OPERAÇÃO TRANSPORTES</v>
          </cell>
        </row>
        <row r="848">
          <cell r="A848" t="str">
            <v>22948JOSIMARA ANDRADE DA SILVA</v>
          </cell>
          <cell r="B848">
            <v>22948</v>
          </cell>
          <cell r="C848" t="str">
            <v>JOSIMARA ANDRADE DA SILVA</v>
          </cell>
          <cell r="D848" t="str">
            <v>OPERAÇÃO TRANSPORTES</v>
          </cell>
        </row>
        <row r="849">
          <cell r="A849" t="str">
            <v>27409JOSMAR PEREIRA DOS SANTOS</v>
          </cell>
          <cell r="B849">
            <v>27409</v>
          </cell>
          <cell r="C849" t="str">
            <v>JOSMAR PEREIRA DOS SANTOS</v>
          </cell>
          <cell r="D849" t="str">
            <v>OPERAÇÃO TRANSPORTES</v>
          </cell>
        </row>
        <row r="850">
          <cell r="A850" t="str">
            <v>14206JOSUE BISPO RODRIGUES</v>
          </cell>
          <cell r="B850">
            <v>14206</v>
          </cell>
          <cell r="C850" t="str">
            <v>JOSUE BISPO RODRIGUES</v>
          </cell>
          <cell r="D850" t="str">
            <v>OPERAÇÃO TRANSPORTES</v>
          </cell>
        </row>
        <row r="851">
          <cell r="A851" t="str">
            <v>25519JOSUE CAMARGO DE SOUZA</v>
          </cell>
          <cell r="B851">
            <v>25519</v>
          </cell>
          <cell r="C851" t="str">
            <v>JOSUE CAMARGO DE SOUZA</v>
          </cell>
          <cell r="D851" t="str">
            <v>OPERAÇÃO TRANSPORTES</v>
          </cell>
        </row>
        <row r="852">
          <cell r="A852" t="str">
            <v>12418JOSUE DE CASTRO SANTOS</v>
          </cell>
          <cell r="B852">
            <v>12418</v>
          </cell>
          <cell r="C852" t="str">
            <v>JOSUE DE CASTRO SANTOS</v>
          </cell>
          <cell r="D852" t="str">
            <v>OPERAÇÃO TRANSPORTES</v>
          </cell>
        </row>
        <row r="853">
          <cell r="A853" t="str">
            <v>29110JOVAN RODRIGUES AMBROZIO</v>
          </cell>
          <cell r="B853">
            <v>29110</v>
          </cell>
          <cell r="C853" t="str">
            <v>JOVAN RODRIGUES AMBROZIO</v>
          </cell>
          <cell r="D853" t="str">
            <v>OPERAÇÃO TRANSPORTES</v>
          </cell>
        </row>
        <row r="854">
          <cell r="A854" t="str">
            <v>24434JUAN SOARES LEANDRO DA SILVA</v>
          </cell>
          <cell r="B854">
            <v>24434</v>
          </cell>
          <cell r="C854" t="str">
            <v>JUAN SOARES LEANDRO DA SILVA</v>
          </cell>
          <cell r="D854" t="str">
            <v>OPERAÇÃO TRANSPORTES</v>
          </cell>
        </row>
        <row r="855">
          <cell r="A855" t="str">
            <v>31700JUCIMAR MARINS DOS SANTOS</v>
          </cell>
          <cell r="B855">
            <v>31700</v>
          </cell>
          <cell r="C855" t="str">
            <v>JUCIMAR MARINS DOS SANTOS</v>
          </cell>
          <cell r="D855" t="str">
            <v>OPERAÇÃO TRANSPORTES</v>
          </cell>
        </row>
        <row r="856">
          <cell r="A856" t="str">
            <v>27741JULIANA BARROS BARRETO RAMOS</v>
          </cell>
          <cell r="B856">
            <v>27741</v>
          </cell>
          <cell r="C856" t="str">
            <v>JULIANA BARROS BARRETO RAMOS</v>
          </cell>
          <cell r="D856" t="str">
            <v>OPERAÇÃO TRANSPORTES</v>
          </cell>
        </row>
        <row r="857">
          <cell r="A857" t="str">
            <v>31068JULIANO APARECIDO DE OLIVEIRA ROSA</v>
          </cell>
          <cell r="B857">
            <v>31068</v>
          </cell>
          <cell r="C857" t="str">
            <v>JULIANO APARECIDO DE OLIVEIRA ROSA</v>
          </cell>
          <cell r="D857" t="str">
            <v>OPERAÇÃO TRANSPORTES</v>
          </cell>
        </row>
        <row r="858">
          <cell r="A858" t="str">
            <v>30966JULIANO WESTFAL</v>
          </cell>
          <cell r="B858">
            <v>30966</v>
          </cell>
          <cell r="C858" t="str">
            <v>JULIANO WESTFAL</v>
          </cell>
          <cell r="D858" t="str">
            <v>OPERAÇÃO TRANSPORTES</v>
          </cell>
        </row>
        <row r="859">
          <cell r="A859" t="str">
            <v>29302JULIO CESAR DE ALCANTARA</v>
          </cell>
          <cell r="B859">
            <v>29302</v>
          </cell>
          <cell r="C859" t="str">
            <v>JULIO CESAR DE ALCANTARA</v>
          </cell>
          <cell r="D859" t="str">
            <v>OPERAÇÃO TRANSPORTES</v>
          </cell>
        </row>
        <row r="860">
          <cell r="A860" t="str">
            <v>31560JULIO CESAR EIRAS FERREIRA</v>
          </cell>
          <cell r="B860">
            <v>31560</v>
          </cell>
          <cell r="C860" t="str">
            <v>JULIO CESAR EIRAS FERREIRA</v>
          </cell>
          <cell r="D860" t="str">
            <v>OPERAÇÃO TRANSPORTES</v>
          </cell>
        </row>
        <row r="861">
          <cell r="A861" t="str">
            <v>31624JULIO CESAR SANTOS DE SOUZA</v>
          </cell>
          <cell r="B861">
            <v>31624</v>
          </cell>
          <cell r="C861" t="str">
            <v>JULIO CESAR SANTOS DE SOUZA</v>
          </cell>
          <cell r="D861" t="str">
            <v>OPERAÇÃO TRANSPORTES</v>
          </cell>
        </row>
        <row r="862">
          <cell r="A862" t="str">
            <v>26940JUNIOR ALVES</v>
          </cell>
          <cell r="B862">
            <v>26940</v>
          </cell>
          <cell r="C862" t="str">
            <v>JUNIOR ALVES</v>
          </cell>
          <cell r="D862" t="str">
            <v>OPERAÇÃO TRANSPORTES</v>
          </cell>
        </row>
        <row r="863">
          <cell r="A863" t="str">
            <v>29330KAREN CRISTINA SANTOS VIEIRA</v>
          </cell>
          <cell r="B863">
            <v>29330</v>
          </cell>
          <cell r="C863" t="str">
            <v>KAREN CRISTINA SANTOS VIEIRA</v>
          </cell>
          <cell r="D863" t="str">
            <v>OPERAÇÃO TRANSPORTES</v>
          </cell>
        </row>
        <row r="864">
          <cell r="A864" t="str">
            <v>16873KAREN KAIATE AGUIAR</v>
          </cell>
          <cell r="B864">
            <v>16873</v>
          </cell>
          <cell r="C864" t="str">
            <v>KAREN KAIATE AGUIAR</v>
          </cell>
          <cell r="D864" t="str">
            <v>OPERAÇÃO TRANSPORTES</v>
          </cell>
        </row>
        <row r="865">
          <cell r="A865" t="str">
            <v>30692KARINA SILVA DE SOUZA</v>
          </cell>
          <cell r="B865">
            <v>30692</v>
          </cell>
          <cell r="C865" t="str">
            <v>KARINA SILVA DE SOUZA</v>
          </cell>
          <cell r="D865" t="str">
            <v>GOVERNANÇA</v>
          </cell>
        </row>
        <row r="866">
          <cell r="A866" t="str">
            <v>31579KARINY SILVA PRADO</v>
          </cell>
          <cell r="B866">
            <v>31579</v>
          </cell>
          <cell r="C866" t="str">
            <v>KARINY SILVA PRADO</v>
          </cell>
          <cell r="D866" t="str">
            <v>OPERAÇÃO TRANSPORTES</v>
          </cell>
        </row>
        <row r="867">
          <cell r="A867" t="str">
            <v>31296KAROLINE DE ARAUJO DANTAS</v>
          </cell>
          <cell r="B867">
            <v>31296</v>
          </cell>
          <cell r="C867" t="str">
            <v>KAROLINE DE ARAUJO DANTAS</v>
          </cell>
          <cell r="D867" t="str">
            <v>OPERAÇÃO TRANSPORTES</v>
          </cell>
        </row>
        <row r="868">
          <cell r="A868" t="str">
            <v>27006KASSIA MOURA CABEDO</v>
          </cell>
          <cell r="B868">
            <v>27006</v>
          </cell>
          <cell r="C868" t="str">
            <v>KASSIA MOURA CABEDO</v>
          </cell>
          <cell r="D868" t="str">
            <v>OPERAÇÃO TRANSPORTES</v>
          </cell>
        </row>
        <row r="869">
          <cell r="A869" t="str">
            <v>31687KELVIN DUTRA DO AMARAL</v>
          </cell>
          <cell r="B869">
            <v>31687</v>
          </cell>
          <cell r="C869" t="str">
            <v>KELVIN DUTRA DO AMARAL</v>
          </cell>
          <cell r="D869" t="str">
            <v>OPERAÇÃO TRANSPORTES</v>
          </cell>
        </row>
        <row r="870">
          <cell r="A870" t="str">
            <v>31684KESYA PAPA GONCALVES</v>
          </cell>
          <cell r="B870">
            <v>31684</v>
          </cell>
          <cell r="C870" t="str">
            <v>KESYA PAPA GONCALVES</v>
          </cell>
          <cell r="D870" t="str">
            <v>PRESIDENCIA</v>
          </cell>
        </row>
        <row r="871">
          <cell r="A871" t="str">
            <v>31648KLEYNILSON DO DESTERRO COLINS</v>
          </cell>
          <cell r="B871">
            <v>31648</v>
          </cell>
          <cell r="C871" t="str">
            <v>KLEYNILSON DO DESTERRO COLINS</v>
          </cell>
          <cell r="D871" t="str">
            <v>OPERAÇÃO TRANSPORTES</v>
          </cell>
        </row>
        <row r="872">
          <cell r="A872" t="str">
            <v>31668LANA CRISTINA ALMEIDA LOURENCO DA CRUZ</v>
          </cell>
          <cell r="B872">
            <v>31668</v>
          </cell>
          <cell r="C872" t="str">
            <v>LANA CRISTINA ALMEIDA LOURENCO DA CRUZ</v>
          </cell>
          <cell r="D872" t="str">
            <v>OPERAÇÃO TRANSPORTES</v>
          </cell>
        </row>
        <row r="873">
          <cell r="A873" t="str">
            <v>27633LAURO SANTOS SOUZA</v>
          </cell>
          <cell r="B873">
            <v>27633</v>
          </cell>
          <cell r="C873" t="str">
            <v>LAURO SANTOS SOUZA</v>
          </cell>
          <cell r="D873" t="str">
            <v>OPERAÇÃO TRANSPORTES</v>
          </cell>
        </row>
        <row r="874">
          <cell r="A874" t="str">
            <v>22696LEANDRO AGOSTINHO DE ARAUJO</v>
          </cell>
          <cell r="B874">
            <v>22696</v>
          </cell>
          <cell r="C874" t="str">
            <v>LEANDRO AGOSTINHO DE ARAUJO</v>
          </cell>
          <cell r="D874" t="str">
            <v>OPERAÇÃO TRANSPORTES</v>
          </cell>
        </row>
        <row r="875">
          <cell r="A875" t="str">
            <v>30768LEANDRO DE OLIVEIRA ALVES</v>
          </cell>
          <cell r="B875">
            <v>30768</v>
          </cell>
          <cell r="C875" t="str">
            <v>LEANDRO DE OLIVEIRA ALVES</v>
          </cell>
          <cell r="D875" t="str">
            <v>OPERAÇÃO TRANSPORTES</v>
          </cell>
        </row>
        <row r="876">
          <cell r="A876" t="str">
            <v>25492LEANDRO FERRAZ PAULINO</v>
          </cell>
          <cell r="B876">
            <v>25492</v>
          </cell>
          <cell r="C876" t="str">
            <v>LEANDRO FERRAZ PAULINO</v>
          </cell>
          <cell r="D876" t="str">
            <v>OPERAÇÃO TRANSPORTES</v>
          </cell>
        </row>
        <row r="877">
          <cell r="A877" t="str">
            <v>28501LEANDRO GONCALVES DE LIMA</v>
          </cell>
          <cell r="B877">
            <v>28501</v>
          </cell>
          <cell r="C877" t="str">
            <v>LEANDRO GONCALVES DE LIMA</v>
          </cell>
          <cell r="D877" t="str">
            <v>OPERAÇÃO TRANSPORTES</v>
          </cell>
        </row>
        <row r="878">
          <cell r="A878" t="str">
            <v>25784LEANDRO MIGUEL SOARES</v>
          </cell>
          <cell r="B878">
            <v>25784</v>
          </cell>
          <cell r="C878" t="str">
            <v>LEANDRO MIGUEL SOARES</v>
          </cell>
          <cell r="D878" t="str">
            <v>OPERAÇÃO TRANSPORTES</v>
          </cell>
        </row>
        <row r="879">
          <cell r="A879" t="str">
            <v>31594LEANDRO VICENTE PIRES</v>
          </cell>
          <cell r="B879">
            <v>31594</v>
          </cell>
          <cell r="C879" t="str">
            <v>LEANDRO VICENTE PIRES</v>
          </cell>
          <cell r="D879" t="str">
            <v>OPERAÇÃO TRANSPORTES</v>
          </cell>
        </row>
        <row r="880">
          <cell r="A880" t="str">
            <v>26752LENI MARIA DE LIMA</v>
          </cell>
          <cell r="B880">
            <v>26752</v>
          </cell>
          <cell r="C880" t="str">
            <v>LENI MARIA DE LIMA</v>
          </cell>
          <cell r="D880" t="str">
            <v>OPERAÇÃO TRANSPORTES</v>
          </cell>
        </row>
        <row r="881">
          <cell r="A881" t="str">
            <v>31619LEONARDO ALVES FERREIRA</v>
          </cell>
          <cell r="B881">
            <v>31619</v>
          </cell>
          <cell r="C881" t="str">
            <v>LEONARDO ALVES FERREIRA</v>
          </cell>
          <cell r="D881" t="str">
            <v>OPERAÇÃO TRANSPORTES</v>
          </cell>
        </row>
        <row r="882">
          <cell r="A882" t="str">
            <v>31637LEONARDO AUGUSTO FIGUEIREDO DO NASCIMENTO</v>
          </cell>
          <cell r="B882">
            <v>31637</v>
          </cell>
          <cell r="C882" t="str">
            <v>LEONARDO AUGUSTO FIGUEIREDO DO NASCIMENTO</v>
          </cell>
          <cell r="D882" t="str">
            <v>GOVERNANÇA</v>
          </cell>
        </row>
        <row r="883">
          <cell r="A883" t="str">
            <v>30973LEONARDO DOS SANTOS</v>
          </cell>
          <cell r="B883">
            <v>30973</v>
          </cell>
          <cell r="C883" t="str">
            <v>LEONARDO DOS SANTOS</v>
          </cell>
          <cell r="D883" t="str">
            <v>OPERAÇÃO TRANSPORTES</v>
          </cell>
        </row>
        <row r="884">
          <cell r="A884" t="str">
            <v>31707LEONARDO HAROLD DA CONCEICAO DE SOUSA</v>
          </cell>
          <cell r="B884">
            <v>31707</v>
          </cell>
          <cell r="C884" t="str">
            <v>LEONARDO HAROLD DA CONCEICAO DE SOUSA</v>
          </cell>
          <cell r="D884" t="str">
            <v>OPERAÇÃO TRANSPORTES</v>
          </cell>
        </row>
        <row r="885">
          <cell r="A885" t="str">
            <v>31651LEVI MANOEL PEREIRA FILHO</v>
          </cell>
          <cell r="B885">
            <v>31651</v>
          </cell>
          <cell r="C885" t="str">
            <v>LEVI MANOEL PEREIRA FILHO</v>
          </cell>
          <cell r="D885" t="str">
            <v>OPERAÇÃO TRANSPORTES</v>
          </cell>
        </row>
        <row r="886">
          <cell r="A886" t="str">
            <v>16660LIDIANE SOUZA DA SILVA</v>
          </cell>
          <cell r="B886">
            <v>16660</v>
          </cell>
          <cell r="C886" t="str">
            <v>LIDIANE SOUZA DA SILVA</v>
          </cell>
          <cell r="D886" t="str">
            <v>OPERAÇÃO TRANSPORTES</v>
          </cell>
        </row>
        <row r="887">
          <cell r="A887" t="str">
            <v>31642LIDSON MOREIRA DA SILVA</v>
          </cell>
          <cell r="B887">
            <v>31642</v>
          </cell>
          <cell r="C887" t="str">
            <v>LIDSON MOREIRA DA SILVA</v>
          </cell>
          <cell r="D887" t="str">
            <v>OPERAÇÃO TRANSPORTES</v>
          </cell>
        </row>
        <row r="888">
          <cell r="A888" t="str">
            <v>16867LILIA MARIA DA SILVA</v>
          </cell>
          <cell r="B888">
            <v>16867</v>
          </cell>
          <cell r="C888" t="str">
            <v>LILIA MARIA DA SILVA</v>
          </cell>
          <cell r="D888" t="str">
            <v>OPERAÇÃO TRANSPORTES</v>
          </cell>
        </row>
        <row r="889">
          <cell r="A889" t="str">
            <v>31008LINDAURA RAYANE FERREIRA DE LIMA</v>
          </cell>
          <cell r="B889">
            <v>31008</v>
          </cell>
          <cell r="C889" t="str">
            <v>LINDAURA RAYANE FERREIRA DE LIMA</v>
          </cell>
          <cell r="D889" t="str">
            <v>OPERAÇÃO TRANSPORTES</v>
          </cell>
        </row>
        <row r="890">
          <cell r="A890" t="str">
            <v>15760LOURIVAL NEVES VIANA</v>
          </cell>
          <cell r="B890">
            <v>15760</v>
          </cell>
          <cell r="C890" t="str">
            <v>LOURIVAL NEVES VIANA</v>
          </cell>
          <cell r="D890" t="str">
            <v>OPERAÇÃO TRANSPORTES</v>
          </cell>
        </row>
        <row r="891">
          <cell r="A891" t="str">
            <v>31497LUAN RODRIGUES</v>
          </cell>
          <cell r="B891">
            <v>31497</v>
          </cell>
          <cell r="C891" t="str">
            <v>LUAN RODRIGUES</v>
          </cell>
          <cell r="D891" t="str">
            <v>OPERAÇÃO TRANSPORTES</v>
          </cell>
        </row>
        <row r="892">
          <cell r="A892" t="str">
            <v>31588LUANA MEDEIROS FERREIRA DOS SANTOS</v>
          </cell>
          <cell r="B892">
            <v>31588</v>
          </cell>
          <cell r="C892" t="str">
            <v>LUANA MEDEIROS FERREIRA DOS SANTOS</v>
          </cell>
          <cell r="D892" t="str">
            <v>OPERAÇÃO TRANSPORTES</v>
          </cell>
        </row>
        <row r="893">
          <cell r="A893" t="str">
            <v>31573LUCAS MAGALHAES DE SOUSA</v>
          </cell>
          <cell r="B893">
            <v>31573</v>
          </cell>
          <cell r="C893" t="str">
            <v>LUCAS MAGALHAES DE SOUSA</v>
          </cell>
          <cell r="D893" t="str">
            <v>OPERAÇÃO TRANSPORTES</v>
          </cell>
        </row>
        <row r="894">
          <cell r="A894" t="str">
            <v>31704LUCAS ROBERTO PACHECO OLIVEIRA DOS SANTOS</v>
          </cell>
          <cell r="B894">
            <v>31704</v>
          </cell>
          <cell r="C894" t="str">
            <v>LUCAS ROBERTO PACHECO OLIVEIRA DOS SANTOS</v>
          </cell>
          <cell r="D894" t="str">
            <v>OPERAÇÃO TRANSPORTES</v>
          </cell>
        </row>
        <row r="895">
          <cell r="A895" t="str">
            <v>31552LUCIANA DE MELO BEZERRA</v>
          </cell>
          <cell r="B895">
            <v>31552</v>
          </cell>
          <cell r="C895" t="str">
            <v>LUCIANA DE MELO BEZERRA</v>
          </cell>
          <cell r="D895" t="str">
            <v>TECNOLOGIA DA INFORMAÇÃO</v>
          </cell>
        </row>
        <row r="896">
          <cell r="A896" t="str">
            <v>31566LUCIANA MARIA FARENCENA</v>
          </cell>
          <cell r="B896">
            <v>31566</v>
          </cell>
          <cell r="C896" t="str">
            <v>LUCIANA MARIA FARENCENA</v>
          </cell>
          <cell r="D896" t="str">
            <v>QUALIDADE</v>
          </cell>
        </row>
        <row r="897">
          <cell r="A897" t="str">
            <v>22144LUCIANA VILASSA DE SOUZA</v>
          </cell>
          <cell r="B897">
            <v>22144</v>
          </cell>
          <cell r="C897" t="str">
            <v>LUCIANA VILASSA DE SOUZA</v>
          </cell>
          <cell r="D897" t="str">
            <v>OPERAÇÃO TRANSPORTES</v>
          </cell>
        </row>
        <row r="898">
          <cell r="A898" t="str">
            <v>25609LUCIANO ANTONIO DOS SANTOS</v>
          </cell>
          <cell r="B898">
            <v>25609</v>
          </cell>
          <cell r="C898" t="str">
            <v>LUCIANO ANTONIO DOS SANTOS</v>
          </cell>
          <cell r="D898" t="str">
            <v>OPERAÇÃO TRANSPORTES</v>
          </cell>
        </row>
        <row r="899">
          <cell r="A899" t="str">
            <v>31089LUCIANO MOREIRA DE SOUZA</v>
          </cell>
          <cell r="B899">
            <v>31089</v>
          </cell>
          <cell r="C899" t="str">
            <v>LUCIANO MOREIRA DE SOUZA</v>
          </cell>
          <cell r="D899" t="str">
            <v>OPERAÇÃO TRANSPORTES</v>
          </cell>
        </row>
        <row r="900">
          <cell r="A900" t="str">
            <v>17000LUCILIO PEREIRA LOPES</v>
          </cell>
          <cell r="B900">
            <v>17000</v>
          </cell>
          <cell r="C900" t="str">
            <v>LUCILIO PEREIRA LOPES</v>
          </cell>
          <cell r="D900" t="str">
            <v>OPERAÇÃO TRANSPORTES</v>
          </cell>
        </row>
        <row r="901">
          <cell r="A901" t="str">
            <v>26397LUIS AUGUSTO TALERIGA TORRES</v>
          </cell>
          <cell r="B901">
            <v>26397</v>
          </cell>
          <cell r="C901" t="str">
            <v>LUIS AUGUSTO TALERIGA TORRES</v>
          </cell>
          <cell r="D901" t="str">
            <v>OPERAÇÃO TRANSPORTES</v>
          </cell>
        </row>
        <row r="902">
          <cell r="A902" t="str">
            <v>27717LUIS CARLOS DE SOUZA SOARES JUNIOR</v>
          </cell>
          <cell r="B902">
            <v>27717</v>
          </cell>
          <cell r="C902" t="str">
            <v>LUIS CARLOS DE SOUZA SOARES JUNIOR</v>
          </cell>
          <cell r="D902" t="str">
            <v>OPERAÇÃO TRANSPORTES</v>
          </cell>
        </row>
        <row r="903">
          <cell r="A903" t="str">
            <v>31563LUIS CARLOS PEREIRA</v>
          </cell>
          <cell r="B903">
            <v>31563</v>
          </cell>
          <cell r="C903" t="str">
            <v>LUIS CARLOS PEREIRA</v>
          </cell>
          <cell r="D903" t="str">
            <v>OPERAÇÃO TRANSPORTES</v>
          </cell>
        </row>
        <row r="904">
          <cell r="A904" t="str">
            <v>23497LUIS FERNANDO BARBOSA SILVEIRA</v>
          </cell>
          <cell r="B904">
            <v>23497</v>
          </cell>
          <cell r="C904" t="str">
            <v>LUIS FERNANDO BARBOSA SILVEIRA</v>
          </cell>
          <cell r="D904" t="str">
            <v>OPERAÇÃO TRANSPORTES</v>
          </cell>
        </row>
        <row r="905">
          <cell r="A905" t="str">
            <v>31088LUIS PHILLIPE PEREIRA DE SOUZA</v>
          </cell>
          <cell r="B905">
            <v>31088</v>
          </cell>
          <cell r="C905" t="str">
            <v>LUIS PHILLIPE PEREIRA DE SOUZA</v>
          </cell>
          <cell r="D905" t="str">
            <v>OPERAÇÃO TRANSPORTES</v>
          </cell>
        </row>
        <row r="906">
          <cell r="A906" t="str">
            <v>14085LUIS RENATO DA MATA</v>
          </cell>
          <cell r="B906">
            <v>14085</v>
          </cell>
          <cell r="C906" t="str">
            <v>LUIS RENATO DA MATA</v>
          </cell>
          <cell r="D906" t="str">
            <v>OPERAÇÃO TRANSPORTES</v>
          </cell>
        </row>
        <row r="907">
          <cell r="A907" t="str">
            <v>16614LUIZ ANTONIO ROSA</v>
          </cell>
          <cell r="B907">
            <v>16614</v>
          </cell>
          <cell r="C907" t="str">
            <v>LUIZ ANTONIO ROSA</v>
          </cell>
          <cell r="D907" t="str">
            <v>OPERAÇÃO TRANSPORTES</v>
          </cell>
        </row>
        <row r="908">
          <cell r="A908" t="str">
            <v>16535LUIZ CARLOS ALVES DE SOUZA</v>
          </cell>
          <cell r="B908">
            <v>16535</v>
          </cell>
          <cell r="C908" t="str">
            <v>LUIZ CARLOS ALVES DE SOUZA</v>
          </cell>
          <cell r="D908" t="str">
            <v>OPERAÇÃO TRANSPORTES</v>
          </cell>
        </row>
        <row r="909">
          <cell r="A909" t="str">
            <v>25618LUIZ CARLOS DE ASSIS</v>
          </cell>
          <cell r="B909">
            <v>25618</v>
          </cell>
          <cell r="C909" t="str">
            <v>LUIZ CARLOS DE ASSIS</v>
          </cell>
          <cell r="D909" t="str">
            <v>OPERAÇÃO TRANSPORTES</v>
          </cell>
        </row>
        <row r="910">
          <cell r="A910" t="str">
            <v>30163LUIZ CARLOS DE LIMA</v>
          </cell>
          <cell r="B910">
            <v>30163</v>
          </cell>
          <cell r="C910" t="str">
            <v>LUIZ CARLOS DE LIMA</v>
          </cell>
          <cell r="D910" t="str">
            <v>OPERAÇÃO TRANSPORTES</v>
          </cell>
        </row>
        <row r="911">
          <cell r="A911" t="str">
            <v>26044LUIZ CARLOS DE OLIVEIRA</v>
          </cell>
          <cell r="B911">
            <v>26044</v>
          </cell>
          <cell r="C911" t="str">
            <v>LUIZ CARLOS DE OLIVEIRA</v>
          </cell>
          <cell r="D911" t="str">
            <v>OPERAÇÃO TRANSPORTES</v>
          </cell>
        </row>
        <row r="912">
          <cell r="A912" t="str">
            <v>14262LUIZ CARLOS MOREIRA DA SILVA</v>
          </cell>
          <cell r="B912">
            <v>14262</v>
          </cell>
          <cell r="C912" t="str">
            <v>LUIZ CARLOS MOREIRA DA SILVA</v>
          </cell>
          <cell r="D912" t="str">
            <v>OPERAÇÃO TRANSPORTES</v>
          </cell>
        </row>
        <row r="913">
          <cell r="A913" t="str">
            <v>21044LUIZ CARLOS OLIMPIO</v>
          </cell>
          <cell r="B913">
            <v>21044</v>
          </cell>
          <cell r="C913" t="str">
            <v>LUIZ CARLOS OLIMPIO</v>
          </cell>
          <cell r="D913" t="str">
            <v>OPERAÇÃO TRANSPORTES</v>
          </cell>
        </row>
        <row r="914">
          <cell r="A914" t="str">
            <v>16191LUIZ CARLOS ROCHA MIRANDA</v>
          </cell>
          <cell r="B914">
            <v>16191</v>
          </cell>
          <cell r="C914" t="str">
            <v>LUIZ CARLOS ROCHA MIRANDA</v>
          </cell>
          <cell r="D914" t="str">
            <v>OPERAÇÃO TRANSPORTES</v>
          </cell>
        </row>
        <row r="915">
          <cell r="A915" t="str">
            <v>15768LUIZ CRUZ LOPES</v>
          </cell>
          <cell r="B915">
            <v>15768</v>
          </cell>
          <cell r="C915" t="str">
            <v>LUIZ CRUZ LOPES</v>
          </cell>
          <cell r="D915" t="str">
            <v>OPERAÇÃO TRANSPORTES</v>
          </cell>
        </row>
        <row r="916">
          <cell r="A916" t="str">
            <v>16046LUIZ DIOGO DE LIMA</v>
          </cell>
          <cell r="B916">
            <v>16046</v>
          </cell>
          <cell r="C916" t="str">
            <v>LUIZ DIOGO DE LIMA</v>
          </cell>
          <cell r="D916" t="str">
            <v>OPERAÇÃO TRANSPORTES</v>
          </cell>
        </row>
        <row r="917">
          <cell r="A917" t="str">
            <v>29916LUIZ FELLIPE SIQUEIRA LIMA</v>
          </cell>
          <cell r="B917">
            <v>29916</v>
          </cell>
          <cell r="C917" t="str">
            <v>LUIZ FELLIPE SIQUEIRA LIMA</v>
          </cell>
          <cell r="D917" t="str">
            <v>OPERAÇÃO TRANSPORTES</v>
          </cell>
        </row>
        <row r="918">
          <cell r="A918" t="str">
            <v>17040LUIZ FERNANDO COSTA</v>
          </cell>
          <cell r="B918">
            <v>17040</v>
          </cell>
          <cell r="C918" t="str">
            <v>LUIZ FERNANDO COSTA</v>
          </cell>
          <cell r="D918" t="str">
            <v>SERVIÇOS</v>
          </cell>
        </row>
        <row r="919">
          <cell r="A919" t="str">
            <v>29138LUIZ FERNANDO NASCIMENTO CORREA</v>
          </cell>
          <cell r="B919">
            <v>29138</v>
          </cell>
          <cell r="C919" t="str">
            <v>LUIZ FERNANDO NASCIMENTO CORREA</v>
          </cell>
          <cell r="D919" t="str">
            <v>SERVIÇOS</v>
          </cell>
        </row>
        <row r="920">
          <cell r="A920" t="str">
            <v>23059LUIZ FERNANDO TAVARES ARAUJO</v>
          </cell>
          <cell r="B920">
            <v>23059</v>
          </cell>
          <cell r="C920" t="str">
            <v>LUIZ FERNANDO TAVARES ARAUJO</v>
          </cell>
          <cell r="D920" t="str">
            <v>OPERAÇÃO TRANSPORTES</v>
          </cell>
        </row>
        <row r="921">
          <cell r="A921" t="str">
            <v>31646LUIZ GUSTAVO MENDES</v>
          </cell>
          <cell r="B921">
            <v>31646</v>
          </cell>
          <cell r="C921" t="str">
            <v>LUIZ GUSTAVO MENDES</v>
          </cell>
          <cell r="D921" t="str">
            <v>OPERAÇÃO TRANSPORTES</v>
          </cell>
        </row>
        <row r="922">
          <cell r="A922" t="str">
            <v>31653LUIZ HENRIQUE COSTA CASTRO</v>
          </cell>
          <cell r="B922">
            <v>31653</v>
          </cell>
          <cell r="C922" t="str">
            <v>LUIZ HENRIQUE COSTA CASTRO</v>
          </cell>
          <cell r="D922" t="str">
            <v>GOVERNANÇA</v>
          </cell>
        </row>
        <row r="923">
          <cell r="A923" t="str">
            <v>28927LUIZ PAULO CAMILO</v>
          </cell>
          <cell r="B923">
            <v>28927</v>
          </cell>
          <cell r="C923" t="str">
            <v>LUIZ PAULO CAMILO</v>
          </cell>
          <cell r="D923" t="str">
            <v>OPERAÇÃO TRANSPORTES</v>
          </cell>
        </row>
        <row r="924">
          <cell r="A924" t="str">
            <v>27594LWDIMYLLA DOS SANTOS ALVES</v>
          </cell>
          <cell r="B924">
            <v>27594</v>
          </cell>
          <cell r="C924" t="str">
            <v>LWDIMYLLA DOS SANTOS ALVES</v>
          </cell>
          <cell r="D924" t="str">
            <v>OPERAÇÃO TRANSPORTES</v>
          </cell>
        </row>
        <row r="925">
          <cell r="A925" t="str">
            <v>24810MAGDA LUCIA MENDES DA SILVA</v>
          </cell>
          <cell r="B925">
            <v>24810</v>
          </cell>
          <cell r="C925" t="str">
            <v>MAGDA LUCIA MENDES DA SILVA</v>
          </cell>
          <cell r="D925" t="str">
            <v>OPERAÇÃO TRANSPORTES</v>
          </cell>
        </row>
        <row r="926">
          <cell r="A926" t="str">
            <v>15992MAICON ALVES SILVA</v>
          </cell>
          <cell r="B926">
            <v>15992</v>
          </cell>
          <cell r="C926" t="str">
            <v>MAICON ALVES SILVA</v>
          </cell>
          <cell r="D926" t="str">
            <v>OPERAÇÃO TRANSPORTES</v>
          </cell>
        </row>
        <row r="927">
          <cell r="A927" t="str">
            <v>28903MAIRA REGINA DA SILVA ALMEIDA</v>
          </cell>
          <cell r="B927">
            <v>28903</v>
          </cell>
          <cell r="C927" t="str">
            <v>MAIRA REGINA DA SILVA ALMEIDA</v>
          </cell>
          <cell r="D927" t="str">
            <v>GOVERNANÇA</v>
          </cell>
        </row>
        <row r="928">
          <cell r="A928" t="str">
            <v>28912MARCELA CONCEICAO DOS SANTOS</v>
          </cell>
          <cell r="B928">
            <v>28912</v>
          </cell>
          <cell r="C928" t="str">
            <v>MARCELA CONCEICAO DOS SANTOS</v>
          </cell>
          <cell r="D928" t="str">
            <v>OPERAÇÃO TRANSPORTES</v>
          </cell>
        </row>
        <row r="929">
          <cell r="A929" t="str">
            <v>13891MARCELLO BATISTA BIGATTI</v>
          </cell>
          <cell r="B929">
            <v>13891</v>
          </cell>
          <cell r="C929" t="str">
            <v>MARCELLO BATISTA BIGATTI</v>
          </cell>
          <cell r="D929" t="str">
            <v>OPERAÇÃO TRANSPORTES</v>
          </cell>
        </row>
        <row r="930">
          <cell r="A930" t="str">
            <v>28453MARCELO APARECIDO VICENTE</v>
          </cell>
          <cell r="B930">
            <v>28453</v>
          </cell>
          <cell r="C930" t="str">
            <v>MARCELO APARECIDO VICENTE</v>
          </cell>
          <cell r="D930" t="str">
            <v>OPERAÇÃO TRANSPORTES</v>
          </cell>
        </row>
        <row r="931">
          <cell r="A931" t="str">
            <v>24056MARCELO DA SILVA</v>
          </cell>
          <cell r="B931">
            <v>24056</v>
          </cell>
          <cell r="C931" t="str">
            <v>MARCELO DA SILVA</v>
          </cell>
          <cell r="D931" t="str">
            <v>OPERAÇÃO TRANSPORTES</v>
          </cell>
        </row>
        <row r="932">
          <cell r="A932" t="str">
            <v>13949MARCELO DA SILVA RIBEIRO</v>
          </cell>
          <cell r="B932">
            <v>13949</v>
          </cell>
          <cell r="C932" t="str">
            <v>MARCELO DA SILVA RIBEIRO</v>
          </cell>
          <cell r="D932" t="str">
            <v>OPERAÇÃO TRANSPORTES</v>
          </cell>
        </row>
        <row r="933">
          <cell r="A933" t="str">
            <v>31603MARCELO FERREIRA MARTINS</v>
          </cell>
          <cell r="B933">
            <v>31603</v>
          </cell>
          <cell r="C933" t="str">
            <v>MARCELO FERREIRA MARTINS</v>
          </cell>
          <cell r="D933" t="str">
            <v>OPERAÇÃO TRANSPORTES</v>
          </cell>
        </row>
        <row r="934">
          <cell r="A934" t="str">
            <v>28327MARCELO HENRIQUE DA SILVA SANTOS</v>
          </cell>
          <cell r="B934">
            <v>28327</v>
          </cell>
          <cell r="C934" t="str">
            <v>MARCELO HENRIQUE DA SILVA SANTOS</v>
          </cell>
          <cell r="D934" t="str">
            <v>OPERAÇÃO TRANSPORTES</v>
          </cell>
        </row>
        <row r="935">
          <cell r="A935" t="str">
            <v>26386MARCELO MENDES DE SOUZA</v>
          </cell>
          <cell r="B935">
            <v>26386</v>
          </cell>
          <cell r="C935" t="str">
            <v>MARCELO MENDES DE SOUZA</v>
          </cell>
          <cell r="D935" t="str">
            <v>OPERAÇÃO TRANSPORTES</v>
          </cell>
        </row>
        <row r="936">
          <cell r="A936" t="str">
            <v>15858MARCELO MIRANDA MARQUES</v>
          </cell>
          <cell r="B936">
            <v>15858</v>
          </cell>
          <cell r="C936" t="str">
            <v>MARCELO MIRANDA MARQUES</v>
          </cell>
          <cell r="D936" t="str">
            <v>OPERAÇÃO TRANSPORTES</v>
          </cell>
        </row>
        <row r="937">
          <cell r="A937" t="str">
            <v>24860MARCELO NUNES</v>
          </cell>
          <cell r="B937">
            <v>24860</v>
          </cell>
          <cell r="C937" t="str">
            <v>MARCELO NUNES</v>
          </cell>
          <cell r="D937" t="str">
            <v>OPERAÇÃO TRANSPORTES</v>
          </cell>
        </row>
        <row r="938">
          <cell r="A938" t="str">
            <v>29268MARCIA FERNANDES SILVA</v>
          </cell>
          <cell r="B938">
            <v>29268</v>
          </cell>
          <cell r="C938" t="str">
            <v>MARCIA FERNANDES SILVA</v>
          </cell>
          <cell r="D938" t="str">
            <v>OPERAÇÃO TRANSPORTES</v>
          </cell>
        </row>
        <row r="939">
          <cell r="A939" t="str">
            <v>24667MARCIA FERREIRA DA MOTA</v>
          </cell>
          <cell r="B939">
            <v>24667</v>
          </cell>
          <cell r="C939" t="str">
            <v>MARCIA FERREIRA DA MOTA</v>
          </cell>
          <cell r="D939" t="str">
            <v>OPERAÇÃO TRANSPORTES</v>
          </cell>
        </row>
        <row r="940">
          <cell r="A940" t="str">
            <v>23912MARCIA MARIA GONCALVES MOURA</v>
          </cell>
          <cell r="B940">
            <v>23912</v>
          </cell>
          <cell r="C940" t="str">
            <v>MARCIA MARIA GONCALVES MOURA</v>
          </cell>
          <cell r="D940" t="str">
            <v>GOVERNANÇA</v>
          </cell>
        </row>
        <row r="941">
          <cell r="A941" t="str">
            <v>30972MARCIO ANCHIETA CELESTINO</v>
          </cell>
          <cell r="B941">
            <v>30972</v>
          </cell>
          <cell r="C941" t="str">
            <v>MARCIO ANCHIETA CELESTINO</v>
          </cell>
          <cell r="D941" t="str">
            <v>SERVIÇOS</v>
          </cell>
        </row>
        <row r="942">
          <cell r="A942" t="str">
            <v>31550MARCIO BENTO TAVARES MILHOMENS</v>
          </cell>
          <cell r="B942">
            <v>31550</v>
          </cell>
          <cell r="C942" t="str">
            <v>MARCIO BENTO TAVARES MILHOMENS</v>
          </cell>
          <cell r="D942" t="str">
            <v>OPERAÇÃO TRANSPORTES</v>
          </cell>
        </row>
        <row r="943">
          <cell r="A943" t="str">
            <v>13861MARCIO TEIXEIRA DOS SANTOS</v>
          </cell>
          <cell r="B943">
            <v>13861</v>
          </cell>
          <cell r="C943" t="str">
            <v>MARCIO TEIXEIRA DOS SANTOS</v>
          </cell>
          <cell r="D943" t="str">
            <v>OPERAÇÃO TRANSPORTES</v>
          </cell>
        </row>
        <row r="944">
          <cell r="A944" t="str">
            <v>16558MARCO ANTONIO BORBA</v>
          </cell>
          <cell r="B944">
            <v>16558</v>
          </cell>
          <cell r="C944" t="str">
            <v>MARCO ANTONIO BORBA</v>
          </cell>
          <cell r="D944" t="str">
            <v>OPERAÇÃO TRANSPORTES</v>
          </cell>
        </row>
        <row r="945">
          <cell r="A945" t="str">
            <v>16111MARCO ANTONIO DE SOUSA</v>
          </cell>
          <cell r="B945">
            <v>16111</v>
          </cell>
          <cell r="C945" t="str">
            <v>MARCO ANTONIO DE SOUSA</v>
          </cell>
          <cell r="D945" t="str">
            <v>PRESIDENCIA</v>
          </cell>
        </row>
        <row r="946">
          <cell r="A946" t="str">
            <v>22701MARCO AURELIO NASCIMENTO DA SILVA</v>
          </cell>
          <cell r="B946">
            <v>22701</v>
          </cell>
          <cell r="C946" t="str">
            <v>MARCO AURELIO NASCIMENTO DA SILVA</v>
          </cell>
          <cell r="D946" t="str">
            <v>OPERAÇÃO TRANSPORTES</v>
          </cell>
        </row>
        <row r="947">
          <cell r="A947" t="str">
            <v>17001MARCOS ANTONIO ROSA FRANCO</v>
          </cell>
          <cell r="B947">
            <v>17001</v>
          </cell>
          <cell r="C947" t="str">
            <v>MARCOS ANTONIO ROSA FRANCO</v>
          </cell>
          <cell r="D947" t="str">
            <v>OPERAÇÃO TRANSPORTES</v>
          </cell>
        </row>
        <row r="948">
          <cell r="A948" t="str">
            <v>15994MARCOS ANTONIO ROSENDO SILVA</v>
          </cell>
          <cell r="B948">
            <v>15994</v>
          </cell>
          <cell r="C948" t="str">
            <v>MARCOS ANTONIO ROSENDO SILVA</v>
          </cell>
          <cell r="D948" t="str">
            <v>OPERAÇÃO TRANSPORTES</v>
          </cell>
        </row>
        <row r="949">
          <cell r="A949" t="str">
            <v>21580MARCOS ANTONIO SARDINHA</v>
          </cell>
          <cell r="B949">
            <v>21580</v>
          </cell>
          <cell r="C949" t="str">
            <v>MARCOS ANTONIO SARDINHA</v>
          </cell>
          <cell r="D949" t="str">
            <v>OPERAÇÃO TRANSPORTES</v>
          </cell>
        </row>
        <row r="950">
          <cell r="A950" t="str">
            <v>16218MARCOS ANTONIO VITOCA FONSECA</v>
          </cell>
          <cell r="B950">
            <v>16218</v>
          </cell>
          <cell r="C950" t="str">
            <v>MARCOS ANTONIO VITOCA FONSECA</v>
          </cell>
          <cell r="D950" t="str">
            <v>OPERAÇÃO TRANSPORTES</v>
          </cell>
        </row>
        <row r="951">
          <cell r="A951" t="str">
            <v>31593MARCOS CARNEIRO DE ASSIS</v>
          </cell>
          <cell r="B951">
            <v>31593</v>
          </cell>
          <cell r="C951" t="str">
            <v>MARCOS CARNEIRO DE ASSIS</v>
          </cell>
          <cell r="D951" t="str">
            <v>OPERAÇÃO TRANSPORTES</v>
          </cell>
        </row>
        <row r="952">
          <cell r="A952" t="str">
            <v>15936MARCOS JOSE MARCELINO</v>
          </cell>
          <cell r="B952">
            <v>15936</v>
          </cell>
          <cell r="C952" t="str">
            <v>MARCOS JOSE MARCELINO</v>
          </cell>
          <cell r="D952" t="str">
            <v>OPERAÇÃO TRANSPORTES</v>
          </cell>
        </row>
        <row r="953">
          <cell r="A953" t="str">
            <v>12193MARCOS JOSE SANTINO CARATIU</v>
          </cell>
          <cell r="B953">
            <v>12193</v>
          </cell>
          <cell r="C953" t="str">
            <v>MARCOS JOSE SANTINO CARATIU</v>
          </cell>
          <cell r="D953" t="str">
            <v>OPERAÇÃO TRANSPORTES</v>
          </cell>
        </row>
        <row r="954">
          <cell r="A954" t="str">
            <v>16950MARCOS MARCONDES</v>
          </cell>
          <cell r="B954">
            <v>16950</v>
          </cell>
          <cell r="C954" t="str">
            <v>MARCOS MARCONDES</v>
          </cell>
          <cell r="D954" t="str">
            <v>OPERAÇÃO TRANSPORTES</v>
          </cell>
        </row>
        <row r="955">
          <cell r="A955" t="str">
            <v>31688MARCOS ROBERTO ROCHA DE FARIAS</v>
          </cell>
          <cell r="B955">
            <v>31688</v>
          </cell>
          <cell r="C955" t="str">
            <v>MARCOS ROBERTO ROCHA DE FARIAS</v>
          </cell>
          <cell r="D955" t="str">
            <v>OPERAÇÃO TRANSPORTES</v>
          </cell>
        </row>
        <row r="956">
          <cell r="A956" t="str">
            <v>28553MARCOS SEIJI OHASHI</v>
          </cell>
          <cell r="B956">
            <v>28553</v>
          </cell>
          <cell r="C956" t="str">
            <v>MARCOS SEIJI OHASHI</v>
          </cell>
          <cell r="D956" t="str">
            <v>COMERCIAL/ENG. LOGÍSTICA</v>
          </cell>
        </row>
        <row r="957">
          <cell r="A957" t="str">
            <v>30411MARCUS VINICIUS DOS SANTOS</v>
          </cell>
          <cell r="B957">
            <v>30411</v>
          </cell>
          <cell r="C957" t="str">
            <v>MARCUS VINICIUS DOS SANTOS</v>
          </cell>
          <cell r="D957" t="str">
            <v>OPERAÇÃO TRANSPORTES</v>
          </cell>
        </row>
        <row r="958">
          <cell r="A958" t="str">
            <v>31489MARCUS VINICIUS GAMA DA SILVA</v>
          </cell>
          <cell r="B958">
            <v>31489</v>
          </cell>
          <cell r="C958" t="str">
            <v>MARCUS VINICIUS GAMA DA SILVA</v>
          </cell>
          <cell r="D958" t="str">
            <v>OPERAÇÃO TRANSPORTES</v>
          </cell>
        </row>
        <row r="959">
          <cell r="A959" t="str">
            <v>14287MARIA CRISTINA DE LIMA</v>
          </cell>
          <cell r="B959">
            <v>14287</v>
          </cell>
          <cell r="C959" t="str">
            <v>MARIA CRISTINA DE LIMA</v>
          </cell>
          <cell r="D959" t="str">
            <v>QUALIDADE</v>
          </cell>
        </row>
        <row r="960">
          <cell r="A960" t="str">
            <v>15803MARIA DO CARMO DA S. SANTOS</v>
          </cell>
          <cell r="B960">
            <v>15803</v>
          </cell>
          <cell r="C960" t="str">
            <v>MARIA DO CARMO DA S. SANTOS</v>
          </cell>
          <cell r="D960" t="str">
            <v>OPERAÇÃO TRANSPORTES</v>
          </cell>
        </row>
        <row r="961">
          <cell r="A961" t="str">
            <v>27634MARIA VANJA MIRANDA DE ANDRADE BOYEK</v>
          </cell>
          <cell r="B961">
            <v>27634</v>
          </cell>
          <cell r="C961" t="str">
            <v>MARIA VANJA MIRANDA DE ANDRADE BOYEK</v>
          </cell>
          <cell r="D961" t="str">
            <v>OPERAÇÃO TRANSPORTES</v>
          </cell>
        </row>
        <row r="962">
          <cell r="A962" t="str">
            <v>31633MARIANA CRISTINA BOMBARDELLI</v>
          </cell>
          <cell r="B962">
            <v>31633</v>
          </cell>
          <cell r="C962" t="str">
            <v>MARIANA CRISTINA BOMBARDELLI</v>
          </cell>
          <cell r="D962" t="str">
            <v>QUALIDADE</v>
          </cell>
        </row>
        <row r="963">
          <cell r="A963" t="str">
            <v>31610MARIANNA FIRMINO NOGUEIRA</v>
          </cell>
          <cell r="B963">
            <v>31610</v>
          </cell>
          <cell r="C963" t="str">
            <v>MARIANNA FIRMINO NOGUEIRA</v>
          </cell>
          <cell r="D963" t="str">
            <v>COMERCIAL/ENG. LOGÍSTICA</v>
          </cell>
        </row>
        <row r="964">
          <cell r="A964" t="str">
            <v>13954MARILDO DE MORAES SILVA</v>
          </cell>
          <cell r="B964">
            <v>13954</v>
          </cell>
          <cell r="C964" t="str">
            <v>MARILDO DE MORAES SILVA</v>
          </cell>
          <cell r="D964" t="str">
            <v>OPERAÇÃO TRANSPORTES</v>
          </cell>
        </row>
        <row r="965">
          <cell r="A965" t="str">
            <v>16018MARIO CARLI</v>
          </cell>
          <cell r="B965">
            <v>16018</v>
          </cell>
          <cell r="C965" t="str">
            <v>MARIO CARLI</v>
          </cell>
          <cell r="D965" t="str">
            <v>OPERAÇÃO TRANSPORTES</v>
          </cell>
        </row>
        <row r="966">
          <cell r="A966" t="str">
            <v>26271MARIO JORGE BATISTA GONCALVES</v>
          </cell>
          <cell r="B966">
            <v>26271</v>
          </cell>
          <cell r="C966" t="str">
            <v>MARIO JORGE BATISTA GONCALVES</v>
          </cell>
          <cell r="D966" t="str">
            <v>OPERAÇÃO TRANSPORTES</v>
          </cell>
        </row>
        <row r="967">
          <cell r="A967" t="str">
            <v>15753MARTA ALEIXO FERNANDES</v>
          </cell>
          <cell r="B967">
            <v>15753</v>
          </cell>
          <cell r="C967" t="str">
            <v>MARTA ALEIXO FERNANDES</v>
          </cell>
          <cell r="D967" t="str">
            <v>GOVERNANÇA</v>
          </cell>
        </row>
        <row r="968">
          <cell r="A968" t="str">
            <v>15908MARTA MARIA DA SILVA PROFETA</v>
          </cell>
          <cell r="B968">
            <v>15908</v>
          </cell>
          <cell r="C968" t="str">
            <v>MARTA MARIA DA SILVA PROFETA</v>
          </cell>
          <cell r="D968" t="str">
            <v>OPERAÇÃO TRANSPORTES</v>
          </cell>
        </row>
        <row r="969">
          <cell r="A969" t="str">
            <v>29329MATHEUS AZEVEDO DA SILVA</v>
          </cell>
          <cell r="B969">
            <v>29329</v>
          </cell>
          <cell r="C969" t="str">
            <v>MATHEUS AZEVEDO DA SILVA</v>
          </cell>
          <cell r="D969" t="str">
            <v>OPERAÇÃO TRANSPORTES</v>
          </cell>
        </row>
        <row r="970">
          <cell r="A970" t="str">
            <v>26524MAURICIO FELIX DE FREITAS DE LIMA</v>
          </cell>
          <cell r="B970">
            <v>26524</v>
          </cell>
          <cell r="C970" t="str">
            <v>MAURICIO FELIX DE FREITAS DE LIMA</v>
          </cell>
          <cell r="D970" t="str">
            <v>OPERAÇÃO TRANSPORTES</v>
          </cell>
        </row>
        <row r="971">
          <cell r="A971" t="str">
            <v>27461MAURISLAN DE SOUZA DIAS</v>
          </cell>
          <cell r="B971">
            <v>27461</v>
          </cell>
          <cell r="C971" t="str">
            <v>MAURISLAN DE SOUZA DIAS</v>
          </cell>
          <cell r="D971" t="str">
            <v>OPERAÇÃO TRANSPORTES</v>
          </cell>
        </row>
        <row r="972">
          <cell r="A972" t="str">
            <v>29207MAXIEL JESUS DA RESSUREICAO</v>
          </cell>
          <cell r="B972">
            <v>29207</v>
          </cell>
          <cell r="C972" t="str">
            <v>MAXIEL JESUS DA RESSUREICAO</v>
          </cell>
          <cell r="D972" t="str">
            <v>OPERAÇÃO TRANSPORTES</v>
          </cell>
        </row>
        <row r="973">
          <cell r="A973" t="str">
            <v>31629MAXSUEL AZEVEDO CARDOSO</v>
          </cell>
          <cell r="B973">
            <v>31629</v>
          </cell>
          <cell r="C973" t="str">
            <v>MAXSUEL AZEVEDO CARDOSO</v>
          </cell>
          <cell r="D973" t="str">
            <v>OPERAÇÃO TRANSPORTES</v>
          </cell>
        </row>
        <row r="974">
          <cell r="A974" t="str">
            <v>21174MICHELLE APARECIDA BARBOSA BISPO LACERDA</v>
          </cell>
          <cell r="B974">
            <v>21174</v>
          </cell>
          <cell r="C974" t="str">
            <v>MICHELLE APARECIDA BARBOSA BISPO LACERDA</v>
          </cell>
          <cell r="D974" t="str">
            <v>PRESIDENCIA</v>
          </cell>
        </row>
        <row r="975">
          <cell r="A975" t="str">
            <v>27310MICHELLE GONCALVES MOTA</v>
          </cell>
          <cell r="B975">
            <v>27310</v>
          </cell>
          <cell r="C975" t="str">
            <v>MICHELLE GONCALVES MOTA</v>
          </cell>
          <cell r="D975" t="str">
            <v>OPERAÇÃO TRANSPORTES</v>
          </cell>
        </row>
        <row r="976">
          <cell r="A976" t="str">
            <v>26739MICHELLE HAMMOUD</v>
          </cell>
          <cell r="B976">
            <v>26739</v>
          </cell>
          <cell r="C976" t="str">
            <v>MICHELLE HAMMOUD</v>
          </cell>
          <cell r="D976" t="str">
            <v>GOVERNANÇA</v>
          </cell>
        </row>
        <row r="977">
          <cell r="A977" t="str">
            <v>31420MILENA PAES TRINDADE</v>
          </cell>
          <cell r="B977">
            <v>31420</v>
          </cell>
          <cell r="C977" t="str">
            <v>MILENA PAES TRINDADE</v>
          </cell>
          <cell r="D977" t="str">
            <v>OPERAÇÃO TRANSPORTES</v>
          </cell>
        </row>
        <row r="978">
          <cell r="A978" t="str">
            <v>26607MILTON MOREIRA</v>
          </cell>
          <cell r="B978">
            <v>26607</v>
          </cell>
          <cell r="C978" t="str">
            <v>MILTON MOREIRA</v>
          </cell>
          <cell r="D978" t="str">
            <v>OPERAÇÃO TRANSPORTES</v>
          </cell>
        </row>
        <row r="979">
          <cell r="A979" t="str">
            <v>26770NAIARA LOPES TEIXEIRA</v>
          </cell>
          <cell r="B979">
            <v>26770</v>
          </cell>
          <cell r="C979" t="str">
            <v>NAIARA LOPES TEIXEIRA</v>
          </cell>
          <cell r="D979" t="str">
            <v>OPERAÇÃO TRANSPORTES</v>
          </cell>
        </row>
        <row r="980">
          <cell r="A980" t="str">
            <v>25783NATALIA MARIA RODRIGUES FAN JORGE</v>
          </cell>
          <cell r="B980">
            <v>25783</v>
          </cell>
          <cell r="C980" t="str">
            <v>NATALIA MARIA RODRIGUES FAN JORGE</v>
          </cell>
          <cell r="D980" t="str">
            <v>GOVERNANÇA</v>
          </cell>
        </row>
        <row r="981">
          <cell r="A981" t="str">
            <v>31604NATANAEL JOSE PEDRO</v>
          </cell>
          <cell r="B981">
            <v>31604</v>
          </cell>
          <cell r="C981" t="str">
            <v>NATANAEL JOSE PEDRO</v>
          </cell>
          <cell r="D981" t="str">
            <v>OPERAÇÃO TRANSPORTES</v>
          </cell>
        </row>
        <row r="982">
          <cell r="A982" t="str">
            <v>26586NATASCHA CRISTIANE MANTHAY DE SOUZA</v>
          </cell>
          <cell r="B982">
            <v>26586</v>
          </cell>
          <cell r="C982" t="str">
            <v>NATASCHA CRISTIANE MANTHAY DE SOUZA</v>
          </cell>
          <cell r="D982" t="str">
            <v>OPERAÇÃO TRANSPORTES</v>
          </cell>
        </row>
        <row r="983">
          <cell r="A983" t="str">
            <v>25916NEIDSON RAMOS COELHO</v>
          </cell>
          <cell r="B983">
            <v>25916</v>
          </cell>
          <cell r="C983" t="str">
            <v>NEIDSON RAMOS COELHO</v>
          </cell>
          <cell r="D983" t="str">
            <v>OPERAÇÃO TRANSPORTES</v>
          </cell>
        </row>
        <row r="984">
          <cell r="A984" t="str">
            <v>23576NELSON DE LIMA FAGUNDES</v>
          </cell>
          <cell r="B984">
            <v>23576</v>
          </cell>
          <cell r="C984" t="str">
            <v>NELSON DE LIMA FAGUNDES</v>
          </cell>
          <cell r="D984" t="str">
            <v>OPERAÇÃO TRANSPORTES</v>
          </cell>
        </row>
        <row r="985">
          <cell r="A985" t="str">
            <v>27952NILSON AURELIANO DE AGUIAR JUNIOR</v>
          </cell>
          <cell r="B985">
            <v>27952</v>
          </cell>
          <cell r="C985" t="str">
            <v>NILSON AURELIANO DE AGUIAR JUNIOR</v>
          </cell>
          <cell r="D985" t="str">
            <v>OPERAÇÃO TRANSPORTES</v>
          </cell>
        </row>
        <row r="986">
          <cell r="A986" t="str">
            <v>26356NILSON KEVIN LIMA DA CRUZ</v>
          </cell>
          <cell r="B986">
            <v>26356</v>
          </cell>
          <cell r="C986" t="str">
            <v>NILSON KEVIN LIMA DA CRUZ</v>
          </cell>
          <cell r="D986" t="str">
            <v>OPERAÇÃO TRANSPORTES</v>
          </cell>
        </row>
        <row r="987">
          <cell r="A987" t="str">
            <v>21484NILSON ROCHA RODRIGUES JUNIOR</v>
          </cell>
          <cell r="B987">
            <v>21484</v>
          </cell>
          <cell r="C987" t="str">
            <v>NILSON ROCHA RODRIGUES JUNIOR</v>
          </cell>
          <cell r="D987" t="str">
            <v>OPERAÇÃO TRANSPORTES</v>
          </cell>
        </row>
        <row r="988">
          <cell r="A988" t="str">
            <v>31528NILSON RODRIGUES DOS SANTOS</v>
          </cell>
          <cell r="B988">
            <v>31528</v>
          </cell>
          <cell r="C988" t="str">
            <v>NILSON RODRIGUES DOS SANTOS</v>
          </cell>
          <cell r="D988" t="str">
            <v>OPERAÇÃO TRANSPORTES</v>
          </cell>
        </row>
        <row r="989">
          <cell r="A989" t="str">
            <v>30947ODILEY DA SILVA MACHADO</v>
          </cell>
          <cell r="B989">
            <v>30947</v>
          </cell>
          <cell r="C989" t="str">
            <v>ODILEY DA SILVA MACHADO</v>
          </cell>
          <cell r="D989" t="str">
            <v>OPERAÇÃO TRANSPORTES</v>
          </cell>
        </row>
        <row r="990">
          <cell r="A990" t="str">
            <v>14153ORCILENE BORGES LOPES</v>
          </cell>
          <cell r="B990">
            <v>14153</v>
          </cell>
          <cell r="C990" t="str">
            <v>ORCILENE BORGES LOPES</v>
          </cell>
          <cell r="D990" t="str">
            <v>OPERAÇÃO TRANSPORTES</v>
          </cell>
        </row>
        <row r="991">
          <cell r="A991" t="str">
            <v>16194ORIVAL SOARES DO CARMO</v>
          </cell>
          <cell r="B991">
            <v>16194</v>
          </cell>
          <cell r="C991" t="str">
            <v>ORIVAL SOARES DO CARMO</v>
          </cell>
          <cell r="D991" t="str">
            <v>OPERAÇÃO TRANSPORTES</v>
          </cell>
        </row>
        <row r="992">
          <cell r="A992" t="str">
            <v>13958ORLANDO DE SOUZA</v>
          </cell>
          <cell r="B992">
            <v>13958</v>
          </cell>
          <cell r="C992" t="str">
            <v>ORLANDO DE SOUZA</v>
          </cell>
          <cell r="D992" t="str">
            <v>OPERAÇÃO TRANSPORTES</v>
          </cell>
        </row>
        <row r="993">
          <cell r="A993" t="str">
            <v>15835OSEIAS BRITO DA SILVA</v>
          </cell>
          <cell r="B993">
            <v>15835</v>
          </cell>
          <cell r="C993" t="str">
            <v>OSEIAS BRITO DA SILVA</v>
          </cell>
          <cell r="D993" t="str">
            <v>OPERAÇÃO TRANSPORTES</v>
          </cell>
        </row>
        <row r="994">
          <cell r="A994" t="str">
            <v>28703OSMARINA FERREIRA DA SILVA</v>
          </cell>
          <cell r="B994">
            <v>28703</v>
          </cell>
          <cell r="C994" t="str">
            <v>OSMARINA FERREIRA DA SILVA</v>
          </cell>
          <cell r="D994" t="str">
            <v>OPERAÇÃO TRANSPORTES</v>
          </cell>
        </row>
        <row r="995">
          <cell r="A995" t="str">
            <v>28525OZEIAS DARIO DE MOURA</v>
          </cell>
          <cell r="B995">
            <v>28525</v>
          </cell>
          <cell r="C995" t="str">
            <v>OZEIAS DARIO DE MOURA</v>
          </cell>
          <cell r="D995" t="str">
            <v>OPERAÇÃO TRANSPORTES</v>
          </cell>
        </row>
        <row r="996">
          <cell r="A996" t="str">
            <v>31139OZEIAS DE ASSIS</v>
          </cell>
          <cell r="B996">
            <v>31139</v>
          </cell>
          <cell r="C996" t="str">
            <v>OZEIAS DE ASSIS</v>
          </cell>
          <cell r="D996" t="str">
            <v>OPERAÇÃO TRANSPORTES</v>
          </cell>
        </row>
        <row r="997">
          <cell r="A997" t="str">
            <v>28158PAMMELLA MORGANA DA SILVA FERREIRA</v>
          </cell>
          <cell r="B997">
            <v>28158</v>
          </cell>
          <cell r="C997" t="str">
            <v>PAMMELLA MORGANA DA SILVA FERREIRA</v>
          </cell>
          <cell r="D997" t="str">
            <v>OPERAÇÃO TRANSPORTES</v>
          </cell>
        </row>
        <row r="998">
          <cell r="A998" t="str">
            <v>21916PATRICIA DA SILVA GONCALVES PEREIRA</v>
          </cell>
          <cell r="B998">
            <v>21916</v>
          </cell>
          <cell r="C998" t="str">
            <v>PATRICIA DA SILVA GONCALVES PEREIRA</v>
          </cell>
          <cell r="D998" t="str">
            <v>GOVERNANÇA</v>
          </cell>
        </row>
        <row r="999">
          <cell r="A999" t="str">
            <v>16958PATRICIA FERREIRA</v>
          </cell>
          <cell r="B999">
            <v>16958</v>
          </cell>
          <cell r="C999" t="str">
            <v>PATRICIA FERREIRA</v>
          </cell>
          <cell r="D999" t="str">
            <v>OPERAÇÃO TRANSPORTES</v>
          </cell>
        </row>
        <row r="1000">
          <cell r="A1000" t="str">
            <v>30987PATRICK DIONISIO PEREIRA</v>
          </cell>
          <cell r="B1000">
            <v>30987</v>
          </cell>
          <cell r="C1000" t="str">
            <v>PATRICK DIONISIO PEREIRA</v>
          </cell>
          <cell r="D1000" t="str">
            <v>OPERAÇÃO TRANSPORTES</v>
          </cell>
        </row>
        <row r="1001">
          <cell r="A1001" t="str">
            <v>31609PAULO ADRIEL SODRE PORTES</v>
          </cell>
          <cell r="B1001">
            <v>31609</v>
          </cell>
          <cell r="C1001" t="str">
            <v>PAULO ADRIEL SODRE PORTES</v>
          </cell>
          <cell r="D1001" t="str">
            <v>OPERAÇÃO TRANSPORTES</v>
          </cell>
        </row>
        <row r="1002">
          <cell r="A1002" t="str">
            <v>31422PAULO AGOSTINHO LOMBARDO</v>
          </cell>
          <cell r="B1002">
            <v>31422</v>
          </cell>
          <cell r="C1002" t="str">
            <v>PAULO AGOSTINHO LOMBARDO</v>
          </cell>
          <cell r="D1002" t="str">
            <v>OPERAÇÃO TRANSPORTES</v>
          </cell>
        </row>
        <row r="1003">
          <cell r="A1003" t="str">
            <v>27881PAULO CAMILO SANTANA</v>
          </cell>
          <cell r="B1003">
            <v>27881</v>
          </cell>
          <cell r="C1003" t="str">
            <v>PAULO CAMILO SANTANA</v>
          </cell>
          <cell r="D1003" t="str">
            <v>OPERAÇÃO TRANSPORTES</v>
          </cell>
        </row>
        <row r="1004">
          <cell r="A1004" t="str">
            <v>27833PAULO CESAR PIRES DA SILVA</v>
          </cell>
          <cell r="B1004">
            <v>27833</v>
          </cell>
          <cell r="C1004" t="str">
            <v>PAULO CESAR PIRES DA SILVA</v>
          </cell>
          <cell r="D1004" t="str">
            <v>OPERAÇÃO TRANSPORTES</v>
          </cell>
        </row>
        <row r="1005">
          <cell r="A1005" t="str">
            <v>27973PAULO FILIPE DA SILVA SOUSA</v>
          </cell>
          <cell r="B1005">
            <v>27973</v>
          </cell>
          <cell r="C1005" t="str">
            <v>PAULO FILIPE DA SILVA SOUSA</v>
          </cell>
          <cell r="D1005" t="str">
            <v>OPERAÇÃO TRANSPORTES</v>
          </cell>
        </row>
        <row r="1006">
          <cell r="A1006" t="str">
            <v>31706PAULO HENRIQUE DA CUNHA SILVA</v>
          </cell>
          <cell r="B1006">
            <v>31706</v>
          </cell>
          <cell r="C1006" t="str">
            <v>PAULO HENRIQUE DA CUNHA SILVA</v>
          </cell>
          <cell r="D1006" t="str">
            <v>OPERAÇÃO TRANSPORTES</v>
          </cell>
        </row>
        <row r="1007">
          <cell r="A1007" t="str">
            <v>24035PAULO HENRIQUE DE SOUZA</v>
          </cell>
          <cell r="B1007">
            <v>24035</v>
          </cell>
          <cell r="C1007" t="str">
            <v>PAULO HENRIQUE DE SOUZA</v>
          </cell>
          <cell r="D1007" t="str">
            <v>OPERAÇÃO TRANSPORTES</v>
          </cell>
        </row>
        <row r="1008">
          <cell r="A1008" t="str">
            <v>16009PAULO JOSE VIEIRA</v>
          </cell>
          <cell r="B1008">
            <v>16009</v>
          </cell>
          <cell r="C1008" t="str">
            <v>PAULO JOSE VIEIRA</v>
          </cell>
          <cell r="D1008" t="str">
            <v>OPERAÇÃO TRANSPORTES</v>
          </cell>
        </row>
        <row r="1009">
          <cell r="A1009" t="str">
            <v>25117PAULO LUCIO DA SILVA JUNIOR</v>
          </cell>
          <cell r="B1009">
            <v>25117</v>
          </cell>
          <cell r="C1009" t="str">
            <v>PAULO LUCIO DA SILVA JUNIOR</v>
          </cell>
          <cell r="D1009" t="str">
            <v>OPERAÇÃO TRANSPORTES</v>
          </cell>
        </row>
        <row r="1010">
          <cell r="A1010" t="str">
            <v>29903PAULO ROBERTO DE ARAUJO PEREIRA</v>
          </cell>
          <cell r="B1010">
            <v>29903</v>
          </cell>
          <cell r="C1010" t="str">
            <v>PAULO ROBERTO DE ARAUJO PEREIRA</v>
          </cell>
          <cell r="D1010" t="str">
            <v>OPERAÇÃO TRANSPORTES</v>
          </cell>
        </row>
        <row r="1011">
          <cell r="A1011" t="str">
            <v>22222PAULO ROGERIO MIRANDA RODRIGUES</v>
          </cell>
          <cell r="B1011">
            <v>22222</v>
          </cell>
          <cell r="C1011" t="str">
            <v>PAULO ROGERIO MIRANDA RODRIGUES</v>
          </cell>
          <cell r="D1011" t="str">
            <v>OPERAÇÃO TRANSPORTES</v>
          </cell>
        </row>
        <row r="1012">
          <cell r="A1012" t="str">
            <v>21927PAULO SANTOS BASTOS</v>
          </cell>
          <cell r="B1012">
            <v>21927</v>
          </cell>
          <cell r="C1012" t="str">
            <v>PAULO SANTOS BASTOS</v>
          </cell>
          <cell r="D1012" t="str">
            <v>OPERAÇÃO TRANSPORTES</v>
          </cell>
        </row>
        <row r="1013">
          <cell r="A1013" t="str">
            <v>31713PAULO SERGIO BARRETO RAMOS</v>
          </cell>
          <cell r="B1013">
            <v>31713</v>
          </cell>
          <cell r="C1013" t="str">
            <v>PAULO SERGIO BARRETO RAMOS</v>
          </cell>
          <cell r="D1013" t="str">
            <v>OPERAÇÃO TRANSPORTES</v>
          </cell>
        </row>
        <row r="1014">
          <cell r="A1014" t="str">
            <v>31120PAULO SERGIO PIMENTA</v>
          </cell>
          <cell r="B1014">
            <v>31120</v>
          </cell>
          <cell r="C1014" t="str">
            <v>PAULO SERGIO PIMENTA</v>
          </cell>
          <cell r="D1014" t="str">
            <v>OPERAÇÃO TRANSPORTES</v>
          </cell>
        </row>
        <row r="1015">
          <cell r="A1015" t="str">
            <v>15889PEDRO DA COSTA</v>
          </cell>
          <cell r="B1015">
            <v>15889</v>
          </cell>
          <cell r="C1015" t="str">
            <v>PEDRO DA COSTA</v>
          </cell>
          <cell r="D1015" t="str">
            <v>OPERAÇÃO TRANSPORTES</v>
          </cell>
        </row>
        <row r="1016">
          <cell r="A1016" t="str">
            <v>31608PEDRO HENRIQUE ALMEIDA DA SILVA</v>
          </cell>
          <cell r="B1016">
            <v>31608</v>
          </cell>
          <cell r="C1016" t="str">
            <v>PEDRO HENRIQUE ALMEIDA DA SILVA</v>
          </cell>
          <cell r="D1016" t="str">
            <v>OPERAÇÃO TRANSPORTES</v>
          </cell>
        </row>
        <row r="1017">
          <cell r="A1017" t="str">
            <v>30613PEDRO HENRIQUE FARIA DOS SANTOS DE PAULA</v>
          </cell>
          <cell r="B1017">
            <v>30613</v>
          </cell>
          <cell r="C1017" t="str">
            <v>PEDRO HENRIQUE FARIA DOS SANTOS DE PAULA</v>
          </cell>
          <cell r="D1017" t="str">
            <v>OPERAÇÃO TRANSPORTES</v>
          </cell>
        </row>
        <row r="1018">
          <cell r="A1018" t="str">
            <v>27062PEDRO HENRIQUE VERISSIMO BIZERRA</v>
          </cell>
          <cell r="B1018">
            <v>27062</v>
          </cell>
          <cell r="C1018" t="str">
            <v>PEDRO HENRIQUE VERISSIMO BIZERRA</v>
          </cell>
          <cell r="D1018" t="str">
            <v>OPERAÇÃO TRANSPORTES</v>
          </cell>
        </row>
        <row r="1019">
          <cell r="A1019" t="str">
            <v>27882PEDRO NETO DA SILVA</v>
          </cell>
          <cell r="B1019">
            <v>27882</v>
          </cell>
          <cell r="C1019" t="str">
            <v>PEDRO NETO DA SILVA</v>
          </cell>
          <cell r="D1019" t="str">
            <v>OPERAÇÃO TRANSPORTES</v>
          </cell>
        </row>
        <row r="1020">
          <cell r="A1020" t="str">
            <v>26045PEDRO RIZZI</v>
          </cell>
          <cell r="B1020">
            <v>26045</v>
          </cell>
          <cell r="C1020" t="str">
            <v>PEDRO RIZZI</v>
          </cell>
          <cell r="D1020" t="str">
            <v>OPERAÇÃO TRANSPORTES</v>
          </cell>
        </row>
        <row r="1021">
          <cell r="A1021" t="str">
            <v>30052PEDRO TEIXEIRA DA ROCHA</v>
          </cell>
          <cell r="B1021">
            <v>30052</v>
          </cell>
          <cell r="C1021" t="str">
            <v>PEDRO TEIXEIRA DA ROCHA</v>
          </cell>
          <cell r="D1021" t="str">
            <v>OPERAÇÃO TRANSPORTES</v>
          </cell>
        </row>
        <row r="1022">
          <cell r="A1022" t="str">
            <v>28044PHILIP EDUARDO BARROS DA SILVA</v>
          </cell>
          <cell r="B1022">
            <v>28044</v>
          </cell>
          <cell r="C1022" t="str">
            <v>PHILIP EDUARDO BARROS DA SILVA</v>
          </cell>
          <cell r="D1022" t="str">
            <v>OPERAÇÃO TRANSPORTES</v>
          </cell>
        </row>
        <row r="1023">
          <cell r="A1023" t="str">
            <v>26292PRISCILA BATISTA TESSELE</v>
          </cell>
          <cell r="B1023">
            <v>26292</v>
          </cell>
          <cell r="C1023" t="str">
            <v>PRISCILA BATISTA TESSELE</v>
          </cell>
          <cell r="D1023" t="str">
            <v>QUALIDADE</v>
          </cell>
        </row>
        <row r="1024">
          <cell r="A1024" t="str">
            <v>15880PRISCILA DE MELO</v>
          </cell>
          <cell r="B1024">
            <v>15880</v>
          </cell>
          <cell r="C1024" t="str">
            <v>PRISCILA DE MELO</v>
          </cell>
          <cell r="D1024" t="str">
            <v>OPERAÇÃO TRANSPORTES</v>
          </cell>
        </row>
        <row r="1025">
          <cell r="A1025" t="str">
            <v>31605PRISCILA GAMA DA SILVA</v>
          </cell>
          <cell r="B1025">
            <v>31605</v>
          </cell>
          <cell r="C1025" t="str">
            <v>PRISCILA GAMA DA SILVA</v>
          </cell>
          <cell r="D1025" t="str">
            <v>OPERAÇÃO TRANSPORTES</v>
          </cell>
        </row>
        <row r="1026">
          <cell r="A1026" t="str">
            <v>16761RAFAEL DE MELLO NOGUEIRA</v>
          </cell>
          <cell r="B1026">
            <v>16761</v>
          </cell>
          <cell r="C1026" t="str">
            <v>RAFAEL DE MELLO NOGUEIRA</v>
          </cell>
          <cell r="D1026" t="str">
            <v>OPERAÇÃO TRANSPORTES</v>
          </cell>
        </row>
        <row r="1027">
          <cell r="A1027" t="str">
            <v>27714RAFAEL ESTEVAO GOMES ROCHA</v>
          </cell>
          <cell r="B1027">
            <v>27714</v>
          </cell>
          <cell r="C1027" t="str">
            <v>RAFAEL ESTEVAO GOMES ROCHA</v>
          </cell>
          <cell r="D1027" t="str">
            <v>OPERAÇÃO TRANSPORTES</v>
          </cell>
        </row>
        <row r="1028">
          <cell r="A1028" t="str">
            <v>30554RAFAEL HENRIQUE SEREJO LOPES</v>
          </cell>
          <cell r="B1028">
            <v>30554</v>
          </cell>
          <cell r="C1028" t="str">
            <v>RAFAEL HENRIQUE SEREJO LOPES</v>
          </cell>
          <cell r="D1028" t="str">
            <v>OPERAÇÃO TRANSPORTES</v>
          </cell>
        </row>
        <row r="1029">
          <cell r="A1029" t="str">
            <v>24880RAFAEL LUIZ MATIAS</v>
          </cell>
          <cell r="B1029">
            <v>24880</v>
          </cell>
          <cell r="C1029" t="str">
            <v>RAFAEL LUIZ MATIAS</v>
          </cell>
          <cell r="D1029" t="str">
            <v>OPERAÇÃO TRANSPORTES</v>
          </cell>
        </row>
        <row r="1030">
          <cell r="A1030" t="str">
            <v>24224RAFAEL MACHADO DA SILVA</v>
          </cell>
          <cell r="B1030">
            <v>24224</v>
          </cell>
          <cell r="C1030" t="str">
            <v>RAFAEL MACHADO DA SILVA</v>
          </cell>
          <cell r="D1030" t="str">
            <v>OPERAÇÃO TRANSPORTES</v>
          </cell>
        </row>
        <row r="1031">
          <cell r="A1031" t="str">
            <v>14332RAFAEL MORAES VIEIRA</v>
          </cell>
          <cell r="B1031">
            <v>14332</v>
          </cell>
          <cell r="C1031" t="str">
            <v>RAFAEL MORAES VIEIRA</v>
          </cell>
          <cell r="D1031" t="str">
            <v>OPERAÇÃO TRANSPORTES</v>
          </cell>
        </row>
        <row r="1032">
          <cell r="A1032" t="str">
            <v>31681RAFAEL OLIVEIRA DA SILVA</v>
          </cell>
          <cell r="B1032">
            <v>31681</v>
          </cell>
          <cell r="C1032" t="str">
            <v>RAFAEL OLIVEIRA DA SILVA</v>
          </cell>
          <cell r="D1032" t="str">
            <v>OPERAÇÃO TRANSPORTES</v>
          </cell>
        </row>
        <row r="1033">
          <cell r="A1033" t="str">
            <v>23844RAFAEL TOLEDO FERNANDES</v>
          </cell>
          <cell r="B1033">
            <v>23844</v>
          </cell>
          <cell r="C1033" t="str">
            <v>RAFAEL TOLEDO FERNANDES</v>
          </cell>
          <cell r="D1033" t="str">
            <v>OPERAÇÃO TRANSPORTES</v>
          </cell>
        </row>
        <row r="1034">
          <cell r="A1034" t="str">
            <v>27703RAFAELA BELLO SAMPAIO</v>
          </cell>
          <cell r="B1034">
            <v>27703</v>
          </cell>
          <cell r="C1034" t="str">
            <v>RAFAELA BELLO SAMPAIO</v>
          </cell>
          <cell r="D1034" t="str">
            <v>SERVIÇOS</v>
          </cell>
        </row>
        <row r="1035">
          <cell r="A1035" t="str">
            <v>31679RAFAELA BRANDAO LIMA</v>
          </cell>
          <cell r="B1035">
            <v>31679</v>
          </cell>
          <cell r="C1035" t="str">
            <v>RAFAELA BRANDAO LIMA</v>
          </cell>
          <cell r="D1035" t="str">
            <v>GOVERNANÇA</v>
          </cell>
        </row>
        <row r="1036">
          <cell r="A1036" t="str">
            <v>23551RAIMUNDO GERSON OLIVEIRA</v>
          </cell>
          <cell r="B1036">
            <v>23551</v>
          </cell>
          <cell r="C1036" t="str">
            <v>RAIMUNDO GERSON OLIVEIRA</v>
          </cell>
          <cell r="D1036" t="str">
            <v>OPERAÇÃO TRANSPORTES</v>
          </cell>
        </row>
        <row r="1037">
          <cell r="A1037" t="str">
            <v>31592RAQUEL DE OLIVEIRA GUIMARAES</v>
          </cell>
          <cell r="B1037">
            <v>31592</v>
          </cell>
          <cell r="C1037" t="str">
            <v>RAQUEL DE OLIVEIRA GUIMARAES</v>
          </cell>
          <cell r="D1037" t="str">
            <v>PRESIDENCIA</v>
          </cell>
        </row>
        <row r="1038">
          <cell r="A1038" t="str">
            <v>30557RAQUEL ROSSE DA SILVA</v>
          </cell>
          <cell r="B1038">
            <v>30557</v>
          </cell>
          <cell r="C1038" t="str">
            <v>RAQUEL ROSSE DA SILVA</v>
          </cell>
          <cell r="D1038" t="str">
            <v>OPERAÇÃO TRANSPORTES</v>
          </cell>
        </row>
        <row r="1039">
          <cell r="A1039" t="str">
            <v>15763REGINALDO NUNES DA SILVA</v>
          </cell>
          <cell r="B1039">
            <v>15763</v>
          </cell>
          <cell r="C1039" t="str">
            <v>REGINALDO NUNES DA SILVA</v>
          </cell>
          <cell r="D1039" t="str">
            <v>OPERAÇÃO TRANSPORTES</v>
          </cell>
        </row>
        <row r="1040">
          <cell r="A1040" t="str">
            <v>31618REINALDO CARLOS GONCALVES</v>
          </cell>
          <cell r="B1040">
            <v>31618</v>
          </cell>
          <cell r="C1040" t="str">
            <v>REINALDO CARLOS GONCALVES</v>
          </cell>
          <cell r="D1040" t="str">
            <v>OPERAÇÃO TRANSPORTES</v>
          </cell>
        </row>
        <row r="1041">
          <cell r="A1041" t="str">
            <v>16551REINALDO FERREIRA DA SILVA</v>
          </cell>
          <cell r="B1041">
            <v>16551</v>
          </cell>
          <cell r="C1041" t="str">
            <v>REINALDO FERREIRA DA SILVA</v>
          </cell>
          <cell r="D1041" t="str">
            <v>OPERAÇÃO TRANSPORTES</v>
          </cell>
        </row>
        <row r="1042">
          <cell r="A1042" t="str">
            <v>25239REINALDO LAURENTINO PEREIRA DA SILVA</v>
          </cell>
          <cell r="B1042">
            <v>25239</v>
          </cell>
          <cell r="C1042" t="str">
            <v>REINALDO LAURENTINO PEREIRA DA SILVA</v>
          </cell>
          <cell r="D1042" t="str">
            <v>OPERAÇÃO TRANSPORTES</v>
          </cell>
        </row>
        <row r="1043">
          <cell r="A1043" t="str">
            <v>23676REINALDO RODRIGUES</v>
          </cell>
          <cell r="B1043">
            <v>23676</v>
          </cell>
          <cell r="C1043" t="str">
            <v>REINALDO RODRIGUES</v>
          </cell>
          <cell r="D1043" t="str">
            <v>OPERAÇÃO TRANSPORTES</v>
          </cell>
        </row>
        <row r="1044">
          <cell r="A1044" t="str">
            <v>25620REINALDO SOUZA FRANCO</v>
          </cell>
          <cell r="B1044">
            <v>25620</v>
          </cell>
          <cell r="C1044" t="str">
            <v>REINALDO SOUZA FRANCO</v>
          </cell>
          <cell r="D1044" t="str">
            <v>OPERAÇÃO TRANSPORTES</v>
          </cell>
        </row>
        <row r="1045">
          <cell r="A1045" t="str">
            <v>29326RENAN HILTON DA SILVA</v>
          </cell>
          <cell r="B1045">
            <v>29326</v>
          </cell>
          <cell r="C1045" t="str">
            <v>RENAN HILTON DA SILVA</v>
          </cell>
          <cell r="D1045" t="str">
            <v>OPERAÇÃO TRANSPORTES</v>
          </cell>
        </row>
        <row r="1046">
          <cell r="A1046" t="str">
            <v>26536RENATA APARECIDA DA SILVA</v>
          </cell>
          <cell r="B1046">
            <v>26536</v>
          </cell>
          <cell r="C1046" t="str">
            <v>RENATA APARECIDA DA SILVA</v>
          </cell>
          <cell r="D1046" t="str">
            <v>OPERAÇÃO TRANSPORTES</v>
          </cell>
        </row>
        <row r="1047">
          <cell r="A1047" t="str">
            <v>21114RENATA ROSA BORGES NOVAIS</v>
          </cell>
          <cell r="B1047">
            <v>21114</v>
          </cell>
          <cell r="C1047" t="str">
            <v>RENATA ROSA BORGES NOVAIS</v>
          </cell>
          <cell r="D1047" t="str">
            <v>OPERAÇÃO TRANSPORTES</v>
          </cell>
        </row>
        <row r="1048">
          <cell r="A1048" t="str">
            <v>16966RENATO CESAR LOPES</v>
          </cell>
          <cell r="B1048">
            <v>16966</v>
          </cell>
          <cell r="C1048" t="str">
            <v>RENATO CESAR LOPES</v>
          </cell>
          <cell r="D1048" t="str">
            <v>OPERAÇÃO TRANSPORTES</v>
          </cell>
        </row>
        <row r="1049">
          <cell r="A1049" t="str">
            <v>28666RENATO COSTA DE OLIVEIRA</v>
          </cell>
          <cell r="B1049">
            <v>28666</v>
          </cell>
          <cell r="C1049" t="str">
            <v>RENATO COSTA DE OLIVEIRA</v>
          </cell>
          <cell r="D1049" t="str">
            <v>SERVIÇOS</v>
          </cell>
        </row>
        <row r="1050">
          <cell r="A1050" t="str">
            <v>15766RENATO RUBIM DA APARECIDA</v>
          </cell>
          <cell r="B1050">
            <v>15766</v>
          </cell>
          <cell r="C1050" t="str">
            <v>RENATO RUBIM DA APARECIDA</v>
          </cell>
          <cell r="D1050" t="str">
            <v>OPERAÇÃO TRANSPORTES</v>
          </cell>
        </row>
        <row r="1051">
          <cell r="A1051" t="str">
            <v>31710RENATO SOGA</v>
          </cell>
          <cell r="B1051">
            <v>31710</v>
          </cell>
          <cell r="C1051" t="str">
            <v>RENATO SOGA</v>
          </cell>
          <cell r="D1051" t="str">
            <v>TECNOLOGIA DA INFORMAÇÃO</v>
          </cell>
        </row>
        <row r="1052">
          <cell r="A1052" t="str">
            <v>14202RENIZIO ALVES DA SILVA</v>
          </cell>
          <cell r="B1052">
            <v>14202</v>
          </cell>
          <cell r="C1052" t="str">
            <v>RENIZIO ALVES DA SILVA</v>
          </cell>
          <cell r="D1052" t="str">
            <v>OPERAÇÃO TRANSPORTES</v>
          </cell>
        </row>
        <row r="1053">
          <cell r="A1053" t="str">
            <v>31680RHAYANE BEATRIZ RIBEIRO DA SILVA</v>
          </cell>
          <cell r="B1053">
            <v>31680</v>
          </cell>
          <cell r="C1053" t="str">
            <v>RHAYANE BEATRIZ RIBEIRO DA SILVA</v>
          </cell>
          <cell r="D1053" t="str">
            <v>OPERAÇÃO TRANSPORTES</v>
          </cell>
        </row>
        <row r="1054">
          <cell r="A1054" t="str">
            <v>31551RICARDO BARROS FERREIRA</v>
          </cell>
          <cell r="B1054">
            <v>31551</v>
          </cell>
          <cell r="C1054" t="str">
            <v>RICARDO BARROS FERREIRA</v>
          </cell>
          <cell r="D1054" t="str">
            <v>OPERAÇÃO TRANSPORTES</v>
          </cell>
        </row>
        <row r="1055">
          <cell r="A1055" t="str">
            <v>26535RICARDO RODRIGUES ROCHA</v>
          </cell>
          <cell r="B1055">
            <v>26535</v>
          </cell>
          <cell r="C1055" t="str">
            <v>RICARDO RODRIGUES ROCHA</v>
          </cell>
          <cell r="D1055" t="str">
            <v>OPERAÇÃO TRANSPORTES</v>
          </cell>
        </row>
        <row r="1056">
          <cell r="A1056" t="str">
            <v>26167RICARDO TEIXEIRA DE JESUS</v>
          </cell>
          <cell r="B1056">
            <v>26167</v>
          </cell>
          <cell r="C1056" t="str">
            <v>RICARDO TEIXEIRA DE JESUS</v>
          </cell>
          <cell r="D1056" t="str">
            <v>OPERAÇÃO TRANSPORTES</v>
          </cell>
        </row>
        <row r="1057">
          <cell r="A1057" t="str">
            <v>30830RICARDO WILLIAM ANALIO DE SIQUEIRA</v>
          </cell>
          <cell r="B1057">
            <v>30830</v>
          </cell>
          <cell r="C1057" t="str">
            <v>RICARDO WILLIAM ANALIO DE SIQUEIRA</v>
          </cell>
          <cell r="D1057" t="str">
            <v>OPERAÇÃO TRANSPORTES</v>
          </cell>
        </row>
        <row r="1058">
          <cell r="A1058" t="str">
            <v>27098RITA DE CASSIA DE SOUZA</v>
          </cell>
          <cell r="B1058">
            <v>27098</v>
          </cell>
          <cell r="C1058" t="str">
            <v>RITA DE CASSIA DE SOUZA</v>
          </cell>
          <cell r="D1058" t="str">
            <v>GOVERNANÇA</v>
          </cell>
        </row>
        <row r="1059">
          <cell r="A1059" t="str">
            <v>26026ROBERT SALVIANO</v>
          </cell>
          <cell r="B1059">
            <v>26026</v>
          </cell>
          <cell r="C1059" t="str">
            <v>ROBERT SALVIANO</v>
          </cell>
          <cell r="D1059" t="str">
            <v>OPERAÇÃO TRANSPORTES</v>
          </cell>
        </row>
        <row r="1060">
          <cell r="A1060" t="str">
            <v>15774ROBERTO FERREIRA DA SILVA</v>
          </cell>
          <cell r="B1060">
            <v>15774</v>
          </cell>
          <cell r="C1060" t="str">
            <v>ROBERTO FERREIRA DA SILVA</v>
          </cell>
          <cell r="D1060" t="str">
            <v>GOVERNANÇA</v>
          </cell>
        </row>
        <row r="1061">
          <cell r="A1061" t="str">
            <v>21926ROBINSON PIRES CARVALHO</v>
          </cell>
          <cell r="B1061">
            <v>21926</v>
          </cell>
          <cell r="C1061" t="str">
            <v>ROBINSON PIRES CARVALHO</v>
          </cell>
          <cell r="D1061" t="str">
            <v>TECNOLOGIA DA INFORMAÇÃO</v>
          </cell>
        </row>
        <row r="1062">
          <cell r="A1062" t="str">
            <v>28547ROBSON SOARES</v>
          </cell>
          <cell r="B1062">
            <v>28547</v>
          </cell>
          <cell r="C1062" t="str">
            <v>ROBSON SOARES</v>
          </cell>
          <cell r="D1062" t="str">
            <v>OPERAÇÃO TRANSPORTES</v>
          </cell>
        </row>
        <row r="1063">
          <cell r="A1063" t="str">
            <v>31571RODRIGO ATHAYDE BOMFIM</v>
          </cell>
          <cell r="B1063">
            <v>31571</v>
          </cell>
          <cell r="C1063" t="str">
            <v>RODRIGO ATHAYDE BOMFIM</v>
          </cell>
          <cell r="D1063" t="str">
            <v>PRESIDENCIA</v>
          </cell>
        </row>
        <row r="1064">
          <cell r="A1064" t="str">
            <v>27033RODRIGO CESAR DA SILVA</v>
          </cell>
          <cell r="B1064">
            <v>27033</v>
          </cell>
          <cell r="C1064" t="str">
            <v>RODRIGO CESAR DA SILVA</v>
          </cell>
          <cell r="D1064" t="str">
            <v>OPERAÇÃO TRANSPORTES</v>
          </cell>
        </row>
        <row r="1065">
          <cell r="A1065" t="str">
            <v>30048RODRIGO DOS ANJOS ALMEIDA</v>
          </cell>
          <cell r="B1065">
            <v>30048</v>
          </cell>
          <cell r="C1065" t="str">
            <v>RODRIGO DOS ANJOS ALMEIDA</v>
          </cell>
          <cell r="D1065" t="str">
            <v>COMERCIAL/ENG. LOGÍSTICA</v>
          </cell>
        </row>
        <row r="1066">
          <cell r="A1066" t="str">
            <v>25810RODRIGO FELICIANO DE SOUZA</v>
          </cell>
          <cell r="B1066">
            <v>25810</v>
          </cell>
          <cell r="C1066" t="str">
            <v>RODRIGO FELICIANO DE SOUZA</v>
          </cell>
          <cell r="D1066" t="str">
            <v>OPERAÇÃO TRANSPORTES</v>
          </cell>
        </row>
        <row r="1067">
          <cell r="A1067" t="str">
            <v>31242RODRIGO FERNANDES DE OLIVEIRA</v>
          </cell>
          <cell r="B1067">
            <v>31242</v>
          </cell>
          <cell r="C1067" t="str">
            <v>RODRIGO FERNANDES DE OLIVEIRA</v>
          </cell>
          <cell r="D1067" t="str">
            <v>OPERAÇÃO TRANSPORTES</v>
          </cell>
        </row>
        <row r="1068">
          <cell r="A1068" t="str">
            <v>16092RODRIGO MAJER</v>
          </cell>
          <cell r="B1068">
            <v>16092</v>
          </cell>
          <cell r="C1068" t="str">
            <v>RODRIGO MAJER</v>
          </cell>
          <cell r="D1068" t="str">
            <v>OPERAÇÃO TRANSPORTES</v>
          </cell>
        </row>
        <row r="1069">
          <cell r="A1069" t="str">
            <v>23265RODRIGO MENDES DOS SANTOS</v>
          </cell>
          <cell r="B1069">
            <v>23265</v>
          </cell>
          <cell r="C1069" t="str">
            <v>RODRIGO MENDES DOS SANTOS</v>
          </cell>
          <cell r="D1069" t="str">
            <v>OPERAÇÃO TRANSPORTES</v>
          </cell>
        </row>
        <row r="1070">
          <cell r="A1070" t="str">
            <v>26061RODRIGO SILVA</v>
          </cell>
          <cell r="B1070">
            <v>26061</v>
          </cell>
          <cell r="C1070" t="str">
            <v>RODRIGO SILVA</v>
          </cell>
          <cell r="D1070" t="str">
            <v>OPERAÇÃO TRANSPORTES</v>
          </cell>
        </row>
        <row r="1071">
          <cell r="A1071" t="str">
            <v>14101RODRIGO VAZ LUFT</v>
          </cell>
          <cell r="B1071">
            <v>14101</v>
          </cell>
          <cell r="C1071" t="str">
            <v>RODRIGO VAZ LUFT</v>
          </cell>
          <cell r="D1071" t="str">
            <v>OPERAÇÃO TRANSPORTES</v>
          </cell>
        </row>
        <row r="1072">
          <cell r="A1072" t="str">
            <v>26921ROGERIO DA CRUZ BORBA</v>
          </cell>
          <cell r="B1072">
            <v>26921</v>
          </cell>
          <cell r="C1072" t="str">
            <v>ROGERIO DA CRUZ BORBA</v>
          </cell>
          <cell r="D1072" t="str">
            <v>OPERAÇÃO TRANSPORTES</v>
          </cell>
        </row>
        <row r="1073">
          <cell r="A1073" t="str">
            <v>16291ROGERIO LUIS RODRIGUES</v>
          </cell>
          <cell r="B1073">
            <v>16291</v>
          </cell>
          <cell r="C1073" t="str">
            <v>ROGERIO LUIS RODRIGUES</v>
          </cell>
          <cell r="D1073" t="str">
            <v>OPERAÇÃO TRANSPORTES</v>
          </cell>
        </row>
        <row r="1074">
          <cell r="A1074" t="str">
            <v>29139ROGERIO SANTOS MACHADO</v>
          </cell>
          <cell r="B1074">
            <v>29139</v>
          </cell>
          <cell r="C1074" t="str">
            <v>ROGERIO SANTOS MACHADO</v>
          </cell>
          <cell r="D1074" t="str">
            <v>OPERAÇÃO TRANSPORTES</v>
          </cell>
        </row>
        <row r="1075">
          <cell r="A1075" t="str">
            <v>22917ROMERITO ALVES BRITO</v>
          </cell>
          <cell r="B1075">
            <v>22917</v>
          </cell>
          <cell r="C1075" t="str">
            <v>ROMERITO ALVES BRITO</v>
          </cell>
          <cell r="D1075" t="str">
            <v>OPERAÇÃO TRANSPORTES</v>
          </cell>
        </row>
        <row r="1076">
          <cell r="A1076" t="str">
            <v>28935ROMERSON JOSE DOS SANTOS PACHECO</v>
          </cell>
          <cell r="B1076">
            <v>28935</v>
          </cell>
          <cell r="C1076" t="str">
            <v>ROMERSON JOSE DOS SANTOS PACHECO</v>
          </cell>
          <cell r="D1076" t="str">
            <v>OPERAÇÃO TRANSPORTES</v>
          </cell>
        </row>
        <row r="1077">
          <cell r="A1077" t="str">
            <v>15765RONALDO TADEU BENEDITO CHARRETE</v>
          </cell>
          <cell r="B1077">
            <v>15765</v>
          </cell>
          <cell r="C1077" t="str">
            <v>RONALDO TADEU BENEDITO CHARRETE</v>
          </cell>
          <cell r="D1077" t="str">
            <v>OPERAÇÃO TRANSPORTES</v>
          </cell>
        </row>
        <row r="1078">
          <cell r="A1078" t="str">
            <v>26686RONEY VITOR RIBEIRO</v>
          </cell>
          <cell r="B1078">
            <v>26686</v>
          </cell>
          <cell r="C1078" t="str">
            <v>RONEY VITOR RIBEIRO</v>
          </cell>
          <cell r="D1078" t="str">
            <v>OPERAÇÃO TRANSPORTES</v>
          </cell>
        </row>
        <row r="1079">
          <cell r="A1079" t="str">
            <v>21106RONNIE PEREIRA DA SILVA</v>
          </cell>
          <cell r="B1079">
            <v>21106</v>
          </cell>
          <cell r="C1079" t="str">
            <v>RONNIE PEREIRA DA SILVA</v>
          </cell>
          <cell r="D1079" t="str">
            <v>OPERAÇÃO TRANSPORTES</v>
          </cell>
        </row>
        <row r="1080">
          <cell r="A1080" t="str">
            <v>15969ROSALINO BISPO DE OLIVEIRA</v>
          </cell>
          <cell r="B1080">
            <v>15969</v>
          </cell>
          <cell r="C1080" t="str">
            <v>ROSALINO BISPO DE OLIVEIRA</v>
          </cell>
          <cell r="D1080" t="str">
            <v>OPERAÇÃO TRANSPORTES</v>
          </cell>
        </row>
        <row r="1081">
          <cell r="A1081" t="str">
            <v>31636ROSANA RODRIGUES PERES</v>
          </cell>
          <cell r="B1081">
            <v>31636</v>
          </cell>
          <cell r="C1081" t="str">
            <v>ROSANA RODRIGUES PERES</v>
          </cell>
          <cell r="D1081" t="str">
            <v>SERVIÇOS</v>
          </cell>
        </row>
        <row r="1082">
          <cell r="A1082" t="str">
            <v>15933ROSELI RITA ANDRADE JIMENEZ</v>
          </cell>
          <cell r="B1082">
            <v>15933</v>
          </cell>
          <cell r="C1082" t="str">
            <v>ROSELI RITA ANDRADE JIMENEZ</v>
          </cell>
          <cell r="D1082" t="str">
            <v>OPERAÇÃO TRANSPORTES</v>
          </cell>
        </row>
        <row r="1083">
          <cell r="A1083" t="str">
            <v>30819ROSEMEIRE MARIA FERRO</v>
          </cell>
          <cell r="B1083">
            <v>30819</v>
          </cell>
          <cell r="C1083" t="str">
            <v>ROSEMEIRE MARIA FERRO</v>
          </cell>
          <cell r="D1083" t="str">
            <v>OPERAÇÃO TRANSPORTES</v>
          </cell>
        </row>
        <row r="1084">
          <cell r="A1084" t="str">
            <v>15840ROSINALDO GERALDO DA SILVA</v>
          </cell>
          <cell r="B1084">
            <v>15840</v>
          </cell>
          <cell r="C1084" t="str">
            <v>ROSINALDO GERALDO DA SILVA</v>
          </cell>
          <cell r="D1084" t="str">
            <v>OPERAÇÃO TRANSPORTES</v>
          </cell>
        </row>
        <row r="1085">
          <cell r="A1085" t="str">
            <v>28910SALATIEL FERREIRA DA CUNHA</v>
          </cell>
          <cell r="B1085">
            <v>28910</v>
          </cell>
          <cell r="C1085" t="str">
            <v>SALATIEL FERREIRA DA CUNHA</v>
          </cell>
          <cell r="D1085" t="str">
            <v>OPERAÇÃO TRANSPORTES</v>
          </cell>
        </row>
        <row r="1086">
          <cell r="A1086" t="str">
            <v>31582SAMANTA KRISS LIMA DOS SANTOS</v>
          </cell>
          <cell r="B1086">
            <v>31582</v>
          </cell>
          <cell r="C1086" t="str">
            <v>SAMANTA KRISS LIMA DOS SANTOS</v>
          </cell>
          <cell r="D1086" t="str">
            <v>QUALIDADE</v>
          </cell>
        </row>
        <row r="1087">
          <cell r="A1087" t="str">
            <v>16759SAMUEL IVO DE LIMA QUEIROZ</v>
          </cell>
          <cell r="B1087">
            <v>16759</v>
          </cell>
          <cell r="C1087" t="str">
            <v>SAMUEL IVO DE LIMA QUEIROZ</v>
          </cell>
          <cell r="D1087" t="str">
            <v>OPERAÇÃO TRANSPORTES</v>
          </cell>
        </row>
        <row r="1088">
          <cell r="A1088" t="str">
            <v>15924SANDRA PRADO SABINO</v>
          </cell>
          <cell r="B1088">
            <v>15924</v>
          </cell>
          <cell r="C1088" t="str">
            <v>SANDRA PRADO SABINO</v>
          </cell>
          <cell r="D1088" t="str">
            <v>OPERAÇÃO TRANSPORTES</v>
          </cell>
        </row>
        <row r="1089">
          <cell r="A1089" t="str">
            <v>31488SEBASTIAO DOS SANTOS CALDEIRA</v>
          </cell>
          <cell r="B1089">
            <v>31488</v>
          </cell>
          <cell r="C1089" t="str">
            <v>SEBASTIAO DOS SANTOS CALDEIRA</v>
          </cell>
          <cell r="D1089" t="str">
            <v>OPERAÇÃO TRANSPORTES</v>
          </cell>
        </row>
        <row r="1090">
          <cell r="A1090" t="str">
            <v>22053SELMA JESUS DOS SANTOS SENA</v>
          </cell>
          <cell r="B1090">
            <v>22053</v>
          </cell>
          <cell r="C1090" t="str">
            <v>SELMA JESUS DOS SANTOS SENA</v>
          </cell>
          <cell r="D1090" t="str">
            <v>OPERAÇÃO TRANSPORTES</v>
          </cell>
        </row>
        <row r="1091">
          <cell r="A1091" t="str">
            <v>31562SERGIO JOSE DA ROCHA</v>
          </cell>
          <cell r="B1091">
            <v>31562</v>
          </cell>
          <cell r="C1091" t="str">
            <v>SERGIO JOSE DA ROCHA</v>
          </cell>
          <cell r="D1091" t="str">
            <v>OPERAÇÃO TRANSPORTES</v>
          </cell>
        </row>
        <row r="1092">
          <cell r="A1092" t="str">
            <v>31711SERGIO RICARDO PENAROTI</v>
          </cell>
          <cell r="B1092">
            <v>31711</v>
          </cell>
          <cell r="C1092" t="str">
            <v>SERGIO RICARDO PENAROTI</v>
          </cell>
          <cell r="D1092" t="str">
            <v>COMERCIAL/ENG. LOGÍSTICA</v>
          </cell>
        </row>
        <row r="1093">
          <cell r="A1093" t="str">
            <v>15764SEVERINO GOMES DA SILVA</v>
          </cell>
          <cell r="B1093">
            <v>15764</v>
          </cell>
          <cell r="C1093" t="str">
            <v>SEVERINO GOMES DA SILVA</v>
          </cell>
          <cell r="D1093" t="str">
            <v>OPERAÇÃO TRANSPORTES</v>
          </cell>
        </row>
        <row r="1094">
          <cell r="A1094" t="str">
            <v>26453SEVERINO JOSE DA SILVA FILHO</v>
          </cell>
          <cell r="B1094">
            <v>26453</v>
          </cell>
          <cell r="C1094" t="str">
            <v>SEVERINO JOSE DA SILVA FILHO</v>
          </cell>
          <cell r="D1094" t="str">
            <v>OPERAÇÃO TRANSPORTES</v>
          </cell>
        </row>
        <row r="1095">
          <cell r="A1095" t="str">
            <v>25969SHIRLEY GERALDA ALMEIDA BARROS</v>
          </cell>
          <cell r="B1095">
            <v>25969</v>
          </cell>
          <cell r="C1095" t="str">
            <v>SHIRLEY GERALDA ALMEIDA BARROS</v>
          </cell>
          <cell r="D1095" t="str">
            <v>OPERAÇÃO TRANSPORTES</v>
          </cell>
        </row>
        <row r="1096">
          <cell r="A1096" t="str">
            <v>16943SIDNEI LEONARDO</v>
          </cell>
          <cell r="B1096">
            <v>16943</v>
          </cell>
          <cell r="C1096" t="str">
            <v>SIDNEI LEONARDO</v>
          </cell>
          <cell r="D1096" t="str">
            <v>OPERAÇÃO TRANSPORTES</v>
          </cell>
        </row>
        <row r="1097">
          <cell r="A1097" t="str">
            <v>25230SIDNEY SIQUEIRA DA CRUZ</v>
          </cell>
          <cell r="B1097">
            <v>25230</v>
          </cell>
          <cell r="C1097" t="str">
            <v>SIDNEY SIQUEIRA DA CRUZ</v>
          </cell>
          <cell r="D1097" t="str">
            <v>OPERAÇÃO TRANSPORTES</v>
          </cell>
        </row>
        <row r="1098">
          <cell r="A1098" t="str">
            <v>15963SILCHARLY LUCIANO DA COSTA</v>
          </cell>
          <cell r="B1098">
            <v>15963</v>
          </cell>
          <cell r="C1098" t="str">
            <v>SILCHARLY LUCIANO DA COSTA</v>
          </cell>
          <cell r="D1098" t="str">
            <v>OPERAÇÃO TRANSPORTES</v>
          </cell>
        </row>
        <row r="1099">
          <cell r="A1099" t="str">
            <v>15798SILVANE LUIS DA SILVA</v>
          </cell>
          <cell r="B1099">
            <v>15798</v>
          </cell>
          <cell r="C1099" t="str">
            <v>SILVANE LUIS DA SILVA</v>
          </cell>
          <cell r="D1099" t="str">
            <v>OPERAÇÃO TRANSPORTES</v>
          </cell>
        </row>
        <row r="1100">
          <cell r="A1100" t="str">
            <v>31572SILVIO LUIS GONCALVES PALMA</v>
          </cell>
          <cell r="B1100">
            <v>31572</v>
          </cell>
          <cell r="C1100" t="str">
            <v>SILVIO LUIS GONCALVES PALMA</v>
          </cell>
          <cell r="D1100" t="str">
            <v>OPERAÇÃO TRANSPORTES</v>
          </cell>
        </row>
        <row r="1101">
          <cell r="A1101" t="str">
            <v>31656STEFANY CRISTINE FERREIRA DA SILVA</v>
          </cell>
          <cell r="B1101">
            <v>31656</v>
          </cell>
          <cell r="C1101" t="str">
            <v>STEFANY CRISTINE FERREIRA DA SILVA</v>
          </cell>
          <cell r="D1101" t="str">
            <v>OPERAÇÃO TRANSPORTES</v>
          </cell>
        </row>
        <row r="1102">
          <cell r="A1102" t="str">
            <v>28519SUELEM MOURA CANUTO DOS SANTOS</v>
          </cell>
          <cell r="B1102">
            <v>28519</v>
          </cell>
          <cell r="C1102" t="str">
            <v>SUELEM MOURA CANUTO DOS SANTOS</v>
          </cell>
          <cell r="D1102" t="str">
            <v>OPERAÇÃO TRANSPORTES</v>
          </cell>
        </row>
        <row r="1103">
          <cell r="A1103" t="str">
            <v>15754TAILSE AMARO RIBEIRO DE PAULA</v>
          </cell>
          <cell r="B1103">
            <v>15754</v>
          </cell>
          <cell r="C1103" t="str">
            <v>TAILSE AMARO RIBEIRO DE PAULA</v>
          </cell>
          <cell r="D1103" t="str">
            <v>OPERAÇÃO TRANSPORTES</v>
          </cell>
        </row>
        <row r="1104">
          <cell r="A1104" t="str">
            <v>31353TALITA DA SILVA DOS ANJOS</v>
          </cell>
          <cell r="B1104">
            <v>31353</v>
          </cell>
          <cell r="C1104" t="str">
            <v>TALITA DA SILVA DOS ANJOS</v>
          </cell>
          <cell r="D1104" t="str">
            <v>GOVERNANÇA</v>
          </cell>
        </row>
        <row r="1105">
          <cell r="A1105" t="str">
            <v>29109TALLISSON WILLIAN NUNES FERREIRA</v>
          </cell>
          <cell r="B1105">
            <v>29109</v>
          </cell>
          <cell r="C1105" t="str">
            <v>TALLISSON WILLIAN NUNES FERREIRA</v>
          </cell>
          <cell r="D1105" t="str">
            <v>OPERAÇÃO TRANSPORTES</v>
          </cell>
        </row>
        <row r="1106">
          <cell r="A1106" t="str">
            <v>30377TARCIO VIEIRA DA PAIXAO SANTOS</v>
          </cell>
          <cell r="B1106">
            <v>30377</v>
          </cell>
          <cell r="C1106" t="str">
            <v>TARCIO VIEIRA DA PAIXAO SANTOS</v>
          </cell>
          <cell r="D1106" t="str">
            <v>OPERAÇÃO TRANSPORTES</v>
          </cell>
        </row>
        <row r="1107">
          <cell r="A1107" t="str">
            <v>31606TAYNA CRISTINA MELO DOS SANTOS</v>
          </cell>
          <cell r="B1107">
            <v>31606</v>
          </cell>
          <cell r="C1107" t="str">
            <v>TAYNA CRISTINA MELO DOS SANTOS</v>
          </cell>
          <cell r="D1107" t="str">
            <v>OPERAÇÃO TRANSPORTES</v>
          </cell>
        </row>
        <row r="1108">
          <cell r="A1108" t="str">
            <v>31527TAYNARA DIAS DUARTE</v>
          </cell>
          <cell r="B1108">
            <v>31527</v>
          </cell>
          <cell r="C1108" t="str">
            <v>TAYNARA DIAS DUARTE</v>
          </cell>
          <cell r="D1108" t="str">
            <v>SERVIÇOS</v>
          </cell>
        </row>
        <row r="1109">
          <cell r="A1109" t="str">
            <v>26526THAIS ALVES CHRISTOVAM</v>
          </cell>
          <cell r="B1109">
            <v>26526</v>
          </cell>
          <cell r="C1109" t="str">
            <v>THAIS ALVES CHRISTOVAM</v>
          </cell>
          <cell r="D1109" t="str">
            <v>GOVERNANÇA</v>
          </cell>
        </row>
        <row r="1110">
          <cell r="A1110" t="str">
            <v>28272THAIS CRISTINA ARRUDA BENTO</v>
          </cell>
          <cell r="B1110">
            <v>28272</v>
          </cell>
          <cell r="C1110" t="str">
            <v>THAIS CRISTINA ARRUDA BENTO</v>
          </cell>
          <cell r="D1110" t="str">
            <v>OPERAÇÃO TRANSPORTES</v>
          </cell>
        </row>
        <row r="1111">
          <cell r="A1111" t="str">
            <v>31564THAIS FIGUEIREDO DE ALMEIDA</v>
          </cell>
          <cell r="B1111">
            <v>31564</v>
          </cell>
          <cell r="C1111" t="str">
            <v>THAIS FIGUEIREDO DE ALMEIDA</v>
          </cell>
          <cell r="D1111" t="str">
            <v>OPERAÇÃO TRANSPORTES</v>
          </cell>
        </row>
        <row r="1112">
          <cell r="A1112" t="str">
            <v>30076THIAGO DA SILVA FELIPE</v>
          </cell>
          <cell r="B1112">
            <v>30076</v>
          </cell>
          <cell r="C1112" t="str">
            <v>THIAGO DA SILVA FELIPE</v>
          </cell>
          <cell r="D1112" t="str">
            <v>OPERAÇÃO TRANSPORTES</v>
          </cell>
        </row>
        <row r="1113">
          <cell r="A1113" t="str">
            <v>25388THIAGO LOURENCO ALVES LOPES</v>
          </cell>
          <cell r="B1113">
            <v>25388</v>
          </cell>
          <cell r="C1113" t="str">
            <v>THIAGO LOURENCO ALVES LOPES</v>
          </cell>
          <cell r="D1113" t="str">
            <v>OPERAÇÃO TRANSPORTES</v>
          </cell>
        </row>
        <row r="1114">
          <cell r="A1114" t="str">
            <v>23177THIAGO SOUZA AUGUSTO</v>
          </cell>
          <cell r="B1114">
            <v>23177</v>
          </cell>
          <cell r="C1114" t="str">
            <v>THIAGO SOUZA AUGUSTO</v>
          </cell>
          <cell r="D1114" t="str">
            <v>OPERAÇÃO TRANSPORTES</v>
          </cell>
        </row>
        <row r="1115">
          <cell r="A1115" t="str">
            <v>24554THUANY VIEIRA FERREIRA DA SILVA</v>
          </cell>
          <cell r="B1115">
            <v>24554</v>
          </cell>
          <cell r="C1115" t="str">
            <v>THUANY VIEIRA FERREIRA DA SILVA</v>
          </cell>
          <cell r="D1115" t="str">
            <v>OPERAÇÃO TRANSPORTES</v>
          </cell>
        </row>
        <row r="1116">
          <cell r="A1116" t="str">
            <v>27077TIAGO CESAR DA SILVA</v>
          </cell>
          <cell r="B1116">
            <v>27077</v>
          </cell>
          <cell r="C1116" t="str">
            <v>TIAGO CESAR DA SILVA</v>
          </cell>
          <cell r="D1116" t="str">
            <v>QUALIDADE</v>
          </cell>
        </row>
        <row r="1117">
          <cell r="A1117" t="str">
            <v>30139TIAGO DA CUNHA DE MORAES</v>
          </cell>
          <cell r="B1117">
            <v>30139</v>
          </cell>
          <cell r="C1117" t="str">
            <v>TIAGO DA CUNHA DE MORAES</v>
          </cell>
          <cell r="D1117" t="str">
            <v>OPERAÇÃO TRANSPORTES</v>
          </cell>
        </row>
        <row r="1118">
          <cell r="A1118" t="str">
            <v>16588UELBERT PEREIRA DE MORAES</v>
          </cell>
          <cell r="B1118">
            <v>16588</v>
          </cell>
          <cell r="C1118" t="str">
            <v>UELBERT PEREIRA DE MORAES</v>
          </cell>
          <cell r="D1118" t="str">
            <v>OPERAÇÃO TRANSPORTES</v>
          </cell>
        </row>
        <row r="1119">
          <cell r="A1119" t="str">
            <v>15983UENDRE ALVES DOS SANTOS</v>
          </cell>
          <cell r="B1119">
            <v>15983</v>
          </cell>
          <cell r="C1119" t="str">
            <v>UENDRE ALVES DOS SANTOS</v>
          </cell>
          <cell r="D1119" t="str">
            <v>OPERAÇÃO TRANSPORTES</v>
          </cell>
        </row>
        <row r="1120">
          <cell r="A1120" t="str">
            <v>31654UITALO FERREIRA CORREIA</v>
          </cell>
          <cell r="B1120">
            <v>31654</v>
          </cell>
          <cell r="C1120" t="str">
            <v>UITALO FERREIRA CORREIA</v>
          </cell>
          <cell r="D1120" t="str">
            <v>GOVERNANÇA</v>
          </cell>
        </row>
        <row r="1121">
          <cell r="A1121" t="str">
            <v>21759VAGNER DANTAS CARVALHO</v>
          </cell>
          <cell r="B1121">
            <v>21759</v>
          </cell>
          <cell r="C1121" t="str">
            <v>VAGNER DANTAS CARVALHO</v>
          </cell>
          <cell r="D1121" t="str">
            <v>OPERAÇÃO TRANSPORTES</v>
          </cell>
        </row>
        <row r="1122">
          <cell r="A1122" t="str">
            <v>25339VAGNER FERREIRA COSTA</v>
          </cell>
          <cell r="B1122">
            <v>25339</v>
          </cell>
          <cell r="C1122" t="str">
            <v>VAGNER FERREIRA COSTA</v>
          </cell>
          <cell r="D1122" t="str">
            <v>OPERAÇÃO TRANSPORTES</v>
          </cell>
        </row>
        <row r="1123">
          <cell r="A1123" t="str">
            <v>31565VAGNER GOMES</v>
          </cell>
          <cell r="B1123">
            <v>31565</v>
          </cell>
          <cell r="C1123" t="str">
            <v>VAGNER GOMES</v>
          </cell>
          <cell r="D1123" t="str">
            <v>TECNOLOGIA DA INFORMAÇÃO</v>
          </cell>
        </row>
        <row r="1124">
          <cell r="A1124" t="str">
            <v>31638VAGNER PEREIRA DE OLIVEIRA</v>
          </cell>
          <cell r="B1124">
            <v>31638</v>
          </cell>
          <cell r="C1124" t="str">
            <v>VAGNER PEREIRA DE OLIVEIRA</v>
          </cell>
          <cell r="D1124" t="str">
            <v>OPERAÇÃO TRANSPORTES</v>
          </cell>
        </row>
        <row r="1125">
          <cell r="A1125" t="str">
            <v>24330VALDECI BATISTA DE SOUZA</v>
          </cell>
          <cell r="B1125">
            <v>24330</v>
          </cell>
          <cell r="C1125" t="str">
            <v>VALDECI BATISTA DE SOUZA</v>
          </cell>
          <cell r="D1125" t="str">
            <v>OPERAÇÃO TRANSPORTES</v>
          </cell>
        </row>
        <row r="1126">
          <cell r="A1126" t="str">
            <v>16917VALDECI JOAQUIM DA SILVA</v>
          </cell>
          <cell r="B1126">
            <v>16917</v>
          </cell>
          <cell r="C1126" t="str">
            <v>VALDECI JOAQUIM DA SILVA</v>
          </cell>
          <cell r="D1126" t="str">
            <v>OPERAÇÃO TRANSPORTES</v>
          </cell>
        </row>
        <row r="1127">
          <cell r="A1127" t="str">
            <v>24866VALDEMAR MONTEIRO BEZERRA</v>
          </cell>
          <cell r="B1127">
            <v>24866</v>
          </cell>
          <cell r="C1127" t="str">
            <v>VALDEMAR MONTEIRO BEZERRA</v>
          </cell>
          <cell r="D1127" t="str">
            <v>OPERAÇÃO TRANSPORTES</v>
          </cell>
        </row>
        <row r="1128">
          <cell r="A1128" t="str">
            <v>14251VALDENIR CARDOSO</v>
          </cell>
          <cell r="B1128">
            <v>14251</v>
          </cell>
          <cell r="C1128" t="str">
            <v>VALDENIR CARDOSO</v>
          </cell>
          <cell r="D1128" t="str">
            <v>OPERAÇÃO TRANSPORTES</v>
          </cell>
        </row>
        <row r="1129">
          <cell r="A1129" t="str">
            <v>27163VALDINEI NEPOMUCENO CARVALHO</v>
          </cell>
          <cell r="B1129">
            <v>27163</v>
          </cell>
          <cell r="C1129" t="str">
            <v>VALDINEI NEPOMUCENO CARVALHO</v>
          </cell>
          <cell r="D1129" t="str">
            <v>OPERAÇÃO TRANSPORTES</v>
          </cell>
        </row>
        <row r="1130">
          <cell r="A1130" t="str">
            <v>30091VALDIVINO FERREIRA DO NASCIMENTO</v>
          </cell>
          <cell r="B1130">
            <v>30091</v>
          </cell>
          <cell r="C1130" t="str">
            <v>VALDIVINO FERREIRA DO NASCIMENTO</v>
          </cell>
          <cell r="D1130" t="str">
            <v>OPERAÇÃO TRANSPORTES</v>
          </cell>
        </row>
        <row r="1131">
          <cell r="A1131" t="str">
            <v>31523VALMOR DUTRA JUNIOR</v>
          </cell>
          <cell r="B1131">
            <v>31523</v>
          </cell>
          <cell r="C1131" t="str">
            <v>VALMOR DUTRA JUNIOR</v>
          </cell>
          <cell r="D1131" t="str">
            <v>OPERAÇÃO TRANSPORTES</v>
          </cell>
        </row>
        <row r="1132">
          <cell r="A1132" t="str">
            <v>31048VANDERLEI CORDEIRO RAMOS</v>
          </cell>
          <cell r="B1132">
            <v>31048</v>
          </cell>
          <cell r="C1132" t="str">
            <v>VANDERLEI CORDEIRO RAMOS</v>
          </cell>
          <cell r="D1132" t="str">
            <v>OPERAÇÃO TRANSPORTES</v>
          </cell>
        </row>
        <row r="1133">
          <cell r="A1133" t="str">
            <v>25556VANDERLEI MAYA ARAUJO</v>
          </cell>
          <cell r="B1133">
            <v>25556</v>
          </cell>
          <cell r="C1133" t="str">
            <v>VANDERLEI MAYA ARAUJO</v>
          </cell>
          <cell r="D1133" t="str">
            <v>OPERAÇÃO TRANSPORTES</v>
          </cell>
        </row>
        <row r="1134">
          <cell r="A1134" t="str">
            <v>31268VANESSA LOCKS</v>
          </cell>
          <cell r="B1134">
            <v>31268</v>
          </cell>
          <cell r="C1134" t="str">
            <v>VANESSA LOCKS</v>
          </cell>
          <cell r="D1134" t="str">
            <v>OPERAÇÃO TRANSPORTES</v>
          </cell>
        </row>
        <row r="1135">
          <cell r="A1135" t="str">
            <v>26633VANESSA MARSURA</v>
          </cell>
          <cell r="B1135">
            <v>26633</v>
          </cell>
          <cell r="C1135" t="str">
            <v>VANESSA MARSURA</v>
          </cell>
          <cell r="D1135" t="str">
            <v>GOVERNANÇA</v>
          </cell>
        </row>
        <row r="1136">
          <cell r="A1136" t="str">
            <v>13769VANILDO CUBAS DE OLIVEIRA</v>
          </cell>
          <cell r="B1136">
            <v>13769</v>
          </cell>
          <cell r="C1136" t="str">
            <v>VANILDO CUBAS DE OLIVEIRA</v>
          </cell>
          <cell r="D1136" t="str">
            <v>OPERAÇÃO TRANSPORTES</v>
          </cell>
        </row>
        <row r="1137">
          <cell r="A1137" t="str">
            <v>22774VICTOR SATHLER LEME</v>
          </cell>
          <cell r="B1137">
            <v>22774</v>
          </cell>
          <cell r="C1137" t="str">
            <v>VICTOR SATHLER LEME</v>
          </cell>
          <cell r="D1137" t="str">
            <v>OPERAÇÃO TRANSPORTES</v>
          </cell>
        </row>
        <row r="1138">
          <cell r="A1138" t="str">
            <v>30189VILMAR MOTA DE SOUZA</v>
          </cell>
          <cell r="B1138">
            <v>30189</v>
          </cell>
          <cell r="C1138" t="str">
            <v>VILMAR MOTA DE SOUZA</v>
          </cell>
          <cell r="D1138" t="str">
            <v>OPERAÇÃO TRANSPORTES</v>
          </cell>
        </row>
        <row r="1139">
          <cell r="A1139" t="str">
            <v>31544VITOR DE CASTRO MENDES</v>
          </cell>
          <cell r="B1139">
            <v>31544</v>
          </cell>
          <cell r="C1139" t="str">
            <v>VITOR DE CASTRO MENDES</v>
          </cell>
          <cell r="D1139" t="str">
            <v>OPERAÇÃO TRANSPORTES</v>
          </cell>
        </row>
        <row r="1140">
          <cell r="A1140" t="str">
            <v>23940VITOR LINES MOURA</v>
          </cell>
          <cell r="B1140">
            <v>23940</v>
          </cell>
          <cell r="C1140" t="str">
            <v>VITOR LINES MOURA</v>
          </cell>
          <cell r="D1140" t="str">
            <v>OPERAÇÃO TRANSPORTES</v>
          </cell>
        </row>
        <row r="1141">
          <cell r="A1141" t="str">
            <v>22325VLADIMIR VIANA TOBIAS</v>
          </cell>
          <cell r="B1141">
            <v>22325</v>
          </cell>
          <cell r="C1141" t="str">
            <v>VLADIMIR VIANA TOBIAS</v>
          </cell>
          <cell r="D1141" t="str">
            <v>OPERAÇÃO TRANSPORTES</v>
          </cell>
        </row>
        <row r="1142">
          <cell r="A1142" t="str">
            <v>27584VLADIMIR VIEIRA MIRANDA</v>
          </cell>
          <cell r="B1142">
            <v>27584</v>
          </cell>
          <cell r="C1142" t="str">
            <v>VLADIMIR VIEIRA MIRANDA</v>
          </cell>
          <cell r="D1142" t="str">
            <v>OPERAÇÃO TRANSPORTES</v>
          </cell>
        </row>
        <row r="1143">
          <cell r="A1143" t="str">
            <v>31559WALDEMAR DA SILVA</v>
          </cell>
          <cell r="B1143">
            <v>31559</v>
          </cell>
          <cell r="C1143" t="str">
            <v>WALDEMAR DA SILVA</v>
          </cell>
          <cell r="D1143" t="str">
            <v>OPERAÇÃO TRANSPORTES</v>
          </cell>
        </row>
        <row r="1144">
          <cell r="A1144" t="str">
            <v>23677WALFRIDO CANDIDO DE OLIVEIRA</v>
          </cell>
          <cell r="B1144">
            <v>23677</v>
          </cell>
          <cell r="C1144" t="str">
            <v>WALFRIDO CANDIDO DE OLIVEIRA</v>
          </cell>
          <cell r="D1144" t="str">
            <v>OPERAÇÃO TRANSPORTES</v>
          </cell>
        </row>
        <row r="1145">
          <cell r="A1145" t="str">
            <v>22118WALLITON SENA SANTOS</v>
          </cell>
          <cell r="B1145">
            <v>22118</v>
          </cell>
          <cell r="C1145" t="str">
            <v>WALLITON SENA SANTOS</v>
          </cell>
          <cell r="D1145" t="str">
            <v>OPERAÇÃO TRANSPORTES</v>
          </cell>
        </row>
        <row r="1146">
          <cell r="A1146" t="str">
            <v>15775WALTER RODRIGO CANDIDO</v>
          </cell>
          <cell r="B1146">
            <v>15775</v>
          </cell>
          <cell r="C1146" t="str">
            <v>WALTER RODRIGO CANDIDO</v>
          </cell>
          <cell r="D1146" t="str">
            <v>OPERAÇÃO TRANSPORTES</v>
          </cell>
        </row>
        <row r="1147">
          <cell r="A1147" t="str">
            <v>25917WALTER VICENTE</v>
          </cell>
          <cell r="B1147">
            <v>25917</v>
          </cell>
          <cell r="C1147" t="str">
            <v>WALTER VICENTE</v>
          </cell>
          <cell r="D1147" t="str">
            <v>OPERAÇÃO TRANSPORTES</v>
          </cell>
        </row>
        <row r="1148">
          <cell r="A1148" t="str">
            <v>16346WANDERLAN CINESIO DA SILVA</v>
          </cell>
          <cell r="B1148">
            <v>16346</v>
          </cell>
          <cell r="C1148" t="str">
            <v>WANDERLAN CINESIO DA SILVA</v>
          </cell>
          <cell r="D1148" t="str">
            <v>OPERAÇÃO TRANSPORTES</v>
          </cell>
        </row>
        <row r="1149">
          <cell r="A1149" t="str">
            <v>30986WARLEY ANDRADE DO NASCIMENTO</v>
          </cell>
          <cell r="B1149">
            <v>30986</v>
          </cell>
          <cell r="C1149" t="str">
            <v>WARLEY ANDRADE DO NASCIMENTO</v>
          </cell>
          <cell r="D1149" t="str">
            <v>OPERAÇÃO TRANSPORTES</v>
          </cell>
        </row>
        <row r="1150">
          <cell r="A1150" t="str">
            <v>25779WASHINGTON DA SILVA</v>
          </cell>
          <cell r="B1150">
            <v>25779</v>
          </cell>
          <cell r="C1150" t="str">
            <v>WASHINGTON DA SILVA</v>
          </cell>
          <cell r="D1150" t="str">
            <v>OPERAÇÃO TRANSPORTES</v>
          </cell>
        </row>
        <row r="1151">
          <cell r="A1151" t="str">
            <v>31692WASHINGTON LUIS BARBOSA DE OLIVEIRA</v>
          </cell>
          <cell r="B1151">
            <v>31692</v>
          </cell>
          <cell r="C1151" t="str">
            <v>WASHINGTON LUIS BARBOSA DE OLIVEIRA</v>
          </cell>
          <cell r="D1151" t="str">
            <v>GOVERNANÇA</v>
          </cell>
        </row>
        <row r="1152">
          <cell r="A1152" t="str">
            <v>30142WELGE DE ASSIS</v>
          </cell>
          <cell r="B1152">
            <v>30142</v>
          </cell>
          <cell r="C1152" t="str">
            <v>WELGE DE ASSIS</v>
          </cell>
          <cell r="D1152" t="str">
            <v>OPERAÇÃO TRANSPORTES</v>
          </cell>
        </row>
        <row r="1153">
          <cell r="A1153" t="str">
            <v>28942WELISVAN BARROS AMBROSIO</v>
          </cell>
          <cell r="B1153">
            <v>28942</v>
          </cell>
          <cell r="C1153" t="str">
            <v>WELISVAN BARROS AMBROSIO</v>
          </cell>
          <cell r="D1153" t="str">
            <v>OPERAÇÃO TRANSPORTES</v>
          </cell>
        </row>
        <row r="1154">
          <cell r="A1154" t="str">
            <v>31622WELLINGTON PEREIRA DE SOUZA</v>
          </cell>
          <cell r="B1154">
            <v>31622</v>
          </cell>
          <cell r="C1154" t="str">
            <v>WELLINGTON PEREIRA DE SOUZA</v>
          </cell>
          <cell r="D1154" t="str">
            <v>OPERAÇÃO TRANSPORTES</v>
          </cell>
        </row>
        <row r="1155">
          <cell r="A1155" t="str">
            <v>14238WELMISON LINO DE FARIA</v>
          </cell>
          <cell r="B1155">
            <v>14238</v>
          </cell>
          <cell r="C1155" t="str">
            <v>WELMISON LINO DE FARIA</v>
          </cell>
          <cell r="D1155" t="str">
            <v>OPERAÇÃO TRANSPORTES</v>
          </cell>
        </row>
        <row r="1156">
          <cell r="A1156" t="str">
            <v>28365WESLEY COUTINHO SANTOS</v>
          </cell>
          <cell r="B1156">
            <v>28365</v>
          </cell>
          <cell r="C1156" t="str">
            <v>WESLEY COUTINHO SANTOS</v>
          </cell>
          <cell r="D1156" t="str">
            <v>SERVIÇOS</v>
          </cell>
        </row>
        <row r="1157">
          <cell r="A1157" t="str">
            <v>25976WESLEY DE LIMA PEREIRA</v>
          </cell>
          <cell r="B1157">
            <v>25976</v>
          </cell>
          <cell r="C1157" t="str">
            <v>WESLEY DE LIMA PEREIRA</v>
          </cell>
          <cell r="D1157" t="str">
            <v>OPERAÇÃO TRANSPORTES</v>
          </cell>
        </row>
        <row r="1158">
          <cell r="A1158" t="str">
            <v>21247WESLEY PEREIRA BARBOSA</v>
          </cell>
          <cell r="B1158">
            <v>21247</v>
          </cell>
          <cell r="C1158" t="str">
            <v>WESLEY PEREIRA BARBOSA</v>
          </cell>
          <cell r="D1158" t="str">
            <v>OPERAÇÃO TRANSPORTES</v>
          </cell>
        </row>
        <row r="1159">
          <cell r="A1159" t="str">
            <v>31645WESLEY SILVA SANTANA</v>
          </cell>
          <cell r="B1159">
            <v>31645</v>
          </cell>
          <cell r="C1159" t="str">
            <v>WESLEY SILVA SANTANA</v>
          </cell>
          <cell r="D1159" t="str">
            <v>OPERAÇÃO TRANSPORTES</v>
          </cell>
        </row>
        <row r="1160">
          <cell r="A1160" t="str">
            <v>26321WILLIAM APARECIDO PIRES</v>
          </cell>
          <cell r="B1160">
            <v>26321</v>
          </cell>
          <cell r="C1160" t="str">
            <v>WILLIAM APARECIDO PIRES</v>
          </cell>
          <cell r="D1160" t="str">
            <v>OPERAÇÃO TRANSPORTES</v>
          </cell>
        </row>
        <row r="1161">
          <cell r="A1161" t="str">
            <v>25997WILLIAM SARAIVA CAMARGO</v>
          </cell>
          <cell r="B1161">
            <v>25997</v>
          </cell>
          <cell r="C1161" t="str">
            <v>WILLIAM SARAIVA CAMARGO</v>
          </cell>
          <cell r="D1161" t="str">
            <v>OPERAÇÃO TRANSPORTES</v>
          </cell>
        </row>
        <row r="1162">
          <cell r="A1162" t="str">
            <v>30506WILLIAM SILVEIRA MACHADO</v>
          </cell>
          <cell r="B1162">
            <v>30506</v>
          </cell>
          <cell r="C1162" t="str">
            <v>WILLIAM SILVEIRA MACHADO</v>
          </cell>
          <cell r="D1162" t="str">
            <v>OPERAÇÃO TRANSPORTES</v>
          </cell>
        </row>
        <row r="1163">
          <cell r="A1163" t="str">
            <v>16954WILLIAN RIBEIRO DA SILVA</v>
          </cell>
          <cell r="B1163">
            <v>16954</v>
          </cell>
          <cell r="C1163" t="str">
            <v>WILLIAN RIBEIRO DA SILVA</v>
          </cell>
          <cell r="D1163" t="str">
            <v>GOVERNANÇA</v>
          </cell>
        </row>
        <row r="1164">
          <cell r="A1164" t="str">
            <v>22343WILLIAN SOARES ARAUJO PEREIRA</v>
          </cell>
          <cell r="B1164">
            <v>22343</v>
          </cell>
          <cell r="C1164" t="str">
            <v>WILLIAN SOARES ARAUJO PEREIRA</v>
          </cell>
          <cell r="D1164" t="str">
            <v>OPERAÇÃO TRANSPORTES</v>
          </cell>
        </row>
        <row r="1165">
          <cell r="A1165" t="str">
            <v>31671WILLIFER JOSE RODRIGUES DOS SANTOS</v>
          </cell>
          <cell r="B1165">
            <v>31671</v>
          </cell>
          <cell r="C1165" t="str">
            <v>WILLIFER JOSE RODRIGUES DOS SANTOS</v>
          </cell>
          <cell r="D1165" t="str">
            <v>OPERAÇÃO TRANSPORTES</v>
          </cell>
        </row>
        <row r="1166">
          <cell r="A1166" t="str">
            <v>22080WILSON ALVARES</v>
          </cell>
          <cell r="B1166">
            <v>22080</v>
          </cell>
          <cell r="C1166" t="str">
            <v>WILSON ALVARES</v>
          </cell>
          <cell r="D1166" t="str">
            <v>OPERAÇÃO TRANSPORTES</v>
          </cell>
        </row>
        <row r="1167">
          <cell r="A1167" t="str">
            <v>22914WILSON BARBOSA</v>
          </cell>
          <cell r="B1167">
            <v>22914</v>
          </cell>
          <cell r="C1167" t="str">
            <v>WILSON BARBOSA</v>
          </cell>
          <cell r="D1167" t="str">
            <v>OPERAÇÃO TRANSPORTES</v>
          </cell>
        </row>
        <row r="1168">
          <cell r="A1168" t="str">
            <v>31658YASMIM RAFAELA CORTEZ MOREIRA</v>
          </cell>
          <cell r="B1168">
            <v>31658</v>
          </cell>
          <cell r="C1168" t="str">
            <v>YASMIM RAFAELA CORTEZ MOREIRA</v>
          </cell>
          <cell r="D1168" t="str">
            <v>SEGURANÇA PATRIMONIAL</v>
          </cell>
        </row>
        <row r="1169">
          <cell r="A1169" t="str">
            <v>31650YURI DANIEL MOREIRA</v>
          </cell>
          <cell r="B1169">
            <v>31650</v>
          </cell>
          <cell r="C1169" t="str">
            <v>YURI DANIEL MOREIRA</v>
          </cell>
          <cell r="D1169" t="str">
            <v>TECNOLOGIA DA INFORMAÇÃO</v>
          </cell>
        </row>
        <row r="1170">
          <cell r="A1170" t="str">
            <v>27873YURI SOUZA MOREIRA</v>
          </cell>
          <cell r="B1170">
            <v>27873</v>
          </cell>
          <cell r="C1170" t="str">
            <v>YURI SOUZA MOREIRA</v>
          </cell>
          <cell r="D1170" t="str">
            <v>OPERAÇÃO TRANSPORTES</v>
          </cell>
        </row>
        <row r="1171">
          <cell r="A1171" t="str">
            <v>26704ZILDENI FERNANDES DE MELO</v>
          </cell>
          <cell r="B1171">
            <v>26704</v>
          </cell>
          <cell r="C1171" t="str">
            <v>ZILDENI FERNANDES DE MELO</v>
          </cell>
          <cell r="D1171" t="str">
            <v>OPERAÇÃO TRANSPORTES</v>
          </cell>
        </row>
        <row r="1172">
          <cell r="A1172" t="str">
            <v>ARMANDO TEIXEIRA CAMARA</v>
          </cell>
          <cell r="C1172" t="str">
            <v>ARMANDO TEIXEIRA CAMARA</v>
          </cell>
          <cell r="D1172" t="str">
            <v>OPERAÇÃO TRANSPORTES</v>
          </cell>
        </row>
      </sheetData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 DE FROTA"/>
      <sheetName val="pedagio"/>
      <sheetName val="Atualizado 23_07_15"/>
      <sheetName val="TABELA DE CUSTOS MODELO"/>
      <sheetName val="coletas e transferencias"/>
      <sheetName val="CONCEITO"/>
      <sheetName val="Memoria Calculo Lotação"/>
      <sheetName val="Memoria Calculo Fracionado"/>
      <sheetName val="Conceito 2"/>
      <sheetName val="CUSTOS ATUALIZADOS"/>
      <sheetName val="Origem GYN"/>
      <sheetName val="Origem CGR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O2" t="str">
            <v>Custo Variavel Direto</v>
          </cell>
        </row>
        <row r="3">
          <cell r="C3" t="str">
            <v>SAO/GUJ</v>
          </cell>
          <cell r="E3">
            <v>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P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4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 FRETE V1"/>
      <sheetName val="ITEM CONTB."/>
      <sheetName val="BUDGET"/>
      <sheetName val="SINTETICO"/>
      <sheetName val="RESUMO"/>
      <sheetName val="FAT. IMPOSTOS"/>
      <sheetName val="FATURAMENTO FARMA."/>
      <sheetName val="CUSTO FRETE"/>
      <sheetName val="INSUMOS"/>
      <sheetName val="POLO"/>
      <sheetName val="COMISSÃO"/>
      <sheetName val="CUSTOS ARMAZEM"/>
      <sheetName val="GERAL PPP"/>
      <sheetName val="CARGA&amp;DESC."/>
      <sheetName val="HE E CD"/>
      <sheetName val="HEADS"/>
      <sheetName val="CUSTO MO DIR"/>
      <sheetName val="PJ DIR"/>
      <sheetName val="TABELAS"/>
    </sheetNames>
    <sheetDataSet>
      <sheetData sheetId="0">
        <row r="5">
          <cell r="B5">
            <v>101</v>
          </cell>
        </row>
      </sheetData>
      <sheetData sheetId="1">
        <row r="5">
          <cell r="B5">
            <v>101</v>
          </cell>
          <cell r="C5" t="str">
            <v xml:space="preserve">Filial Matriz </v>
          </cell>
          <cell r="D5" t="str">
            <v>MATRIZ</v>
          </cell>
        </row>
        <row r="6">
          <cell r="B6">
            <v>10101</v>
          </cell>
          <cell r="C6" t="str">
            <v xml:space="preserve">Diretoria </v>
          </cell>
          <cell r="D6" t="str">
            <v>MATRIZ</v>
          </cell>
        </row>
        <row r="7">
          <cell r="B7">
            <v>10102</v>
          </cell>
          <cell r="C7" t="str">
            <v>Administrativo/Operação</v>
          </cell>
          <cell r="D7" t="str">
            <v>MATRIZ</v>
          </cell>
        </row>
        <row r="8">
          <cell r="B8">
            <v>102</v>
          </cell>
          <cell r="C8" t="str">
            <v xml:space="preserve">Filial Barueri </v>
          </cell>
          <cell r="D8" t="str">
            <v>BARUERI</v>
          </cell>
        </row>
        <row r="9">
          <cell r="B9">
            <v>10203</v>
          </cell>
          <cell r="C9" t="str">
            <v>Administrativo/Operação</v>
          </cell>
          <cell r="D9" t="str">
            <v>BARUERI</v>
          </cell>
        </row>
        <row r="10">
          <cell r="B10">
            <v>103</v>
          </cell>
          <cell r="C10" t="str">
            <v>Filial Itapevi</v>
          </cell>
          <cell r="D10" t="str">
            <v>ITAPEVI</v>
          </cell>
        </row>
        <row r="11">
          <cell r="B11">
            <v>10301</v>
          </cell>
          <cell r="C11" t="str">
            <v>Diretoria</v>
          </cell>
          <cell r="D11" t="str">
            <v>ITAPEVI</v>
          </cell>
        </row>
        <row r="12">
          <cell r="B12">
            <v>10302</v>
          </cell>
          <cell r="C12" t="str">
            <v>Administrativo/Operação</v>
          </cell>
          <cell r="D12" t="str">
            <v>ITAPEVI</v>
          </cell>
        </row>
        <row r="13">
          <cell r="B13">
            <v>10303</v>
          </cell>
          <cell r="C13" t="str">
            <v xml:space="preserve">Comercial </v>
          </cell>
          <cell r="D13" t="str">
            <v>ITAPEVI</v>
          </cell>
        </row>
        <row r="14">
          <cell r="B14">
            <v>10304</v>
          </cell>
          <cell r="C14" t="str">
            <v xml:space="preserve">Operação </v>
          </cell>
          <cell r="D14" t="str">
            <v>ITAPEVI</v>
          </cell>
        </row>
        <row r="15">
          <cell r="B15">
            <v>10306</v>
          </cell>
          <cell r="C15" t="str">
            <v>Torrent</v>
          </cell>
          <cell r="D15" t="str">
            <v>ITAPEVI</v>
          </cell>
        </row>
        <row r="16">
          <cell r="B16">
            <v>10308</v>
          </cell>
          <cell r="C16" t="str">
            <v>Medley</v>
          </cell>
          <cell r="D16" t="str">
            <v>ITAPEVI</v>
          </cell>
        </row>
        <row r="17">
          <cell r="B17">
            <v>10310</v>
          </cell>
          <cell r="C17" t="str">
            <v>RN</v>
          </cell>
          <cell r="D17" t="str">
            <v>ITAPEVI</v>
          </cell>
        </row>
        <row r="18">
          <cell r="B18">
            <v>10316</v>
          </cell>
          <cell r="C18" t="str">
            <v>Unichem</v>
          </cell>
          <cell r="D18" t="str">
            <v>ITAPEVI</v>
          </cell>
        </row>
        <row r="19">
          <cell r="B19">
            <v>10321</v>
          </cell>
          <cell r="C19" t="str">
            <v>Valeant</v>
          </cell>
          <cell r="D19" t="str">
            <v>ITAPEVI</v>
          </cell>
        </row>
        <row r="20">
          <cell r="B20">
            <v>10323</v>
          </cell>
          <cell r="C20" t="str">
            <v xml:space="preserve">Takeda </v>
          </cell>
          <cell r="D20" t="str">
            <v>ITAPEVI</v>
          </cell>
        </row>
        <row r="21">
          <cell r="B21">
            <v>10326</v>
          </cell>
          <cell r="C21" t="str">
            <v>Teva</v>
          </cell>
          <cell r="D21" t="str">
            <v>ITAPEVI</v>
          </cell>
        </row>
        <row r="22">
          <cell r="B22">
            <v>10327</v>
          </cell>
          <cell r="C22" t="str">
            <v>Galderma</v>
          </cell>
          <cell r="D22" t="str">
            <v>ITAPEVI</v>
          </cell>
        </row>
        <row r="23">
          <cell r="B23">
            <v>10328</v>
          </cell>
          <cell r="C23" t="str">
            <v>Antibioticos Do Brasil SP</v>
          </cell>
          <cell r="D23" t="str">
            <v>ITAPEVI</v>
          </cell>
        </row>
        <row r="24">
          <cell r="B24">
            <v>10333</v>
          </cell>
          <cell r="C24" t="str">
            <v>Suwelack</v>
          </cell>
          <cell r="D24" t="str">
            <v>ITAPEVI</v>
          </cell>
        </row>
        <row r="25">
          <cell r="B25">
            <v>10337</v>
          </cell>
          <cell r="C25" t="str">
            <v>Selectchemie</v>
          </cell>
          <cell r="D25" t="str">
            <v>ITAPEVI</v>
          </cell>
        </row>
        <row r="26">
          <cell r="B26">
            <v>10338</v>
          </cell>
          <cell r="C26" t="str">
            <v>Precisa</v>
          </cell>
          <cell r="D26" t="str">
            <v>ITAPEVI</v>
          </cell>
        </row>
        <row r="27">
          <cell r="B27">
            <v>10339</v>
          </cell>
          <cell r="C27" t="str">
            <v>Coferly</v>
          </cell>
          <cell r="D27" t="str">
            <v>ITAPEVI</v>
          </cell>
        </row>
        <row r="28">
          <cell r="B28">
            <v>10340</v>
          </cell>
          <cell r="C28" t="str">
            <v>Sanofi</v>
          </cell>
          <cell r="D28" t="str">
            <v>ITAPEVI</v>
          </cell>
        </row>
        <row r="29">
          <cell r="B29">
            <v>10345</v>
          </cell>
          <cell r="C29" t="str">
            <v>Ferring</v>
          </cell>
          <cell r="D29" t="str">
            <v>ITAPEVI</v>
          </cell>
        </row>
        <row r="30">
          <cell r="B30">
            <v>10349</v>
          </cell>
          <cell r="C30" t="str">
            <v>Andromaco</v>
          </cell>
          <cell r="D30" t="str">
            <v>ITAPEVI</v>
          </cell>
        </row>
        <row r="31">
          <cell r="B31">
            <v>10351</v>
          </cell>
          <cell r="C31" t="str">
            <v>Nutrabrands</v>
          </cell>
          <cell r="D31" t="str">
            <v>ITAPEVI</v>
          </cell>
        </row>
        <row r="32">
          <cell r="B32">
            <v>10352</v>
          </cell>
          <cell r="C32" t="str">
            <v>Dental</v>
          </cell>
          <cell r="D32" t="str">
            <v>ITAPEVI</v>
          </cell>
        </row>
        <row r="33">
          <cell r="B33">
            <v>10355</v>
          </cell>
          <cell r="C33" t="str">
            <v>Genomma</v>
          </cell>
          <cell r="D33" t="str">
            <v>ITAPEVI</v>
          </cell>
        </row>
        <row r="34">
          <cell r="B34">
            <v>10356</v>
          </cell>
          <cell r="C34" t="str">
            <v xml:space="preserve">Shire Human </v>
          </cell>
          <cell r="D34" t="str">
            <v>ITAPEVI</v>
          </cell>
        </row>
        <row r="35">
          <cell r="B35">
            <v>10357</v>
          </cell>
          <cell r="C35" t="str">
            <v>Beaufour/Ipsen</v>
          </cell>
          <cell r="D35" t="str">
            <v>ITAPEVI</v>
          </cell>
        </row>
        <row r="36">
          <cell r="B36">
            <v>10360</v>
          </cell>
          <cell r="C36" t="str">
            <v>Pfizer</v>
          </cell>
          <cell r="D36" t="str">
            <v>ITAPEVI</v>
          </cell>
        </row>
        <row r="37">
          <cell r="B37">
            <v>10361</v>
          </cell>
          <cell r="C37" t="str">
            <v>Mead Johnson</v>
          </cell>
          <cell r="D37" t="str">
            <v>ITAPEVI</v>
          </cell>
        </row>
        <row r="38">
          <cell r="B38">
            <v>10363</v>
          </cell>
          <cell r="C38" t="str">
            <v>Bristol</v>
          </cell>
          <cell r="D38" t="str">
            <v>ITAPEVI</v>
          </cell>
        </row>
        <row r="39">
          <cell r="B39">
            <v>10364</v>
          </cell>
          <cell r="C39" t="str">
            <v>Astellas</v>
          </cell>
          <cell r="D39" t="str">
            <v>ITAPEVI</v>
          </cell>
        </row>
        <row r="40">
          <cell r="B40">
            <v>10366</v>
          </cell>
          <cell r="C40" t="str">
            <v>Ajinomoto</v>
          </cell>
          <cell r="D40" t="str">
            <v>ITAPEVI</v>
          </cell>
        </row>
        <row r="41">
          <cell r="B41">
            <v>10367</v>
          </cell>
          <cell r="C41" t="str">
            <v>Fresenius</v>
          </cell>
          <cell r="D41" t="str">
            <v>ITAPEVI</v>
          </cell>
        </row>
        <row r="42">
          <cell r="B42">
            <v>10369</v>
          </cell>
          <cell r="C42" t="str">
            <v>Pão de Açucar</v>
          </cell>
          <cell r="D42" t="str">
            <v>ITAPEVI</v>
          </cell>
        </row>
        <row r="43">
          <cell r="B43">
            <v>10370</v>
          </cell>
          <cell r="C43" t="str">
            <v>Ivoclar</v>
          </cell>
          <cell r="D43" t="str">
            <v>ITAPEVI</v>
          </cell>
        </row>
        <row r="44">
          <cell r="B44">
            <v>10371</v>
          </cell>
          <cell r="C44" t="str">
            <v>Isdin</v>
          </cell>
          <cell r="D44" t="str">
            <v>ITAPEVI</v>
          </cell>
        </row>
        <row r="45">
          <cell r="B45">
            <v>10372</v>
          </cell>
          <cell r="C45" t="str">
            <v>Melora</v>
          </cell>
          <cell r="D45" t="str">
            <v>ITAPEVI</v>
          </cell>
        </row>
        <row r="46">
          <cell r="B46">
            <v>10374</v>
          </cell>
          <cell r="C46" t="str">
            <v>JC Pharma</v>
          </cell>
          <cell r="D46" t="str">
            <v>ITAPEVI</v>
          </cell>
        </row>
        <row r="47">
          <cell r="B47">
            <v>10375</v>
          </cell>
          <cell r="C47" t="str">
            <v>Biomarin</v>
          </cell>
          <cell r="D47" t="str">
            <v>ITAPEVI</v>
          </cell>
        </row>
        <row r="48">
          <cell r="B48">
            <v>10376</v>
          </cell>
          <cell r="C48" t="str">
            <v>Bracco</v>
          </cell>
          <cell r="D48" t="str">
            <v>ITAPEVI</v>
          </cell>
        </row>
        <row r="49">
          <cell r="B49">
            <v>10378</v>
          </cell>
          <cell r="C49" t="str">
            <v>Geistlich</v>
          </cell>
          <cell r="D49" t="str">
            <v>ITAPEVI</v>
          </cell>
        </row>
        <row r="50">
          <cell r="B50">
            <v>10379</v>
          </cell>
          <cell r="C50" t="str">
            <v>Bunker</v>
          </cell>
          <cell r="D50" t="str">
            <v>ITAPEVI</v>
          </cell>
        </row>
        <row r="51">
          <cell r="B51">
            <v>10381</v>
          </cell>
          <cell r="C51" t="str">
            <v>Ferrer</v>
          </cell>
          <cell r="D51" t="str">
            <v>ITAPEVI</v>
          </cell>
        </row>
        <row r="52">
          <cell r="B52">
            <v>10383</v>
          </cell>
          <cell r="C52" t="str">
            <v>CRX</v>
          </cell>
          <cell r="D52" t="str">
            <v>ITAPEVI</v>
          </cell>
        </row>
        <row r="53">
          <cell r="B53">
            <v>10384</v>
          </cell>
          <cell r="C53" t="str">
            <v>BRX</v>
          </cell>
          <cell r="D53" t="str">
            <v>ITAPEVI</v>
          </cell>
        </row>
        <row r="54">
          <cell r="B54">
            <v>10385</v>
          </cell>
          <cell r="C54" t="str">
            <v>MMX</v>
          </cell>
          <cell r="D54" t="str">
            <v>ITAPEVI</v>
          </cell>
        </row>
        <row r="55">
          <cell r="B55">
            <v>10386</v>
          </cell>
          <cell r="C55" t="str">
            <v>Leo Pharma</v>
          </cell>
          <cell r="D55" t="str">
            <v>ITAPEVI</v>
          </cell>
        </row>
        <row r="56">
          <cell r="B56">
            <v>10387</v>
          </cell>
          <cell r="C56" t="str">
            <v>Heraeus</v>
          </cell>
          <cell r="D56" t="str">
            <v>ITAPEVI</v>
          </cell>
        </row>
        <row r="57">
          <cell r="B57">
            <v>10388</v>
          </cell>
          <cell r="C57" t="str">
            <v>Di Brescia (AC2B)</v>
          </cell>
          <cell r="D57" t="str">
            <v>ITAPEVI</v>
          </cell>
        </row>
        <row r="58">
          <cell r="B58">
            <v>10389</v>
          </cell>
          <cell r="C58" t="str">
            <v>Merck Sharp</v>
          </cell>
          <cell r="D58" t="str">
            <v>ITAPEVI</v>
          </cell>
        </row>
        <row r="59">
          <cell r="B59">
            <v>10391</v>
          </cell>
          <cell r="C59" t="str">
            <v>Gilmin (Ilike)</v>
          </cell>
          <cell r="D59" t="str">
            <v>ITAPEVI</v>
          </cell>
        </row>
        <row r="60">
          <cell r="B60">
            <v>10392</v>
          </cell>
          <cell r="C60" t="str">
            <v>B2O (RR Perfumes)</v>
          </cell>
          <cell r="D60" t="str">
            <v>ITAPEVI</v>
          </cell>
        </row>
        <row r="61">
          <cell r="B61">
            <v>10393</v>
          </cell>
          <cell r="C61" t="str">
            <v xml:space="preserve">Besins Healthcare </v>
          </cell>
          <cell r="D61" t="str">
            <v>ITAPEVI</v>
          </cell>
        </row>
        <row r="62">
          <cell r="B62">
            <v>10394</v>
          </cell>
          <cell r="C62" t="str">
            <v>Avenue Hoche (Sephora)</v>
          </cell>
          <cell r="D62" t="str">
            <v>ITAPEVI</v>
          </cell>
        </row>
        <row r="63">
          <cell r="B63">
            <v>10395</v>
          </cell>
          <cell r="C63" t="str">
            <v xml:space="preserve">Lubrizol </v>
          </cell>
          <cell r="D63" t="str">
            <v>ITAPEVI</v>
          </cell>
        </row>
        <row r="64">
          <cell r="B64">
            <v>10396</v>
          </cell>
          <cell r="C64" t="str">
            <v xml:space="preserve">MIP Brasil </v>
          </cell>
          <cell r="D64" t="str">
            <v>ITAPEVI</v>
          </cell>
        </row>
        <row r="65">
          <cell r="B65">
            <v>10397</v>
          </cell>
          <cell r="C65" t="str">
            <v xml:space="preserve">Moderm Lab Com </v>
          </cell>
          <cell r="D65" t="str">
            <v>ITAPEVI</v>
          </cell>
        </row>
        <row r="66">
          <cell r="B66">
            <v>10398</v>
          </cell>
          <cell r="C66" t="str">
            <v xml:space="preserve">A. G. Campeã  </v>
          </cell>
          <cell r="D66" t="str">
            <v>ITAPEVI</v>
          </cell>
        </row>
        <row r="67">
          <cell r="B67">
            <v>10399</v>
          </cell>
          <cell r="C67" t="str">
            <v>EBBC</v>
          </cell>
          <cell r="D67" t="str">
            <v>ITAPEVI</v>
          </cell>
        </row>
        <row r="68">
          <cell r="B68">
            <v>104</v>
          </cell>
          <cell r="C68" t="str">
            <v xml:space="preserve">Filial Minas Gerais </v>
          </cell>
          <cell r="D68" t="str">
            <v>MINAS</v>
          </cell>
        </row>
        <row r="69">
          <cell r="B69">
            <v>10401</v>
          </cell>
          <cell r="C69" t="str">
            <v>Diretoria</v>
          </cell>
          <cell r="D69" t="str">
            <v>MINAS</v>
          </cell>
        </row>
        <row r="70">
          <cell r="B70">
            <v>10402</v>
          </cell>
          <cell r="C70" t="str">
            <v>Administrativo/Operação</v>
          </cell>
          <cell r="D70" t="str">
            <v>MINAS</v>
          </cell>
        </row>
        <row r="71">
          <cell r="B71">
            <v>10403</v>
          </cell>
          <cell r="C71" t="str">
            <v xml:space="preserve">Comercial </v>
          </cell>
          <cell r="D71" t="str">
            <v>MINAS</v>
          </cell>
        </row>
        <row r="72">
          <cell r="B72">
            <v>10404</v>
          </cell>
          <cell r="C72" t="str">
            <v xml:space="preserve">Operação </v>
          </cell>
          <cell r="D72" t="str">
            <v>MINAS</v>
          </cell>
        </row>
        <row r="73">
          <cell r="B73">
            <v>105</v>
          </cell>
          <cell r="C73" t="str">
            <v>Filial Rio Grande Sul (POA)</v>
          </cell>
          <cell r="D73" t="str">
            <v>POA</v>
          </cell>
        </row>
        <row r="74">
          <cell r="B74">
            <v>10502</v>
          </cell>
          <cell r="C74" t="str">
            <v>Administrativo/Operação</v>
          </cell>
          <cell r="D74" t="str">
            <v>POA</v>
          </cell>
        </row>
        <row r="75">
          <cell r="B75">
            <v>10504</v>
          </cell>
          <cell r="C75" t="str">
            <v xml:space="preserve">Operação </v>
          </cell>
          <cell r="D75" t="str">
            <v>POA</v>
          </cell>
        </row>
        <row r="76">
          <cell r="B76">
            <v>106</v>
          </cell>
          <cell r="C76" t="str">
            <v xml:space="preserve">Filial Espririto Santo </v>
          </cell>
          <cell r="D76" t="str">
            <v>ESPIRITO SANTO</v>
          </cell>
        </row>
        <row r="77">
          <cell r="B77">
            <v>10602</v>
          </cell>
          <cell r="C77" t="str">
            <v>Administrativo/Operação</v>
          </cell>
          <cell r="D77" t="str">
            <v>ESPIRITO SANTO</v>
          </cell>
        </row>
        <row r="78">
          <cell r="B78">
            <v>10604</v>
          </cell>
          <cell r="C78" t="str">
            <v xml:space="preserve">Operação </v>
          </cell>
          <cell r="D78" t="str">
            <v>ESPIRITO SANTO</v>
          </cell>
        </row>
        <row r="79">
          <cell r="B79">
            <v>107</v>
          </cell>
          <cell r="C79" t="str">
            <v>Filial Rio de Janeiro</v>
          </cell>
          <cell r="D79" t="str">
            <v>RIO</v>
          </cell>
        </row>
        <row r="80">
          <cell r="B80">
            <v>10702</v>
          </cell>
          <cell r="C80" t="str">
            <v>Administrativo/Operação</v>
          </cell>
          <cell r="D80" t="str">
            <v>RIO</v>
          </cell>
        </row>
        <row r="81">
          <cell r="B81">
            <v>10704</v>
          </cell>
          <cell r="C81" t="str">
            <v xml:space="preserve">Operação </v>
          </cell>
          <cell r="D81" t="str">
            <v>RIO</v>
          </cell>
        </row>
        <row r="82">
          <cell r="B82">
            <v>10706</v>
          </cell>
          <cell r="C82" t="str">
            <v>Lab. Daudt</v>
          </cell>
          <cell r="D82" t="str">
            <v>RIO</v>
          </cell>
        </row>
        <row r="83">
          <cell r="B83">
            <v>10710</v>
          </cell>
          <cell r="C83" t="str">
            <v>Saniplan</v>
          </cell>
          <cell r="D83" t="str">
            <v>RIO</v>
          </cell>
        </row>
        <row r="84">
          <cell r="B84">
            <v>10711</v>
          </cell>
          <cell r="C84" t="str">
            <v>Arrow</v>
          </cell>
          <cell r="D84" t="str">
            <v>RIO</v>
          </cell>
        </row>
        <row r="85">
          <cell r="B85">
            <v>10712</v>
          </cell>
          <cell r="C85" t="str">
            <v xml:space="preserve">Moderm Lab Com </v>
          </cell>
          <cell r="D85" t="str">
            <v>RIO</v>
          </cell>
        </row>
        <row r="86">
          <cell r="B86">
            <v>108</v>
          </cell>
          <cell r="C86" t="str">
            <v xml:space="preserve">Filial Goias </v>
          </cell>
          <cell r="D86" t="str">
            <v>GOIAS</v>
          </cell>
        </row>
        <row r="87">
          <cell r="B87">
            <v>10802</v>
          </cell>
          <cell r="C87" t="str">
            <v>Administrativo/Operação</v>
          </cell>
          <cell r="D87" t="str">
            <v>GOIAS</v>
          </cell>
        </row>
        <row r="88">
          <cell r="B88">
            <v>109</v>
          </cell>
          <cell r="C88" t="str">
            <v xml:space="preserve">Filial Betim </v>
          </cell>
          <cell r="D88" t="str">
            <v>BETIM</v>
          </cell>
        </row>
        <row r="89">
          <cell r="B89">
            <v>10902</v>
          </cell>
          <cell r="C89" t="str">
            <v>Administrativo/Operação</v>
          </cell>
          <cell r="D89" t="str">
            <v>BETIM</v>
          </cell>
        </row>
        <row r="90">
          <cell r="B90">
            <v>110</v>
          </cell>
          <cell r="C90" t="str">
            <v xml:space="preserve">Filial Itajaí </v>
          </cell>
          <cell r="D90" t="str">
            <v>ITAJAÍ</v>
          </cell>
        </row>
        <row r="91">
          <cell r="B91">
            <v>11002</v>
          </cell>
          <cell r="C91" t="str">
            <v>Administrativo/Operação</v>
          </cell>
          <cell r="D91" t="str">
            <v>ITAJAÍ</v>
          </cell>
        </row>
        <row r="92">
          <cell r="B92">
            <v>11003</v>
          </cell>
          <cell r="C92" t="str">
            <v xml:space="preserve">Operação </v>
          </cell>
          <cell r="D92" t="str">
            <v>ITAJAÍ</v>
          </cell>
        </row>
        <row r="93">
          <cell r="B93">
            <v>11004</v>
          </cell>
          <cell r="C93" t="str">
            <v xml:space="preserve">Takeda Itajaí </v>
          </cell>
          <cell r="D93" t="str">
            <v>ITAJAÍ</v>
          </cell>
        </row>
        <row r="94">
          <cell r="B94">
            <v>11005</v>
          </cell>
          <cell r="C94" t="str">
            <v xml:space="preserve">Airela Industria </v>
          </cell>
          <cell r="D94" t="str">
            <v>ITAJAÍ</v>
          </cell>
        </row>
        <row r="95">
          <cell r="B95">
            <v>11006</v>
          </cell>
          <cell r="C95" t="str">
            <v>Antibioticos Do Brasil Itajaí</v>
          </cell>
          <cell r="D95" t="str">
            <v>ITAJAÍ</v>
          </cell>
        </row>
        <row r="96">
          <cell r="B96">
            <v>11007</v>
          </cell>
          <cell r="C96" t="str">
            <v xml:space="preserve">Mead Johnson Itajaí  </v>
          </cell>
          <cell r="D96" t="str">
            <v>ITAJAÍ</v>
          </cell>
        </row>
        <row r="97">
          <cell r="B97">
            <v>11008</v>
          </cell>
          <cell r="C97" t="str">
            <v xml:space="preserve">Genomma Itajaí </v>
          </cell>
          <cell r="D97" t="str">
            <v>ITAJAÍ</v>
          </cell>
        </row>
        <row r="98">
          <cell r="B98">
            <v>11009</v>
          </cell>
          <cell r="C98" t="str">
            <v xml:space="preserve">Moderm Lab Com </v>
          </cell>
          <cell r="D98" t="str">
            <v>ITAJAÍ</v>
          </cell>
        </row>
        <row r="99">
          <cell r="B99">
            <v>11010</v>
          </cell>
          <cell r="C99" t="str">
            <v>Beaufour/Ipsen</v>
          </cell>
          <cell r="D99" t="str">
            <v>ITAJAÍ</v>
          </cell>
        </row>
        <row r="100">
          <cell r="B100">
            <v>111</v>
          </cell>
          <cell r="C100" t="str">
            <v xml:space="preserve">Filial Jaboatão </v>
          </cell>
          <cell r="D100" t="str">
            <v>JABOATÃO</v>
          </cell>
        </row>
        <row r="101">
          <cell r="B101">
            <v>11102</v>
          </cell>
          <cell r="C101" t="str">
            <v>Administrativo/Operação</v>
          </cell>
          <cell r="D101" t="str">
            <v>JABOATÃO</v>
          </cell>
        </row>
        <row r="102">
          <cell r="B102">
            <v>11103</v>
          </cell>
          <cell r="C102" t="str">
            <v xml:space="preserve">Operação </v>
          </cell>
          <cell r="D102" t="str">
            <v>JABOATÃO</v>
          </cell>
        </row>
        <row r="103">
          <cell r="B103">
            <v>112</v>
          </cell>
          <cell r="C103" t="str">
            <v xml:space="preserve">Filial Jandira </v>
          </cell>
          <cell r="D103" t="str">
            <v>JANDIRA</v>
          </cell>
        </row>
        <row r="104">
          <cell r="B104">
            <v>11202</v>
          </cell>
          <cell r="C104" t="str">
            <v>Administrativo/Operação</v>
          </cell>
          <cell r="D104" t="str">
            <v>JANDIRA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B5">
            <v>101</v>
          </cell>
        </row>
      </sheetData>
      <sheetData sheetId="17"/>
      <sheetData sheetId="1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3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 PREMIO"/>
      <sheetName val="CONTROLE DE VIAGEM"/>
      <sheetName val="CONTROLE DE ABASTECIMENTO"/>
      <sheetName val="DEDUÇÕES"/>
      <sheetName val="PREMISSAS"/>
      <sheetName val="BASE DE KM"/>
      <sheetName val="PICOS DE VELOCIDADE"/>
      <sheetName val="RELAÇÃO DE MOTORISTA"/>
      <sheetName val="RELAÇÃO DE PLACAS"/>
      <sheetName val="Plan1"/>
    </sheetNames>
    <sheetDataSet>
      <sheetData sheetId="0" refreshError="1"/>
      <sheetData sheetId="1"/>
      <sheetData sheetId="2" refreshError="1"/>
      <sheetData sheetId="3" refreshError="1"/>
      <sheetData sheetId="4">
        <row r="87">
          <cell r="A87" t="str">
            <v>ACIDENTE</v>
          </cell>
        </row>
        <row r="88">
          <cell r="A88" t="str">
            <v>AFASTADO</v>
          </cell>
        </row>
        <row r="89">
          <cell r="A89" t="str">
            <v>PICO DE VELOCIDADE</v>
          </cell>
        </row>
        <row r="90">
          <cell r="A90" t="str">
            <v>RECUSA OU REPROVADO NO TESTE ALCOOL E DROGAS</v>
          </cell>
        </row>
        <row r="91">
          <cell r="A91" t="str">
            <v>DESCUMPRIR LEI 12.619 (INTERVALOS DE DESCANSO)</v>
          </cell>
        </row>
        <row r="92">
          <cell r="A92" t="str">
            <v>ADULTERAÇÃO DE RECIBOS DE DESCARGA (COMPROVADO)</v>
          </cell>
        </row>
        <row r="93">
          <cell r="A93" t="str">
            <v>REALIZAR H.E ACIMA DO LIMITE</v>
          </cell>
        </row>
        <row r="109">
          <cell r="A109" t="str">
            <v>JANEIRO</v>
          </cell>
        </row>
        <row r="110">
          <cell r="A110" t="str">
            <v>FEVEREIRO</v>
          </cell>
        </row>
        <row r="111">
          <cell r="A111" t="str">
            <v>MARÇO</v>
          </cell>
        </row>
        <row r="112">
          <cell r="A112" t="str">
            <v>ABRIL</v>
          </cell>
        </row>
        <row r="113">
          <cell r="A113" t="str">
            <v>MAIO</v>
          </cell>
        </row>
        <row r="114">
          <cell r="A114" t="str">
            <v>JUNHO</v>
          </cell>
        </row>
        <row r="115">
          <cell r="A115" t="str">
            <v>JULHO</v>
          </cell>
        </row>
        <row r="116">
          <cell r="A116" t="str">
            <v>AGOSTO</v>
          </cell>
        </row>
        <row r="117">
          <cell r="A117" t="str">
            <v>SETEMBRO</v>
          </cell>
        </row>
        <row r="118">
          <cell r="A118" t="str">
            <v>OUTUBRO</v>
          </cell>
        </row>
        <row r="119">
          <cell r="A119" t="str">
            <v>NOVEMBRO</v>
          </cell>
        </row>
        <row r="120">
          <cell r="A120" t="str">
            <v>DEZEMBRO</v>
          </cell>
        </row>
      </sheetData>
      <sheetData sheetId="5" refreshError="1"/>
      <sheetData sheetId="6" refreshError="1"/>
      <sheetData sheetId="7">
        <row r="203">
          <cell r="A203" t="str">
            <v>AUX</v>
          </cell>
        </row>
      </sheetData>
      <sheetData sheetId="8">
        <row r="5">
          <cell r="E5" t="str">
            <v>CM6x4</v>
          </cell>
        </row>
        <row r="6">
          <cell r="E6" t="str">
            <v>CM6x2</v>
          </cell>
        </row>
        <row r="7">
          <cell r="E7" t="str">
            <v>Truck</v>
          </cell>
        </row>
        <row r="8">
          <cell r="E8" t="str">
            <v>Toco</v>
          </cell>
        </row>
        <row r="9">
          <cell r="E9" t="str">
            <v>Misto</v>
          </cell>
        </row>
        <row r="10">
          <cell r="E10" t="str">
            <v>Leve</v>
          </cell>
        </row>
      </sheetData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tura Dez.2018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Info"/>
      <sheetName val="Main View"/>
      <sheetName val="Firm Zone"/>
      <sheetName val="Chart"/>
    </sheetNames>
    <sheetDataSet>
      <sheetData sheetId="0">
        <row r="20">
          <cell r="B20" t="str">
            <v>Mar-08</v>
          </cell>
        </row>
        <row r="21">
          <cell r="B21" t="str">
            <v>Apr-08</v>
          </cell>
        </row>
        <row r="22">
          <cell r="B22" t="str">
            <v>May-08</v>
          </cell>
        </row>
        <row r="23">
          <cell r="B23" t="str">
            <v>Jun-08</v>
          </cell>
        </row>
        <row r="24">
          <cell r="B24" t="str">
            <v>Jul-08</v>
          </cell>
        </row>
        <row r="25">
          <cell r="B25" t="str">
            <v>Aug-08</v>
          </cell>
        </row>
        <row r="26">
          <cell r="B26" t="str">
            <v>Sep-08</v>
          </cell>
        </row>
        <row r="27">
          <cell r="B27" t="str">
            <v>Oct-08</v>
          </cell>
        </row>
        <row r="28">
          <cell r="B28" t="str">
            <v>Nov-08</v>
          </cell>
        </row>
        <row r="29">
          <cell r="B29" t="str">
            <v>Dec-08</v>
          </cell>
        </row>
      </sheetData>
      <sheetData sheetId="1"/>
      <sheetData sheetId="2"/>
      <sheetData sheetId="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FATURAMENTO POR TIPO DE DOCUME"/>
    </sheetNames>
    <sheetDataSet>
      <sheetData sheetId="0"/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2012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ições Gerais"/>
      <sheetName val="Tabela Transferencia"/>
      <sheetName val="Tarifas"/>
      <sheetName val="Parametros 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PLANO DE VIAGEM"/>
      <sheetName val="Apoio"/>
      <sheetName val="Base de dados"/>
      <sheetName val="VEÍCULOS GOLDEN"/>
    </sheetNames>
    <sheetDataSet>
      <sheetData sheetId="0" refreshError="1"/>
      <sheetData sheetId="1" refreshError="1"/>
      <sheetData sheetId="2" refreshError="1"/>
      <sheetData sheetId="3"/>
      <sheetData sheetId="4">
        <row r="2">
          <cell r="A2" t="str">
            <v>BWD0702</v>
          </cell>
        </row>
        <row r="3">
          <cell r="A3" t="str">
            <v>BYE7114</v>
          </cell>
        </row>
        <row r="4">
          <cell r="A4" t="str">
            <v>BYE7120</v>
          </cell>
        </row>
        <row r="5">
          <cell r="A5" t="str">
            <v>BYE7144</v>
          </cell>
        </row>
        <row r="6">
          <cell r="A6" t="str">
            <v>BYE8810</v>
          </cell>
        </row>
        <row r="7">
          <cell r="A7" t="str">
            <v>BYE8816</v>
          </cell>
        </row>
        <row r="8">
          <cell r="A8" t="str">
            <v>BYF1469</v>
          </cell>
        </row>
        <row r="9">
          <cell r="A9" t="str">
            <v>BYF1470</v>
          </cell>
        </row>
        <row r="10">
          <cell r="A10" t="str">
            <v>BYG0340</v>
          </cell>
        </row>
        <row r="11">
          <cell r="A11" t="str">
            <v>CVP3323</v>
          </cell>
        </row>
        <row r="12">
          <cell r="A12" t="str">
            <v>CVP3325</v>
          </cell>
        </row>
        <row r="13">
          <cell r="A13" t="str">
            <v>CVP3330</v>
          </cell>
        </row>
        <row r="14">
          <cell r="A14" t="str">
            <v>CVP3331</v>
          </cell>
        </row>
        <row r="15">
          <cell r="A15" t="str">
            <v>CVP3332</v>
          </cell>
        </row>
        <row r="16">
          <cell r="A16" t="str">
            <v>CVP3335</v>
          </cell>
        </row>
        <row r="17">
          <cell r="A17" t="str">
            <v>CVP3336</v>
          </cell>
        </row>
        <row r="18">
          <cell r="A18" t="str">
            <v>CVP3338</v>
          </cell>
        </row>
        <row r="19">
          <cell r="A19" t="str">
            <v>CVP3339</v>
          </cell>
        </row>
        <row r="20">
          <cell r="A20" t="str">
            <v>CVP3340</v>
          </cell>
        </row>
        <row r="21">
          <cell r="A21" t="str">
            <v>CVP3341</v>
          </cell>
        </row>
        <row r="22">
          <cell r="A22" t="str">
            <v>CVP3342</v>
          </cell>
        </row>
        <row r="23">
          <cell r="A23" t="str">
            <v>CVP3343</v>
          </cell>
        </row>
        <row r="24">
          <cell r="A24" t="str">
            <v>CVP3345</v>
          </cell>
        </row>
        <row r="25">
          <cell r="A25" t="str">
            <v>CVP3346</v>
          </cell>
        </row>
        <row r="26">
          <cell r="A26" t="str">
            <v>CVP3348</v>
          </cell>
        </row>
        <row r="27">
          <cell r="A27" t="str">
            <v>CVP3352</v>
          </cell>
        </row>
        <row r="28">
          <cell r="A28" t="str">
            <v>CVP3354</v>
          </cell>
        </row>
        <row r="29">
          <cell r="A29" t="str">
            <v>CVP3356</v>
          </cell>
        </row>
        <row r="30">
          <cell r="A30" t="str">
            <v>CVP3357</v>
          </cell>
        </row>
        <row r="31">
          <cell r="A31" t="str">
            <v>CVP3358</v>
          </cell>
        </row>
        <row r="32">
          <cell r="A32" t="str">
            <v>CVP3389</v>
          </cell>
        </row>
        <row r="33">
          <cell r="A33" t="str">
            <v>CVP3395</v>
          </cell>
        </row>
        <row r="34">
          <cell r="A34" t="str">
            <v>CVP3396</v>
          </cell>
        </row>
        <row r="35">
          <cell r="A35" t="str">
            <v>CVP3397</v>
          </cell>
        </row>
        <row r="36">
          <cell r="A36" t="str">
            <v>CVP3402</v>
          </cell>
        </row>
        <row r="37">
          <cell r="A37" t="str">
            <v>CVP3404</v>
          </cell>
        </row>
        <row r="38">
          <cell r="A38" t="str">
            <v>CVP3405</v>
          </cell>
        </row>
        <row r="39">
          <cell r="A39" t="str">
            <v>CVP3406</v>
          </cell>
        </row>
        <row r="40">
          <cell r="A40" t="str">
            <v>CVP3407</v>
          </cell>
        </row>
        <row r="41">
          <cell r="A41" t="str">
            <v>CVP3408</v>
          </cell>
        </row>
        <row r="42">
          <cell r="A42" t="str">
            <v>CVP3409</v>
          </cell>
        </row>
        <row r="43">
          <cell r="A43" t="str">
            <v>CVP3411</v>
          </cell>
        </row>
        <row r="44">
          <cell r="A44" t="str">
            <v>CVP3412</v>
          </cell>
        </row>
        <row r="45">
          <cell r="A45" t="str">
            <v>CVP3413</v>
          </cell>
        </row>
        <row r="46">
          <cell r="A46" t="str">
            <v>CVP3414</v>
          </cell>
        </row>
        <row r="47">
          <cell r="A47" t="str">
            <v>CVP3415</v>
          </cell>
        </row>
        <row r="48">
          <cell r="A48" t="str">
            <v>CVP3417</v>
          </cell>
        </row>
        <row r="49">
          <cell r="A49" t="str">
            <v>CVP3418</v>
          </cell>
        </row>
        <row r="50">
          <cell r="A50" t="str">
            <v>CVP3419</v>
          </cell>
        </row>
        <row r="51">
          <cell r="A51" t="str">
            <v>CVP3420</v>
          </cell>
        </row>
        <row r="52">
          <cell r="A52" t="str">
            <v>CVP3421</v>
          </cell>
        </row>
        <row r="53">
          <cell r="A53" t="str">
            <v>CVP3423</v>
          </cell>
        </row>
        <row r="54">
          <cell r="A54" t="str">
            <v>CVP3424</v>
          </cell>
        </row>
        <row r="55">
          <cell r="A55" t="str">
            <v>CVP3425</v>
          </cell>
        </row>
        <row r="56">
          <cell r="A56" t="str">
            <v>CVP3785</v>
          </cell>
        </row>
        <row r="57">
          <cell r="A57" t="str">
            <v>CVP3793</v>
          </cell>
        </row>
        <row r="58">
          <cell r="A58" t="str">
            <v>CZZ6770</v>
          </cell>
        </row>
        <row r="59">
          <cell r="A59" t="str">
            <v>CZZ6772</v>
          </cell>
        </row>
        <row r="60">
          <cell r="A60" t="str">
            <v>CZZ6773</v>
          </cell>
        </row>
        <row r="61">
          <cell r="A61" t="str">
            <v>CZZ6774</v>
          </cell>
        </row>
        <row r="62">
          <cell r="A62" t="str">
            <v>CZZ6775</v>
          </cell>
        </row>
        <row r="63">
          <cell r="A63" t="str">
            <v>CZZ6776</v>
          </cell>
        </row>
        <row r="64">
          <cell r="A64" t="str">
            <v>CZZ6778</v>
          </cell>
        </row>
        <row r="65">
          <cell r="A65" t="str">
            <v>CZZ6779</v>
          </cell>
        </row>
        <row r="66">
          <cell r="A66" t="str">
            <v>CZZ6780</v>
          </cell>
        </row>
        <row r="67">
          <cell r="A67" t="str">
            <v>CZZ6781</v>
          </cell>
        </row>
        <row r="68">
          <cell r="A68" t="str">
            <v>CZZ6784</v>
          </cell>
        </row>
        <row r="69">
          <cell r="A69" t="str">
            <v>CZZ6785</v>
          </cell>
        </row>
        <row r="70">
          <cell r="A70" t="str">
            <v>CZZ6786</v>
          </cell>
        </row>
        <row r="71">
          <cell r="A71" t="str">
            <v>CZZ6790</v>
          </cell>
        </row>
        <row r="72">
          <cell r="A72" t="str">
            <v>CZZ6791</v>
          </cell>
        </row>
        <row r="73">
          <cell r="A73" t="str">
            <v>CZZ6792</v>
          </cell>
        </row>
        <row r="74">
          <cell r="A74" t="str">
            <v>CZZ6796</v>
          </cell>
        </row>
        <row r="75">
          <cell r="A75" t="str">
            <v>CZZ6797</v>
          </cell>
        </row>
        <row r="76">
          <cell r="A76" t="str">
            <v>CZZ6800</v>
          </cell>
        </row>
        <row r="77">
          <cell r="A77" t="str">
            <v>CZZ6929</v>
          </cell>
        </row>
        <row r="78">
          <cell r="A78" t="str">
            <v>DJB0892</v>
          </cell>
        </row>
        <row r="79">
          <cell r="A79" t="str">
            <v>DJB0895</v>
          </cell>
        </row>
        <row r="80">
          <cell r="A80" t="str">
            <v>DJB0896</v>
          </cell>
        </row>
        <row r="81">
          <cell r="A81" t="str">
            <v>DJB0897</v>
          </cell>
        </row>
        <row r="82">
          <cell r="A82" t="str">
            <v>DJB0901</v>
          </cell>
        </row>
        <row r="83">
          <cell r="A83" t="str">
            <v>DJB0902</v>
          </cell>
        </row>
        <row r="84">
          <cell r="A84" t="str">
            <v>DJB0903</v>
          </cell>
        </row>
        <row r="85">
          <cell r="A85" t="str">
            <v>DJB0907</v>
          </cell>
        </row>
        <row r="86">
          <cell r="A86" t="str">
            <v>DJB0908</v>
          </cell>
        </row>
        <row r="87">
          <cell r="A87" t="str">
            <v>DJB0911</v>
          </cell>
        </row>
        <row r="88">
          <cell r="A88" t="str">
            <v>DJB0913</v>
          </cell>
        </row>
        <row r="89">
          <cell r="A89" t="str">
            <v>DJB0914</v>
          </cell>
        </row>
        <row r="90">
          <cell r="A90" t="str">
            <v>DJB0916</v>
          </cell>
        </row>
        <row r="91">
          <cell r="A91" t="str">
            <v>DJB0919</v>
          </cell>
        </row>
        <row r="92">
          <cell r="A92" t="str">
            <v>DJB0920</v>
          </cell>
        </row>
        <row r="93">
          <cell r="A93" t="str">
            <v>DJB0921</v>
          </cell>
        </row>
        <row r="94">
          <cell r="A94" t="str">
            <v>DJB0960</v>
          </cell>
        </row>
        <row r="95">
          <cell r="A95" t="str">
            <v>DJB0965</v>
          </cell>
        </row>
        <row r="96">
          <cell r="A96" t="str">
            <v>DJB0966</v>
          </cell>
        </row>
        <row r="97">
          <cell r="A97" t="str">
            <v>DJB0971</v>
          </cell>
        </row>
        <row r="98">
          <cell r="A98" t="str">
            <v>DJB0972</v>
          </cell>
        </row>
        <row r="99">
          <cell r="A99" t="str">
            <v>DJB0977</v>
          </cell>
        </row>
        <row r="100">
          <cell r="A100" t="str">
            <v>DJB0978</v>
          </cell>
        </row>
        <row r="101">
          <cell r="A101" t="str">
            <v>DJB0983</v>
          </cell>
        </row>
        <row r="102">
          <cell r="A102" t="str">
            <v>DJB0984</v>
          </cell>
        </row>
        <row r="103">
          <cell r="A103" t="str">
            <v>DJB0989</v>
          </cell>
        </row>
        <row r="104">
          <cell r="A104" t="str">
            <v>DJB2159</v>
          </cell>
        </row>
        <row r="105">
          <cell r="A105" t="str">
            <v>DJB2479</v>
          </cell>
        </row>
        <row r="106">
          <cell r="A106" t="str">
            <v>DJB2529</v>
          </cell>
        </row>
        <row r="107">
          <cell r="A107" t="str">
            <v>DJB3734</v>
          </cell>
        </row>
        <row r="108">
          <cell r="A108" t="str">
            <v>DJB3735</v>
          </cell>
        </row>
        <row r="109">
          <cell r="A109" t="str">
            <v>DJB7904</v>
          </cell>
        </row>
        <row r="110">
          <cell r="A110" t="str">
            <v>DJB7909</v>
          </cell>
        </row>
        <row r="111">
          <cell r="A111" t="str">
            <v>DJB7924</v>
          </cell>
        </row>
        <row r="112">
          <cell r="A112" t="str">
            <v>DJB7936</v>
          </cell>
        </row>
        <row r="113">
          <cell r="A113" t="str">
            <v>DJB7937</v>
          </cell>
        </row>
        <row r="114">
          <cell r="A114" t="str">
            <v>DJB7941</v>
          </cell>
        </row>
        <row r="115">
          <cell r="A115" t="str">
            <v>DJB7942</v>
          </cell>
        </row>
        <row r="116">
          <cell r="A116" t="str">
            <v>DJB7946</v>
          </cell>
        </row>
        <row r="117">
          <cell r="A117" t="str">
            <v>DJB7948</v>
          </cell>
        </row>
        <row r="118">
          <cell r="A118" t="str">
            <v>DJB8042</v>
          </cell>
        </row>
        <row r="119">
          <cell r="A119" t="str">
            <v>DJB8043</v>
          </cell>
        </row>
        <row r="120">
          <cell r="A120" t="str">
            <v>DJF4351</v>
          </cell>
        </row>
        <row r="121">
          <cell r="A121" t="str">
            <v>DJF4352</v>
          </cell>
        </row>
        <row r="122">
          <cell r="A122" t="str">
            <v>DJF4353</v>
          </cell>
        </row>
        <row r="123">
          <cell r="A123" t="str">
            <v>DJF4354</v>
          </cell>
        </row>
        <row r="124">
          <cell r="A124" t="str">
            <v>DJF4355</v>
          </cell>
        </row>
        <row r="125">
          <cell r="A125" t="str">
            <v>DJF4356</v>
          </cell>
        </row>
        <row r="126">
          <cell r="A126" t="str">
            <v>DJF4357</v>
          </cell>
        </row>
        <row r="127">
          <cell r="A127" t="str">
            <v>DJF4358</v>
          </cell>
        </row>
        <row r="128">
          <cell r="A128" t="str">
            <v>DJF4359</v>
          </cell>
        </row>
        <row r="129">
          <cell r="A129" t="str">
            <v>DJF4360</v>
          </cell>
        </row>
        <row r="130">
          <cell r="A130" t="str">
            <v>DJF4361</v>
          </cell>
        </row>
        <row r="131">
          <cell r="A131" t="str">
            <v>DJF4362</v>
          </cell>
        </row>
        <row r="132">
          <cell r="A132" t="str">
            <v>DJF4363</v>
          </cell>
        </row>
        <row r="133">
          <cell r="A133" t="str">
            <v>DJF4364</v>
          </cell>
        </row>
        <row r="134">
          <cell r="A134" t="str">
            <v>DJF4365</v>
          </cell>
        </row>
        <row r="135">
          <cell r="A135" t="str">
            <v>DJF4366</v>
          </cell>
        </row>
        <row r="136">
          <cell r="A136" t="str">
            <v>DJF4367</v>
          </cell>
        </row>
        <row r="137">
          <cell r="A137" t="str">
            <v>DJF4368</v>
          </cell>
        </row>
        <row r="138">
          <cell r="A138" t="str">
            <v>DJF4369</v>
          </cell>
        </row>
        <row r="139">
          <cell r="A139" t="str">
            <v>DJF4370</v>
          </cell>
        </row>
        <row r="140">
          <cell r="A140" t="str">
            <v>DJF4371</v>
          </cell>
        </row>
        <row r="141">
          <cell r="A141" t="str">
            <v>DJF4372</v>
          </cell>
        </row>
        <row r="142">
          <cell r="A142" t="str">
            <v>DJF4373</v>
          </cell>
        </row>
        <row r="143">
          <cell r="A143" t="str">
            <v>DJF4374</v>
          </cell>
        </row>
        <row r="144">
          <cell r="A144" t="str">
            <v>DJF4375</v>
          </cell>
        </row>
        <row r="145">
          <cell r="A145" t="str">
            <v>DJF4376</v>
          </cell>
        </row>
        <row r="146">
          <cell r="A146" t="str">
            <v>DJF4377</v>
          </cell>
        </row>
        <row r="147">
          <cell r="A147" t="str">
            <v>DJF4378</v>
          </cell>
        </row>
        <row r="148">
          <cell r="A148" t="str">
            <v>DJF4379</v>
          </cell>
        </row>
        <row r="149">
          <cell r="A149" t="str">
            <v>DJF4380</v>
          </cell>
        </row>
        <row r="150">
          <cell r="A150" t="str">
            <v>DJF4381</v>
          </cell>
        </row>
        <row r="151">
          <cell r="A151" t="str">
            <v>DJF4382</v>
          </cell>
        </row>
        <row r="152">
          <cell r="A152" t="str">
            <v>DJF4383</v>
          </cell>
        </row>
        <row r="153">
          <cell r="A153" t="str">
            <v>DJF4384</v>
          </cell>
        </row>
        <row r="154">
          <cell r="A154" t="str">
            <v>DJF4385</v>
          </cell>
        </row>
        <row r="155">
          <cell r="A155" t="str">
            <v>DPF6042</v>
          </cell>
        </row>
        <row r="156">
          <cell r="A156" t="str">
            <v>DPF6072</v>
          </cell>
        </row>
        <row r="157">
          <cell r="A157" t="str">
            <v>DPF6073</v>
          </cell>
        </row>
        <row r="158">
          <cell r="A158" t="str">
            <v>DPF6074</v>
          </cell>
        </row>
        <row r="159">
          <cell r="A159" t="str">
            <v>DPF6075</v>
          </cell>
        </row>
        <row r="160">
          <cell r="A160" t="str">
            <v>DPF6078</v>
          </cell>
        </row>
        <row r="161">
          <cell r="A161" t="str">
            <v>DPF6079</v>
          </cell>
        </row>
        <row r="162">
          <cell r="A162" t="str">
            <v>DPF6081</v>
          </cell>
        </row>
        <row r="163">
          <cell r="A163" t="str">
            <v>DPF6084</v>
          </cell>
        </row>
        <row r="164">
          <cell r="A164" t="str">
            <v>DPF6085</v>
          </cell>
        </row>
        <row r="165">
          <cell r="A165" t="str">
            <v>DPF6092</v>
          </cell>
        </row>
        <row r="166">
          <cell r="A166" t="str">
            <v>DPF6096</v>
          </cell>
        </row>
        <row r="167">
          <cell r="A167" t="str">
            <v>DPF6102</v>
          </cell>
        </row>
        <row r="168">
          <cell r="A168" t="str">
            <v>DPF6103</v>
          </cell>
        </row>
        <row r="169">
          <cell r="A169" t="str">
            <v>DPF6104</v>
          </cell>
        </row>
        <row r="170">
          <cell r="A170" t="str">
            <v>DPF6105</v>
          </cell>
        </row>
        <row r="171">
          <cell r="A171" t="str">
            <v>DPF6108</v>
          </cell>
        </row>
        <row r="172">
          <cell r="A172" t="str">
            <v>DPF6109</v>
          </cell>
        </row>
        <row r="173">
          <cell r="A173" t="str">
            <v>DPF6168</v>
          </cell>
        </row>
        <row r="174">
          <cell r="A174" t="str">
            <v>DPF6174</v>
          </cell>
        </row>
        <row r="175">
          <cell r="A175" t="str">
            <v>DPF6310</v>
          </cell>
        </row>
        <row r="176">
          <cell r="A176" t="str">
            <v>DPF6316</v>
          </cell>
        </row>
        <row r="177">
          <cell r="A177" t="str">
            <v>DPF6354</v>
          </cell>
        </row>
        <row r="178">
          <cell r="A178" t="str">
            <v>DPF6360</v>
          </cell>
        </row>
        <row r="179">
          <cell r="A179" t="str">
            <v>DVT1387</v>
          </cell>
        </row>
        <row r="180">
          <cell r="A180" t="str">
            <v>DVT1390</v>
          </cell>
        </row>
        <row r="181">
          <cell r="A181" t="str">
            <v>DVT1394</v>
          </cell>
        </row>
        <row r="182">
          <cell r="A182" t="str">
            <v>DVT1396</v>
          </cell>
        </row>
        <row r="183">
          <cell r="A183" t="str">
            <v>DVT1402</v>
          </cell>
        </row>
        <row r="184">
          <cell r="A184" t="str">
            <v>DVT1413</v>
          </cell>
        </row>
        <row r="185">
          <cell r="A185" t="str">
            <v>DVT2085</v>
          </cell>
        </row>
        <row r="186">
          <cell r="A186" t="str">
            <v>DVT2086</v>
          </cell>
        </row>
        <row r="187">
          <cell r="A187" t="str">
            <v>DVT2091</v>
          </cell>
        </row>
        <row r="188">
          <cell r="A188" t="str">
            <v>DVT2092</v>
          </cell>
        </row>
        <row r="189">
          <cell r="A189" t="str">
            <v>DVT2097</v>
          </cell>
        </row>
        <row r="190">
          <cell r="A190" t="str">
            <v>DVT2103</v>
          </cell>
        </row>
        <row r="191">
          <cell r="A191" t="str">
            <v>DVT2104</v>
          </cell>
        </row>
        <row r="192">
          <cell r="A192" t="str">
            <v>DVT2109</v>
          </cell>
        </row>
        <row r="193">
          <cell r="A193" t="str">
            <v>DVT2133</v>
          </cell>
        </row>
        <row r="194">
          <cell r="A194" t="str">
            <v>DVT2134</v>
          </cell>
        </row>
        <row r="195">
          <cell r="A195" t="str">
            <v>EFO2198</v>
          </cell>
        </row>
        <row r="196">
          <cell r="A196" t="str">
            <v>EFO2274</v>
          </cell>
        </row>
        <row r="197">
          <cell r="A197" t="str">
            <v>EFO2341</v>
          </cell>
        </row>
        <row r="198">
          <cell r="A198" t="str">
            <v>EFO2367</v>
          </cell>
        </row>
        <row r="199">
          <cell r="A199" t="str">
            <v>EFO2435</v>
          </cell>
        </row>
        <row r="200">
          <cell r="A200" t="str">
            <v>EFO2436</v>
          </cell>
        </row>
        <row r="201">
          <cell r="A201" t="str">
            <v>EFO2446</v>
          </cell>
        </row>
        <row r="202">
          <cell r="A202" t="str">
            <v>FTT2050</v>
          </cell>
        </row>
        <row r="203">
          <cell r="A203" t="str">
            <v>FTT2051</v>
          </cell>
        </row>
        <row r="204">
          <cell r="A204" t="str">
            <v>FTT2052</v>
          </cell>
        </row>
        <row r="205">
          <cell r="A205" t="str">
            <v>FTT2053</v>
          </cell>
        </row>
        <row r="206">
          <cell r="A206" t="str">
            <v>FTT2054</v>
          </cell>
        </row>
        <row r="207">
          <cell r="A207" t="str">
            <v>FTT2055</v>
          </cell>
        </row>
        <row r="208">
          <cell r="A208" t="str">
            <v>FTT2056</v>
          </cell>
        </row>
        <row r="209">
          <cell r="A209" t="str">
            <v>FTT2057</v>
          </cell>
        </row>
        <row r="210">
          <cell r="A210" t="str">
            <v>FTT2058</v>
          </cell>
        </row>
        <row r="211">
          <cell r="A211" t="str">
            <v>FTT2059</v>
          </cell>
        </row>
        <row r="212">
          <cell r="A212" t="str">
            <v>FTT2060</v>
          </cell>
        </row>
        <row r="213">
          <cell r="A213" t="str">
            <v>FTT2061</v>
          </cell>
        </row>
        <row r="214">
          <cell r="A214" t="str">
            <v>FTT2062</v>
          </cell>
        </row>
        <row r="215">
          <cell r="A215" t="str">
            <v>FTT2063</v>
          </cell>
        </row>
        <row r="216">
          <cell r="A216" t="str">
            <v>FTT2064</v>
          </cell>
        </row>
        <row r="217">
          <cell r="A217" t="str">
            <v>FTT2065</v>
          </cell>
        </row>
        <row r="218">
          <cell r="A218" t="str">
            <v>FTT2066</v>
          </cell>
        </row>
        <row r="219">
          <cell r="A219" t="str">
            <v>FTT2067</v>
          </cell>
        </row>
        <row r="220">
          <cell r="A220" t="str">
            <v>FTT2068</v>
          </cell>
        </row>
        <row r="221">
          <cell r="A221" t="str">
            <v>FTT2069</v>
          </cell>
        </row>
        <row r="222">
          <cell r="A222" t="str">
            <v>FTT2070</v>
          </cell>
        </row>
        <row r="223">
          <cell r="A223" t="str">
            <v>FTT2071</v>
          </cell>
        </row>
        <row r="224">
          <cell r="A224" t="str">
            <v>FTT2072</v>
          </cell>
        </row>
        <row r="225">
          <cell r="A225" t="str">
            <v>FTT2073</v>
          </cell>
        </row>
        <row r="226">
          <cell r="A226" t="str">
            <v>FTT2074</v>
          </cell>
        </row>
        <row r="227">
          <cell r="A227" t="str">
            <v>FTT2075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Tutorial"/>
      <sheetName val="1.Viagens"/>
      <sheetName val="DB-Std Costs"/>
      <sheetName val="1.1 Viagens (outros destinos)"/>
      <sheetName val="2.Veiculos+telefonia"/>
      <sheetName val="3.Outros Serviços Contratados"/>
      <sheetName val="4. G &amp; A Costs "/>
      <sheetName val="5.CAPEX"/>
      <sheetName val="Base Centros de Custo"/>
    </sheetNames>
    <sheetDataSet>
      <sheetData sheetId="0">
        <row r="5">
          <cell r="K5" t="str">
            <v>Não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>
            <v>0</v>
          </cell>
        </row>
      </sheetData>
      <sheetData sheetId="8"/>
      <sheetData sheetId="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</sheetNames>
    <sheetDataSet>
      <sheetData sheetId="0">
        <row r="1">
          <cell r="B1" t="str">
            <v>CONTA</v>
          </cell>
          <cell r="H1" t="str">
            <v>CHAVE</v>
          </cell>
          <cell r="I1" t="str">
            <v>Valor Cred PIS/COFINS</v>
          </cell>
          <cell r="J1" t="str">
            <v>Cred PIS/COFINS</v>
          </cell>
        </row>
        <row r="2">
          <cell r="B2" t="str">
            <v>CONSERVACAO DE PREDIOS</v>
          </cell>
          <cell r="C2" t="str">
            <v>Sim</v>
          </cell>
          <cell r="H2" t="str">
            <v>SALARIOSOper</v>
          </cell>
          <cell r="I2">
            <v>1</v>
          </cell>
          <cell r="J2" t="str">
            <v>Não</v>
          </cell>
        </row>
        <row r="3">
          <cell r="B3" t="str">
            <v>LIMPEZA</v>
          </cell>
          <cell r="C3" t="str">
            <v>Sim</v>
          </cell>
          <cell r="H3" t="str">
            <v>HORAS EXTRASOper</v>
          </cell>
          <cell r="I3">
            <v>1</v>
          </cell>
          <cell r="J3" t="str">
            <v>Não</v>
          </cell>
        </row>
        <row r="4">
          <cell r="B4" t="str">
            <v>MATERIAL E HIGIENE/LIMPEZA</v>
          </cell>
          <cell r="C4" t="str">
            <v>Sim</v>
          </cell>
          <cell r="H4" t="str">
            <v>FERIAS E 13 SALARIOOper</v>
          </cell>
          <cell r="I4">
            <v>1</v>
          </cell>
          <cell r="J4" t="str">
            <v>Não</v>
          </cell>
        </row>
        <row r="5">
          <cell r="B5" t="str">
            <v>AGUA</v>
          </cell>
          <cell r="C5" t="str">
            <v>Sim</v>
          </cell>
          <cell r="H5" t="str">
            <v>INSS - FOLHA PAGTOOper</v>
          </cell>
          <cell r="I5">
            <v>1</v>
          </cell>
          <cell r="J5" t="str">
            <v>Não</v>
          </cell>
        </row>
        <row r="6">
          <cell r="B6" t="str">
            <v>ALUGUEIS DE EQUIPAMENTOS</v>
          </cell>
          <cell r="C6" t="str">
            <v>Sim</v>
          </cell>
          <cell r="H6" t="str">
            <v>FGTSOper</v>
          </cell>
          <cell r="I6">
            <v>1</v>
          </cell>
          <cell r="J6" t="str">
            <v>Não</v>
          </cell>
        </row>
        <row r="7">
          <cell r="B7" t="str">
            <v>SEGURANCA PREDIAL</v>
          </cell>
          <cell r="C7" t="str">
            <v>Sim</v>
          </cell>
          <cell r="H7" t="str">
            <v>INSS/EMPR TERCEIROS FOPAGOper</v>
          </cell>
          <cell r="I7">
            <v>1</v>
          </cell>
          <cell r="J7" t="str">
            <v>Não</v>
          </cell>
        </row>
        <row r="8">
          <cell r="B8" t="str">
            <v>GERENCIAMENTO DE RISCO</v>
          </cell>
          <cell r="C8" t="str">
            <v>Sim</v>
          </cell>
          <cell r="H8" t="str">
            <v>ASSIST. MEDICA/ODONTOL./FARMACIAOper</v>
          </cell>
          <cell r="I8">
            <v>1</v>
          </cell>
          <cell r="J8" t="str">
            <v>Não</v>
          </cell>
        </row>
        <row r="9">
          <cell r="B9" t="str">
            <v>SERV. MONIT. AUTOTRAC</v>
          </cell>
          <cell r="C9" t="str">
            <v>Sim</v>
          </cell>
          <cell r="H9" t="str">
            <v>AVISO PREVIOOper</v>
          </cell>
          <cell r="I9">
            <v>1</v>
          </cell>
          <cell r="J9" t="str">
            <v>Não</v>
          </cell>
        </row>
        <row r="10">
          <cell r="B10" t="str">
            <v>ASSESSORIA JURIDICA</v>
          </cell>
          <cell r="C10" t="str">
            <v>Sim</v>
          </cell>
          <cell r="H10" t="str">
            <v>ESTAGIOS TEMPORARIOSOper</v>
          </cell>
          <cell r="I10">
            <v>1</v>
          </cell>
          <cell r="J10" t="str">
            <v>Não</v>
          </cell>
        </row>
        <row r="11">
          <cell r="B11" t="str">
            <v>ASSESSORIA RH</v>
          </cell>
          <cell r="C11" t="str">
            <v>Sim</v>
          </cell>
          <cell r="H11" t="str">
            <v>TREINAMENTOOper</v>
          </cell>
          <cell r="I11">
            <v>1</v>
          </cell>
          <cell r="J11" t="str">
            <v>Não</v>
          </cell>
        </row>
        <row r="12">
          <cell r="B12" t="str">
            <v>CERTIFICACAO/QUALIDADE</v>
          </cell>
          <cell r="C12" t="str">
            <v>Sim</v>
          </cell>
          <cell r="H12" t="str">
            <v>PRO-LABOREOper</v>
          </cell>
          <cell r="I12">
            <v>1</v>
          </cell>
          <cell r="J12" t="str">
            <v>Não</v>
          </cell>
        </row>
        <row r="13">
          <cell r="B13" t="str">
            <v>PUBLICIDADE E PROPAGANDA</v>
          </cell>
          <cell r="C13" t="str">
            <v>Sim</v>
          </cell>
          <cell r="H13" t="str">
            <v>MEDICINA SEGURANCA NO TRABALHOOper</v>
          </cell>
          <cell r="I13">
            <v>1</v>
          </cell>
          <cell r="J13" t="str">
            <v>Não</v>
          </cell>
        </row>
        <row r="14">
          <cell r="B14" t="str">
            <v>AUDITORIA/CONSULTORIA</v>
          </cell>
          <cell r="C14" t="str">
            <v>Sim</v>
          </cell>
          <cell r="H14" t="str">
            <v>VALE TRANSPORTEOper</v>
          </cell>
          <cell r="I14">
            <v>1</v>
          </cell>
          <cell r="J14" t="str">
            <v>Não</v>
          </cell>
        </row>
        <row r="15">
          <cell r="B15" t="str">
            <v>ASSESSORIA CONTABIL</v>
          </cell>
          <cell r="C15" t="str">
            <v>Sim</v>
          </cell>
          <cell r="H15" t="str">
            <v>CESTA BASICAOper</v>
          </cell>
          <cell r="I15">
            <v>1</v>
          </cell>
          <cell r="J15" t="str">
            <v>Não</v>
          </cell>
        </row>
        <row r="16">
          <cell r="B16" t="str">
            <v>ASSESSORIA ADMINISTRATIVA</v>
          </cell>
          <cell r="C16" t="str">
            <v>Sim</v>
          </cell>
          <cell r="H16" t="str">
            <v>OUTROS CUSTOS C/ PESSOALOper</v>
          </cell>
          <cell r="I16">
            <v>1</v>
          </cell>
          <cell r="J16" t="str">
            <v>Não</v>
          </cell>
        </row>
        <row r="17">
          <cell r="B17" t="str">
            <v>ASSESSORIA GUARDA DE DOCUMENTOS</v>
          </cell>
          <cell r="C17" t="str">
            <v>Sim</v>
          </cell>
          <cell r="H17" t="str">
            <v>EQUIPAMENTOS DE PROTECAOOper</v>
          </cell>
          <cell r="I17">
            <v>0.90749999999999997</v>
          </cell>
          <cell r="J17" t="str">
            <v>Sim</v>
          </cell>
        </row>
        <row r="18">
          <cell r="B18" t="str">
            <v>HONORARIOS PROF. PJ</v>
          </cell>
          <cell r="C18" t="str">
            <v>Sim</v>
          </cell>
          <cell r="H18" t="str">
            <v>UNIFORMESOper</v>
          </cell>
          <cell r="I18">
            <v>1</v>
          </cell>
          <cell r="J18" t="str">
            <v>Não</v>
          </cell>
        </row>
        <row r="19">
          <cell r="B19" t="str">
            <v>ASSESSORIA E SERVICO INFORMATICA</v>
          </cell>
          <cell r="C19" t="str">
            <v>Sim</v>
          </cell>
          <cell r="H19" t="str">
            <v>ASSESSORIA OPERACIONALOper</v>
          </cell>
          <cell r="I19">
            <v>1</v>
          </cell>
          <cell r="J19" t="str">
            <v>Não</v>
          </cell>
        </row>
        <row r="20">
          <cell r="B20" t="str">
            <v>MANUT. EQUP. INFORMATICA</v>
          </cell>
          <cell r="C20" t="str">
            <v>Sim</v>
          </cell>
          <cell r="H20" t="str">
            <v>CARGA E DESCARGA/MOVIMENTOper</v>
          </cell>
          <cell r="I20">
            <v>0.90749999999999997</v>
          </cell>
          <cell r="J20" t="str">
            <v>Sim</v>
          </cell>
        </row>
        <row r="21">
          <cell r="B21" t="str">
            <v>MANUTEN. SISTEMAS  INFORMATICA</v>
          </cell>
          <cell r="C21" t="str">
            <v>Sim</v>
          </cell>
          <cell r="H21" t="str">
            <v>FRETES PESSOA JURIDICAOper</v>
          </cell>
          <cell r="I21">
            <v>0.90749999999999997</v>
          </cell>
          <cell r="J21" t="str">
            <v>Sim</v>
          </cell>
        </row>
        <row r="22">
          <cell r="B22" t="str">
            <v>MATERIAL PROCES. DADOS</v>
          </cell>
          <cell r="C22" t="str">
            <v>Sim</v>
          </cell>
          <cell r="H22" t="str">
            <v>FRETES AEREOOper</v>
          </cell>
          <cell r="I22">
            <v>0.90749999999999997</v>
          </cell>
          <cell r="J22" t="str">
            <v>Sim</v>
          </cell>
        </row>
        <row r="23">
          <cell r="B23" t="str">
            <v>TELEFONES</v>
          </cell>
          <cell r="C23" t="str">
            <v>Sim</v>
          </cell>
          <cell r="H23" t="str">
            <v>FRETES REDESPACHOOper</v>
          </cell>
          <cell r="I23">
            <v>0.90749999999999997</v>
          </cell>
          <cell r="J23" t="str">
            <v>Sim</v>
          </cell>
        </row>
        <row r="24">
          <cell r="B24" t="str">
            <v>INTERNET/COMUNICACOES</v>
          </cell>
          <cell r="C24" t="str">
            <v>Sim</v>
          </cell>
          <cell r="H24" t="str">
            <v>FRETES TRANSFERENCIAOper</v>
          </cell>
          <cell r="I24">
            <v>0.93059999999999998</v>
          </cell>
          <cell r="J24" t="str">
            <v>Sim</v>
          </cell>
        </row>
        <row r="25">
          <cell r="B25" t="str">
            <v>IMPOSTOS/ TAXAS ESTADUAIS</v>
          </cell>
          <cell r="C25" t="str">
            <v>Sim</v>
          </cell>
          <cell r="H25" t="str">
            <v>FRETES COLETAOper</v>
          </cell>
          <cell r="I25">
            <v>0.93059999999999998</v>
          </cell>
          <cell r="J25" t="str">
            <v>Sim</v>
          </cell>
        </row>
        <row r="26">
          <cell r="B26" t="str">
            <v>IMPOSTOS/TAXAS FEDERAIS</v>
          </cell>
          <cell r="C26" t="str">
            <v>Sim</v>
          </cell>
          <cell r="H26" t="str">
            <v>FRETES DISTRIBUICAOOper</v>
          </cell>
          <cell r="I26">
            <v>0.93059999999999998</v>
          </cell>
          <cell r="J26" t="str">
            <v>Sim</v>
          </cell>
        </row>
        <row r="27">
          <cell r="B27" t="str">
            <v>IMPOSTOS/TAXAS MUNICIPAIS</v>
          </cell>
          <cell r="C27" t="str">
            <v>Sim</v>
          </cell>
          <cell r="H27" t="str">
            <v>FRETES REPRESENTANTES AEREOOper</v>
          </cell>
          <cell r="I27">
            <v>0.90749999999999997</v>
          </cell>
          <cell r="J27" t="str">
            <v>Sim</v>
          </cell>
        </row>
        <row r="28">
          <cell r="B28" t="str">
            <v>TAXAS/CUSTAS/CARTORIO</v>
          </cell>
          <cell r="C28" t="str">
            <v>Sim</v>
          </cell>
          <cell r="H28" t="str">
            <v>FRETES REPRESENTANTES RODOOper</v>
          </cell>
          <cell r="I28">
            <v>0.90749999999999997</v>
          </cell>
          <cell r="J28" t="str">
            <v>Sim</v>
          </cell>
        </row>
        <row r="29">
          <cell r="B29" t="str">
            <v>DESPESAS DIVERSAS</v>
          </cell>
          <cell r="C29" t="str">
            <v>Sim</v>
          </cell>
          <cell r="H29" t="str">
            <v>COMBUSTIVEISOper</v>
          </cell>
          <cell r="I29">
            <v>0.90749999999999997</v>
          </cell>
          <cell r="J29" t="str">
            <v>Sim</v>
          </cell>
        </row>
        <row r="30">
          <cell r="B30" t="str">
            <v>ASSOS. SINDICATOS DE CLASSE</v>
          </cell>
          <cell r="C30" t="str">
            <v>Sim</v>
          </cell>
          <cell r="H30" t="str">
            <v>PEDAGIOSOper</v>
          </cell>
          <cell r="I30">
            <v>1</v>
          </cell>
          <cell r="J30" t="str">
            <v>Não</v>
          </cell>
        </row>
        <row r="31">
          <cell r="B31" t="str">
            <v>CONDUCAO E TRANSPORTE</v>
          </cell>
          <cell r="C31" t="str">
            <v>Sim</v>
          </cell>
          <cell r="H31" t="str">
            <v>VIAGENS/TRANSP - 255POper</v>
          </cell>
          <cell r="I31">
            <v>1</v>
          </cell>
          <cell r="J31" t="str">
            <v>Não</v>
          </cell>
        </row>
        <row r="32">
          <cell r="B32" t="str">
            <v>BRINDES E DOACOES/INDEDUTIVEL</v>
          </cell>
          <cell r="C32" t="str">
            <v>Sim</v>
          </cell>
          <cell r="H32" t="str">
            <v>ESTADIA - TRANSP -269FOper</v>
          </cell>
          <cell r="I32">
            <v>1</v>
          </cell>
          <cell r="J32" t="str">
            <v>Não</v>
          </cell>
        </row>
        <row r="33">
          <cell r="B33" t="str">
            <v>COPA E REFEICOES/ESTADIAS</v>
          </cell>
          <cell r="C33" t="str">
            <v>Sim</v>
          </cell>
          <cell r="H33" t="str">
            <v>TRANS PREMIOS - 271Oper</v>
          </cell>
          <cell r="I33">
            <v>1</v>
          </cell>
          <cell r="J33" t="str">
            <v>Não</v>
          </cell>
        </row>
        <row r="34">
          <cell r="B34" t="str">
            <v>FEIRAS EVENTOS E CONFRATERNIZACOES</v>
          </cell>
          <cell r="C34" t="str">
            <v>Sim</v>
          </cell>
          <cell r="H34" t="str">
            <v>DESCARGASOper</v>
          </cell>
          <cell r="I34">
            <v>1</v>
          </cell>
          <cell r="J34" t="str">
            <v>Não</v>
          </cell>
        </row>
        <row r="35">
          <cell r="B35" t="str">
            <v>MATERIAL DE EXPEDIENTE</v>
          </cell>
          <cell r="C35" t="str">
            <v>Sim</v>
          </cell>
          <cell r="H35" t="str">
            <v>REPAROS/CONSERV. DE VEICULOSOper</v>
          </cell>
          <cell r="I35">
            <v>0.90749999999999997</v>
          </cell>
          <cell r="J35" t="str">
            <v>Sim</v>
          </cell>
        </row>
        <row r="36">
          <cell r="B36" t="str">
            <v>PORTES/SELOS E TELEGRAMAS CORREIOS</v>
          </cell>
          <cell r="C36" t="str">
            <v>Sim</v>
          </cell>
          <cell r="H36" t="str">
            <v>PECAS P/VEICULOS E EQUIP.Oper</v>
          </cell>
          <cell r="I36">
            <v>0.90749999999999997</v>
          </cell>
          <cell r="J36" t="str">
            <v>Sim</v>
          </cell>
        </row>
        <row r="37">
          <cell r="B37" t="str">
            <v>BENS DE PEQUENO VALOR</v>
          </cell>
          <cell r="C37" t="str">
            <v>Sim</v>
          </cell>
          <cell r="H37" t="str">
            <v>CONSERTO DE PNEUS E CAMARASOper</v>
          </cell>
          <cell r="I37">
            <v>0.90749999999999997</v>
          </cell>
          <cell r="J37" t="str">
            <v>Sim</v>
          </cell>
        </row>
        <row r="38">
          <cell r="B38" t="str">
            <v>ASSINAT. JORNAIS E REVISTAS</v>
          </cell>
          <cell r="C38" t="str">
            <v>Sim</v>
          </cell>
          <cell r="H38" t="str">
            <v>RECAPAGEMOper</v>
          </cell>
          <cell r="I38">
            <v>0.90749999999999997</v>
          </cell>
          <cell r="J38" t="str">
            <v>Sim</v>
          </cell>
        </row>
        <row r="39">
          <cell r="B39" t="str">
            <v>VIAGENS</v>
          </cell>
          <cell r="C39" t="str">
            <v>Sim</v>
          </cell>
          <cell r="H39" t="str">
            <v>ACESSORIOS P/VEICULOS E EQUIP.Oper</v>
          </cell>
          <cell r="I39">
            <v>0.90749999999999997</v>
          </cell>
          <cell r="J39" t="str">
            <v>Sim</v>
          </cell>
        </row>
        <row r="40">
          <cell r="B40" t="str">
            <v>IMPRESSOS GRAFICOS/LOGOTIPOS</v>
          </cell>
          <cell r="C40" t="str">
            <v>Sim</v>
          </cell>
          <cell r="H40" t="str">
            <v>CONSERV/MANUTEN. TACOGRAFOSOper</v>
          </cell>
          <cell r="I40">
            <v>0.90749999999999997</v>
          </cell>
          <cell r="J40" t="str">
            <v>Sim</v>
          </cell>
        </row>
        <row r="41">
          <cell r="H41" t="str">
            <v>PNEUS E CAMARASOper</v>
          </cell>
          <cell r="I41">
            <v>0.90749999999999997</v>
          </cell>
          <cell r="J41" t="str">
            <v>Sim</v>
          </cell>
        </row>
        <row r="42">
          <cell r="H42" t="str">
            <v>LAVAGEM DE VEICULOSOper</v>
          </cell>
          <cell r="I42">
            <v>0.90749999999999997</v>
          </cell>
          <cell r="J42" t="str">
            <v>Sim</v>
          </cell>
        </row>
        <row r="43">
          <cell r="H43" t="str">
            <v>LUBRIFICANTESOper</v>
          </cell>
          <cell r="I43">
            <v>0.90749999999999997</v>
          </cell>
          <cell r="J43" t="str">
            <v>Sim</v>
          </cell>
        </row>
        <row r="44">
          <cell r="H44" t="str">
            <v>ALUGUEIS DE VEICULOSOper</v>
          </cell>
          <cell r="I44">
            <v>0.90749999999999997</v>
          </cell>
          <cell r="J44" t="str">
            <v>Sim</v>
          </cell>
        </row>
        <row r="45">
          <cell r="H45" t="str">
            <v>IPVA/LICENCIAMENTOOper</v>
          </cell>
          <cell r="I45">
            <v>1</v>
          </cell>
          <cell r="J45" t="str">
            <v>Não</v>
          </cell>
        </row>
        <row r="46">
          <cell r="H46" t="str">
            <v>MULTAS E INFRACOES TRANSITOOper</v>
          </cell>
          <cell r="I46">
            <v>1</v>
          </cell>
          <cell r="J46" t="str">
            <v>Não</v>
          </cell>
        </row>
        <row r="47">
          <cell r="H47" t="str">
            <v>SEGURO DE CARGAS  - RCTR-COper</v>
          </cell>
          <cell r="I47">
            <v>0.90749999999999997</v>
          </cell>
          <cell r="J47" t="str">
            <v>Sim</v>
          </cell>
        </row>
        <row r="48">
          <cell r="H48" t="str">
            <v>SEGURO DE CARGAS - RCF-DCOper</v>
          </cell>
          <cell r="I48">
            <v>0.90749999999999997</v>
          </cell>
          <cell r="J48" t="str">
            <v>Sim</v>
          </cell>
        </row>
        <row r="49">
          <cell r="H49" t="str">
            <v>SEGURO RCTAOper</v>
          </cell>
          <cell r="I49">
            <v>0.90749999999999997</v>
          </cell>
          <cell r="J49" t="str">
            <v>Sim</v>
          </cell>
        </row>
        <row r="50">
          <cell r="H50" t="str">
            <v>SERV. MONIT. AUTOTRACOper</v>
          </cell>
          <cell r="I50">
            <v>0.90749999999999997</v>
          </cell>
          <cell r="J50" t="str">
            <v>Sim</v>
          </cell>
        </row>
        <row r="51">
          <cell r="H51" t="str">
            <v>SEGURANCA/ESCOLTAOper</v>
          </cell>
          <cell r="I51">
            <v>0.90749999999999997</v>
          </cell>
          <cell r="J51" t="str">
            <v>Sim</v>
          </cell>
        </row>
        <row r="52">
          <cell r="H52" t="str">
            <v>SEGURO - PREMIOSOper</v>
          </cell>
          <cell r="I52">
            <v>0.90749999999999997</v>
          </cell>
          <cell r="J52" t="str">
            <v>Sim</v>
          </cell>
        </row>
        <row r="53">
          <cell r="H53" t="str">
            <v>GERENCIAMENTO DE RISCOOper</v>
          </cell>
          <cell r="I53">
            <v>0.90749999999999997</v>
          </cell>
          <cell r="J53" t="str">
            <v>Sim</v>
          </cell>
        </row>
        <row r="54">
          <cell r="H54" t="str">
            <v>(-) Terceiros Polo SCOper</v>
          </cell>
          <cell r="I54">
            <v>1</v>
          </cell>
          <cell r="J54" t="str">
            <v>Não</v>
          </cell>
        </row>
        <row r="55">
          <cell r="H55" t="str">
            <v>(-) Mat. EmbalagemOper</v>
          </cell>
          <cell r="I55">
            <v>0.90749999999999997</v>
          </cell>
          <cell r="J55" t="str">
            <v>Sim</v>
          </cell>
        </row>
        <row r="56">
          <cell r="H56" t="str">
            <v>(-) Indenizações de MercadoriasOper</v>
          </cell>
          <cell r="I56">
            <v>0.90749999999999997</v>
          </cell>
          <cell r="J56" t="str">
            <v>Sim</v>
          </cell>
        </row>
        <row r="57">
          <cell r="H57" t="str">
            <v>ALUGUEIS DE IMOVEISOper</v>
          </cell>
          <cell r="I57">
            <v>0.90749999999999997</v>
          </cell>
          <cell r="J57" t="str">
            <v>Sim</v>
          </cell>
        </row>
        <row r="58">
          <cell r="H58" t="str">
            <v>CONSERVACAO DE PREDIOSOper</v>
          </cell>
          <cell r="I58">
            <v>0.90749999999999997</v>
          </cell>
          <cell r="J58" t="str">
            <v>Sim</v>
          </cell>
        </row>
        <row r="59">
          <cell r="H59" t="str">
            <v>ENERGIA ELETRICAOper</v>
          </cell>
          <cell r="I59">
            <v>0.90749999999999997</v>
          </cell>
          <cell r="J59" t="str">
            <v>Sim</v>
          </cell>
        </row>
        <row r="60">
          <cell r="H60" t="str">
            <v>COMBUSTIVEIS GERADOROper</v>
          </cell>
          <cell r="I60">
            <v>0.90749999999999997</v>
          </cell>
          <cell r="J60" t="str">
            <v>Sim</v>
          </cell>
        </row>
        <row r="61">
          <cell r="H61" t="str">
            <v>LIMPEZAOper</v>
          </cell>
          <cell r="I61">
            <v>0.90749999999999997</v>
          </cell>
          <cell r="J61" t="str">
            <v>Sim</v>
          </cell>
        </row>
        <row r="62">
          <cell r="H62" t="str">
            <v>MATERIAL E HIGIENE/LIMPEZAOper</v>
          </cell>
          <cell r="I62">
            <v>0.90749999999999997</v>
          </cell>
          <cell r="J62" t="str">
            <v>Sim</v>
          </cell>
        </row>
        <row r="63">
          <cell r="H63" t="str">
            <v>AGUAOper</v>
          </cell>
          <cell r="I63">
            <v>1</v>
          </cell>
          <cell r="J63" t="str">
            <v>Não</v>
          </cell>
        </row>
        <row r="64">
          <cell r="H64" t="str">
            <v>ALUGUEIS DE EQUIPAMENTOSOper</v>
          </cell>
          <cell r="I64">
            <v>0.90749999999999997</v>
          </cell>
          <cell r="J64" t="str">
            <v>Sim</v>
          </cell>
        </row>
        <row r="65">
          <cell r="H65" t="str">
            <v>SEGURO DE PREDIOSOper</v>
          </cell>
          <cell r="I65">
            <v>0.90749999999999997</v>
          </cell>
          <cell r="J65" t="str">
            <v>Sim</v>
          </cell>
        </row>
        <row r="66">
          <cell r="H66" t="str">
            <v>SEGURANCA PREDIALOper</v>
          </cell>
          <cell r="I66">
            <v>0.90749999999999997</v>
          </cell>
          <cell r="J66" t="str">
            <v>Sim</v>
          </cell>
        </row>
        <row r="67">
          <cell r="H67" t="str">
            <v>IPTUOper</v>
          </cell>
          <cell r="I67">
            <v>1</v>
          </cell>
          <cell r="J67" t="str">
            <v>Não</v>
          </cell>
        </row>
        <row r="68">
          <cell r="H68" t="str">
            <v>ASSESSORIA JURIDICAOper</v>
          </cell>
          <cell r="I68">
            <v>1</v>
          </cell>
          <cell r="J68" t="str">
            <v>Não</v>
          </cell>
        </row>
        <row r="69">
          <cell r="H69" t="str">
            <v>ASSESSORIA RHOper</v>
          </cell>
          <cell r="I69">
            <v>1</v>
          </cell>
          <cell r="J69" t="str">
            <v>Não</v>
          </cell>
        </row>
        <row r="70">
          <cell r="H70" t="str">
            <v>CERTIFICACAO/QUALIDADEOper</v>
          </cell>
          <cell r="I70">
            <v>1</v>
          </cell>
          <cell r="J70" t="str">
            <v>Não</v>
          </cell>
        </row>
        <row r="71">
          <cell r="H71" t="str">
            <v>PUBLICIDADE E PROPAGANDAOper</v>
          </cell>
          <cell r="I71">
            <v>1</v>
          </cell>
          <cell r="J71" t="str">
            <v>Não</v>
          </cell>
        </row>
        <row r="72">
          <cell r="H72" t="str">
            <v>AUDITORIA/CONSULTORIAOper</v>
          </cell>
          <cell r="I72">
            <v>1</v>
          </cell>
          <cell r="J72" t="str">
            <v>Não</v>
          </cell>
        </row>
        <row r="73">
          <cell r="H73" t="str">
            <v>ASSESSORIA CONTABILOper</v>
          </cell>
          <cell r="I73">
            <v>1</v>
          </cell>
          <cell r="J73" t="str">
            <v>Não</v>
          </cell>
        </row>
        <row r="74">
          <cell r="H74" t="str">
            <v>ASSESSORIA ADMINISTRATIVAOper</v>
          </cell>
          <cell r="I74">
            <v>1</v>
          </cell>
          <cell r="J74" t="str">
            <v>Não</v>
          </cell>
        </row>
        <row r="75">
          <cell r="H75" t="str">
            <v>ASSESSORIA GUARDA DE DOCUMENTOSOper</v>
          </cell>
          <cell r="I75">
            <v>1</v>
          </cell>
          <cell r="J75" t="str">
            <v>Não</v>
          </cell>
        </row>
        <row r="76">
          <cell r="H76" t="str">
            <v>HONORARIOS PROF. PJOper</v>
          </cell>
          <cell r="I76">
            <v>1</v>
          </cell>
          <cell r="J76" t="str">
            <v>Não</v>
          </cell>
        </row>
        <row r="77">
          <cell r="H77" t="str">
            <v>HONORARIOS PROF. PFOper</v>
          </cell>
          <cell r="I77">
            <v>1</v>
          </cell>
          <cell r="J77" t="str">
            <v>Não</v>
          </cell>
        </row>
        <row r="78">
          <cell r="H78" t="str">
            <v>ASSESSORIA E SERVICO INFORMATICAOper</v>
          </cell>
          <cell r="I78">
            <v>0.90749999999999997</v>
          </cell>
          <cell r="J78" t="str">
            <v>Sim</v>
          </cell>
        </row>
        <row r="79">
          <cell r="H79" t="str">
            <v>MANUT. EQUP. INFORMATICAOper</v>
          </cell>
          <cell r="I79">
            <v>0.90749999999999997</v>
          </cell>
          <cell r="J79" t="str">
            <v>Sim</v>
          </cell>
        </row>
        <row r="80">
          <cell r="H80" t="str">
            <v>MANUTEN. SISTEMAS  INFORMATICAOper</v>
          </cell>
          <cell r="I80">
            <v>0.90749999999999997</v>
          </cell>
          <cell r="J80" t="str">
            <v>Sim</v>
          </cell>
        </row>
        <row r="81">
          <cell r="H81" t="str">
            <v>MATERIAL PROCES. DADOSOper</v>
          </cell>
          <cell r="I81">
            <v>0.90749999999999997</v>
          </cell>
          <cell r="J81" t="str">
            <v>Sim</v>
          </cell>
        </row>
        <row r="82">
          <cell r="H82" t="str">
            <v>TELEFONESOper</v>
          </cell>
          <cell r="I82">
            <v>1</v>
          </cell>
          <cell r="J82" t="str">
            <v>Não</v>
          </cell>
        </row>
        <row r="83">
          <cell r="H83" t="str">
            <v>INTERNET/COMUNICACOESOper</v>
          </cell>
          <cell r="I83">
            <v>1</v>
          </cell>
          <cell r="J83" t="str">
            <v>Não</v>
          </cell>
        </row>
        <row r="84">
          <cell r="H84" t="str">
            <v>IMPOSTOS/ TAXAS ESTADUAISOper</v>
          </cell>
          <cell r="I84">
            <v>1</v>
          </cell>
          <cell r="J84" t="str">
            <v>Não</v>
          </cell>
        </row>
        <row r="85">
          <cell r="H85" t="str">
            <v>IMPOSTOS/TAXAS FEDERAISOper</v>
          </cell>
          <cell r="I85">
            <v>1</v>
          </cell>
          <cell r="J85" t="str">
            <v>Não</v>
          </cell>
        </row>
        <row r="86">
          <cell r="H86" t="str">
            <v>IMPOSTOS/TAXAS MUNICIPAISOper</v>
          </cell>
          <cell r="I86">
            <v>1</v>
          </cell>
          <cell r="J86" t="str">
            <v>Não</v>
          </cell>
        </row>
        <row r="87">
          <cell r="H87" t="str">
            <v>MULTAS DIVERSASOper</v>
          </cell>
          <cell r="I87">
            <v>1</v>
          </cell>
          <cell r="J87" t="str">
            <v>Não</v>
          </cell>
        </row>
        <row r="88">
          <cell r="H88" t="str">
            <v>TAXAS/CUSTAS/CARTORIOOper</v>
          </cell>
          <cell r="I88">
            <v>1</v>
          </cell>
          <cell r="J88" t="str">
            <v>Não</v>
          </cell>
        </row>
        <row r="89">
          <cell r="H89" t="str">
            <v>DESPESAS DIVERSASOper</v>
          </cell>
          <cell r="I89">
            <v>1</v>
          </cell>
          <cell r="J89" t="str">
            <v>Não</v>
          </cell>
        </row>
        <row r="90">
          <cell r="H90" t="str">
            <v>ASSOS. SINDICATOS DE CLASSEOper</v>
          </cell>
          <cell r="I90">
            <v>1</v>
          </cell>
          <cell r="J90" t="str">
            <v>Não</v>
          </cell>
        </row>
        <row r="91">
          <cell r="H91" t="str">
            <v>CONDUCAO E TRANSPORTEOper</v>
          </cell>
          <cell r="I91">
            <v>1</v>
          </cell>
          <cell r="J91" t="str">
            <v>Não</v>
          </cell>
        </row>
        <row r="92">
          <cell r="H92" t="str">
            <v>VIAGENSOper</v>
          </cell>
          <cell r="I92">
            <v>1</v>
          </cell>
          <cell r="J92" t="str">
            <v>Não</v>
          </cell>
        </row>
        <row r="93">
          <cell r="H93" t="str">
            <v>ESTACIONAMENTOSOper</v>
          </cell>
          <cell r="I93">
            <v>1</v>
          </cell>
          <cell r="J93" t="str">
            <v>Não</v>
          </cell>
        </row>
        <row r="94">
          <cell r="H94" t="str">
            <v>BRINDES E DOACOES/INDEDUTIVELOper</v>
          </cell>
          <cell r="I94">
            <v>1</v>
          </cell>
          <cell r="J94" t="str">
            <v>Não</v>
          </cell>
        </row>
        <row r="95">
          <cell r="H95" t="str">
            <v>ANUNCIOS E PUBLICACOES LEGAISOper</v>
          </cell>
          <cell r="I95">
            <v>1</v>
          </cell>
          <cell r="J95" t="str">
            <v>Não</v>
          </cell>
        </row>
        <row r="96">
          <cell r="H96" t="str">
            <v>COPA E REFEICOES/ESTADIASOper</v>
          </cell>
          <cell r="I96">
            <v>1</v>
          </cell>
          <cell r="J96" t="str">
            <v>Não</v>
          </cell>
        </row>
        <row r="97">
          <cell r="H97" t="str">
            <v>GAS GLP - REFEITORIOOper</v>
          </cell>
          <cell r="I97">
            <v>1</v>
          </cell>
          <cell r="J97" t="str">
            <v>Não</v>
          </cell>
        </row>
        <row r="98">
          <cell r="H98" t="str">
            <v>FEIRAS EVENTOS E CONFRATERNIZACOESOper</v>
          </cell>
          <cell r="I98">
            <v>1</v>
          </cell>
          <cell r="J98" t="str">
            <v>Não</v>
          </cell>
        </row>
        <row r="99">
          <cell r="H99" t="str">
            <v>MATERIAL DE EXPEDIENTEOper</v>
          </cell>
          <cell r="I99">
            <v>1</v>
          </cell>
          <cell r="J99" t="str">
            <v>Não</v>
          </cell>
        </row>
        <row r="100">
          <cell r="H100" t="str">
            <v>PORTES/SELOS E TELEGRAMAS CORREIOSOper</v>
          </cell>
          <cell r="I100">
            <v>1</v>
          </cell>
          <cell r="J100" t="str">
            <v>Não</v>
          </cell>
        </row>
        <row r="101">
          <cell r="H101" t="str">
            <v>BENS DE PEQUENO VALOROper</v>
          </cell>
          <cell r="I101">
            <v>1</v>
          </cell>
          <cell r="J101" t="str">
            <v>Não</v>
          </cell>
        </row>
        <row r="102">
          <cell r="H102" t="str">
            <v>ASSINAT. JORNAIS E REVISTASOper</v>
          </cell>
          <cell r="I102">
            <v>1</v>
          </cell>
          <cell r="J102" t="str">
            <v>Não</v>
          </cell>
        </row>
        <row r="103">
          <cell r="H103" t="str">
            <v>COPIAS E ENCADERNACOESOper</v>
          </cell>
          <cell r="I103">
            <v>1</v>
          </cell>
          <cell r="J103" t="str">
            <v>Não</v>
          </cell>
        </row>
        <row r="104">
          <cell r="H104" t="str">
            <v>IMPRESSOS GRAFICOS/LOGOTIPOSOper</v>
          </cell>
          <cell r="I104">
            <v>1</v>
          </cell>
          <cell r="J104" t="str">
            <v>Não</v>
          </cell>
        </row>
        <row r="105">
          <cell r="H105" t="str">
            <v>MANUTENCAO EQUIPAMENTOS ARMAZEMOper</v>
          </cell>
          <cell r="I105">
            <v>0.90749999999999997</v>
          </cell>
          <cell r="J105" t="str">
            <v>Sim</v>
          </cell>
        </row>
        <row r="106">
          <cell r="H106" t="str">
            <v>OUTRAS RECEITASOper</v>
          </cell>
          <cell r="I106">
            <v>1</v>
          </cell>
          <cell r="J106" t="str">
            <v>Não</v>
          </cell>
        </row>
        <row r="107">
          <cell r="H107" t="str">
            <v>SALARIOSAdm</v>
          </cell>
          <cell r="I107">
            <v>1</v>
          </cell>
          <cell r="J107" t="str">
            <v>Não</v>
          </cell>
        </row>
        <row r="108">
          <cell r="H108" t="str">
            <v>HORAS EXTRASAdm</v>
          </cell>
          <cell r="I108">
            <v>1</v>
          </cell>
          <cell r="J108" t="str">
            <v>Não</v>
          </cell>
        </row>
        <row r="109">
          <cell r="H109" t="str">
            <v>FERIAS E 13 SALARIOAdm</v>
          </cell>
          <cell r="I109">
            <v>1</v>
          </cell>
          <cell r="J109" t="str">
            <v>Não</v>
          </cell>
        </row>
        <row r="110">
          <cell r="H110" t="str">
            <v>INSS - FOLHA PAGTOAdm</v>
          </cell>
          <cell r="I110">
            <v>1</v>
          </cell>
          <cell r="J110" t="str">
            <v>Não</v>
          </cell>
        </row>
        <row r="111">
          <cell r="H111" t="str">
            <v>FGTSAdm</v>
          </cell>
          <cell r="I111">
            <v>1</v>
          </cell>
          <cell r="J111" t="str">
            <v>Não</v>
          </cell>
        </row>
        <row r="112">
          <cell r="H112" t="str">
            <v>INSS/EMPR TERCEIROS FOPAGAdm</v>
          </cell>
          <cell r="I112">
            <v>1</v>
          </cell>
          <cell r="J112" t="str">
            <v>Não</v>
          </cell>
        </row>
        <row r="113">
          <cell r="H113" t="str">
            <v>ASSIST. MEDICA/ODONTOL./FARMACIAAdm</v>
          </cell>
          <cell r="I113">
            <v>1</v>
          </cell>
          <cell r="J113" t="str">
            <v>Não</v>
          </cell>
        </row>
        <row r="114">
          <cell r="H114" t="str">
            <v>AVISO PREVIOAdm</v>
          </cell>
          <cell r="I114">
            <v>1</v>
          </cell>
          <cell r="J114" t="str">
            <v>Não</v>
          </cell>
        </row>
        <row r="115">
          <cell r="H115" t="str">
            <v>ESTAGIOS TEMPORARIOSAdm</v>
          </cell>
          <cell r="I115">
            <v>1</v>
          </cell>
          <cell r="J115" t="str">
            <v>Não</v>
          </cell>
        </row>
        <row r="116">
          <cell r="H116" t="str">
            <v>TREINAMENTOAdm</v>
          </cell>
          <cell r="I116">
            <v>1</v>
          </cell>
          <cell r="J116" t="str">
            <v>Não</v>
          </cell>
        </row>
        <row r="117">
          <cell r="H117" t="str">
            <v>PRO-LABOREAdm</v>
          </cell>
          <cell r="I117">
            <v>1</v>
          </cell>
          <cell r="J117" t="str">
            <v>Não</v>
          </cell>
        </row>
        <row r="118">
          <cell r="H118" t="str">
            <v>MEDICINA SEGURANCA NO TRABALHOAdm</v>
          </cell>
          <cell r="I118">
            <v>1</v>
          </cell>
          <cell r="J118" t="str">
            <v>Não</v>
          </cell>
        </row>
        <row r="119">
          <cell r="H119" t="str">
            <v>VALE TRANSPORTEAdm</v>
          </cell>
          <cell r="I119">
            <v>1</v>
          </cell>
          <cell r="J119" t="str">
            <v>Não</v>
          </cell>
        </row>
        <row r="120">
          <cell r="H120" t="str">
            <v>CESTA BASICAAdm</v>
          </cell>
          <cell r="I120">
            <v>1</v>
          </cell>
          <cell r="J120" t="str">
            <v>Não</v>
          </cell>
        </row>
        <row r="121">
          <cell r="H121" t="str">
            <v>OUTROS CUSTOS C/ PESSOALAdm</v>
          </cell>
          <cell r="I121">
            <v>1</v>
          </cell>
          <cell r="J121" t="str">
            <v>Não</v>
          </cell>
        </row>
        <row r="122">
          <cell r="H122" t="str">
            <v>EQUIPAMENTOS DE PROTECAOAdm</v>
          </cell>
          <cell r="I122">
            <v>0.90749999999999997</v>
          </cell>
          <cell r="J122" t="str">
            <v>Sim</v>
          </cell>
        </row>
        <row r="123">
          <cell r="H123" t="str">
            <v>UNIFORMESAdm</v>
          </cell>
          <cell r="I123">
            <v>1</v>
          </cell>
          <cell r="J123" t="str">
            <v>Não</v>
          </cell>
        </row>
        <row r="124">
          <cell r="H124" t="str">
            <v>ASSESSORIA OPERACIONALAdm</v>
          </cell>
          <cell r="I124">
            <v>1</v>
          </cell>
          <cell r="J124" t="str">
            <v>Não</v>
          </cell>
        </row>
        <row r="125">
          <cell r="H125" t="str">
            <v>CARGA E DESCARGA/MOVIMENTAdm</v>
          </cell>
          <cell r="I125">
            <v>0.90749999999999997</v>
          </cell>
          <cell r="J125" t="str">
            <v>Sim</v>
          </cell>
        </row>
        <row r="126">
          <cell r="H126" t="str">
            <v>FRETES PESSOA JURIDICAAdm</v>
          </cell>
          <cell r="I126">
            <v>0.90749999999999997</v>
          </cell>
          <cell r="J126" t="str">
            <v>Sim</v>
          </cell>
        </row>
        <row r="127">
          <cell r="H127" t="str">
            <v>FRETES AEREOAdm</v>
          </cell>
          <cell r="I127">
            <v>0.90749999999999997</v>
          </cell>
          <cell r="J127" t="str">
            <v>Sim</v>
          </cell>
        </row>
        <row r="128">
          <cell r="H128" t="str">
            <v>FRETES REDESPACHOAdm</v>
          </cell>
          <cell r="I128">
            <v>0.90749999999999997</v>
          </cell>
          <cell r="J128" t="str">
            <v>Sim</v>
          </cell>
        </row>
        <row r="129">
          <cell r="H129" t="str">
            <v>FRETES TRANSFERENCIAAdm</v>
          </cell>
          <cell r="I129">
            <v>0.93059999999999998</v>
          </cell>
          <cell r="J129" t="str">
            <v>Sim</v>
          </cell>
        </row>
        <row r="130">
          <cell r="H130" t="str">
            <v>FRETES COLETAAdm</v>
          </cell>
          <cell r="I130">
            <v>0.93059999999999998</v>
          </cell>
          <cell r="J130" t="str">
            <v>Sim</v>
          </cell>
        </row>
        <row r="131">
          <cell r="H131" t="str">
            <v>FRETES DISTRIBUICAOAdm</v>
          </cell>
          <cell r="I131">
            <v>0.93059999999999998</v>
          </cell>
          <cell r="J131" t="str">
            <v>Sim</v>
          </cell>
        </row>
        <row r="132">
          <cell r="H132" t="str">
            <v>FRETES REPRESENTANTES AEREOAdm</v>
          </cell>
          <cell r="I132">
            <v>0.90749999999999997</v>
          </cell>
          <cell r="J132" t="str">
            <v>Sim</v>
          </cell>
        </row>
        <row r="133">
          <cell r="H133" t="str">
            <v>FRETES REPRESENTANTES RODOAdm</v>
          </cell>
          <cell r="I133">
            <v>0.90749999999999997</v>
          </cell>
          <cell r="J133" t="str">
            <v>Sim</v>
          </cell>
        </row>
        <row r="134">
          <cell r="H134" t="str">
            <v>COMBUSTIVEISAdm</v>
          </cell>
          <cell r="I134">
            <v>0.90749999999999997</v>
          </cell>
          <cell r="J134" t="str">
            <v>Sim</v>
          </cell>
        </row>
        <row r="135">
          <cell r="H135" t="str">
            <v>PEDAGIOSAdm</v>
          </cell>
          <cell r="I135">
            <v>1</v>
          </cell>
          <cell r="J135" t="str">
            <v>Não</v>
          </cell>
        </row>
        <row r="136">
          <cell r="H136" t="str">
            <v>VIAGENS/TRANSP - 255PAdm</v>
          </cell>
          <cell r="I136">
            <v>1</v>
          </cell>
          <cell r="J136" t="str">
            <v>Não</v>
          </cell>
        </row>
        <row r="137">
          <cell r="H137" t="str">
            <v>ESTADIA - TRANSP -269FAdm</v>
          </cell>
          <cell r="I137">
            <v>1</v>
          </cell>
          <cell r="J137" t="str">
            <v>Não</v>
          </cell>
        </row>
        <row r="138">
          <cell r="H138" t="str">
            <v>TRANS PREMIOS - 271Adm</v>
          </cell>
          <cell r="I138">
            <v>1</v>
          </cell>
          <cell r="J138" t="str">
            <v>Não</v>
          </cell>
        </row>
        <row r="139">
          <cell r="H139" t="str">
            <v>DESCARGASAdm</v>
          </cell>
          <cell r="I139">
            <v>1</v>
          </cell>
          <cell r="J139" t="str">
            <v>Não</v>
          </cell>
        </row>
        <row r="140">
          <cell r="H140" t="str">
            <v>REPAROS/CONSERV. DE VEICULOSAdm</v>
          </cell>
          <cell r="I140">
            <v>0.90749999999999997</v>
          </cell>
          <cell r="J140" t="str">
            <v>Sim</v>
          </cell>
        </row>
        <row r="141">
          <cell r="H141" t="str">
            <v>PECAS P/VEICULOS E EQUIP.Adm</v>
          </cell>
          <cell r="I141">
            <v>0.90749999999999997</v>
          </cell>
          <cell r="J141" t="str">
            <v>Sim</v>
          </cell>
        </row>
        <row r="142">
          <cell r="H142" t="str">
            <v>CONSERTO DE PNEUS E CAMARASAdm</v>
          </cell>
          <cell r="I142">
            <v>0.90749999999999997</v>
          </cell>
          <cell r="J142" t="str">
            <v>Sim</v>
          </cell>
        </row>
        <row r="143">
          <cell r="H143" t="str">
            <v>RECAPAGEMAdm</v>
          </cell>
          <cell r="I143">
            <v>0.90749999999999997</v>
          </cell>
          <cell r="J143" t="str">
            <v>Sim</v>
          </cell>
        </row>
        <row r="144">
          <cell r="H144" t="str">
            <v>ACESSORIOS P/VEICULOS E EQUIP.Adm</v>
          </cell>
          <cell r="I144">
            <v>0.90749999999999997</v>
          </cell>
          <cell r="J144" t="str">
            <v>Sim</v>
          </cell>
        </row>
        <row r="145">
          <cell r="H145" t="str">
            <v>CONSERV/MANUTEN. TACOGRAFOSAdm</v>
          </cell>
          <cell r="I145">
            <v>0.90749999999999997</v>
          </cell>
          <cell r="J145" t="str">
            <v>Sim</v>
          </cell>
        </row>
        <row r="146">
          <cell r="H146" t="str">
            <v>PNEUS E CAMARASAdm</v>
          </cell>
          <cell r="I146">
            <v>0.90749999999999997</v>
          </cell>
          <cell r="J146" t="str">
            <v>Sim</v>
          </cell>
        </row>
        <row r="147">
          <cell r="H147" t="str">
            <v>LAVAGEM DE VEICULOSAdm</v>
          </cell>
          <cell r="I147">
            <v>0.90749999999999997</v>
          </cell>
          <cell r="J147" t="str">
            <v>Sim</v>
          </cell>
        </row>
        <row r="148">
          <cell r="H148" t="str">
            <v>LUBRIFICANTESAdm</v>
          </cell>
          <cell r="I148">
            <v>0.90749999999999997</v>
          </cell>
          <cell r="J148" t="str">
            <v>Sim</v>
          </cell>
        </row>
        <row r="149">
          <cell r="H149" t="str">
            <v>ALUGUEIS DE VEICULOSAdm</v>
          </cell>
          <cell r="I149">
            <v>0.90749999999999997</v>
          </cell>
          <cell r="J149" t="str">
            <v>Sim</v>
          </cell>
        </row>
        <row r="150">
          <cell r="H150" t="str">
            <v>IPVA/LICENCIAMENTOAdm</v>
          </cell>
          <cell r="I150">
            <v>1</v>
          </cell>
          <cell r="J150" t="str">
            <v>Não</v>
          </cell>
        </row>
        <row r="151">
          <cell r="H151" t="str">
            <v>MULTAS E INFRACOES TRANSITOAdm</v>
          </cell>
          <cell r="I151">
            <v>1</v>
          </cell>
          <cell r="J151" t="str">
            <v>Não</v>
          </cell>
        </row>
        <row r="152">
          <cell r="H152" t="str">
            <v>SEGURO DE CARGAS  - RCTR-CAdm</v>
          </cell>
          <cell r="I152">
            <v>0.90749999999999997</v>
          </cell>
          <cell r="J152" t="str">
            <v>Sim</v>
          </cell>
        </row>
        <row r="153">
          <cell r="H153" t="str">
            <v>SEGURO DE CARGAS - RCF-DCAdm</v>
          </cell>
          <cell r="I153">
            <v>0.90749999999999997</v>
          </cell>
          <cell r="J153" t="str">
            <v>Sim</v>
          </cell>
        </row>
        <row r="154">
          <cell r="H154" t="str">
            <v>SEGURO RCTAAdm</v>
          </cell>
          <cell r="I154">
            <v>0.90749999999999997</v>
          </cell>
          <cell r="J154" t="str">
            <v>Sim</v>
          </cell>
        </row>
        <row r="155">
          <cell r="H155" t="str">
            <v>SERV. MONIT. AUTOTRACAdm</v>
          </cell>
          <cell r="I155">
            <v>0.90749999999999997</v>
          </cell>
          <cell r="J155" t="str">
            <v>Sim</v>
          </cell>
        </row>
        <row r="156">
          <cell r="H156" t="str">
            <v>SEGURANCA/ESCOLTAAdm</v>
          </cell>
          <cell r="I156">
            <v>0.90749999999999997</v>
          </cell>
          <cell r="J156" t="str">
            <v>Sim</v>
          </cell>
        </row>
        <row r="157">
          <cell r="H157" t="str">
            <v>SEGURO - PREMIOSAdm</v>
          </cell>
          <cell r="I157">
            <v>0.90749999999999997</v>
          </cell>
          <cell r="J157" t="str">
            <v>Sim</v>
          </cell>
        </row>
        <row r="158">
          <cell r="H158" t="str">
            <v>GERENCIAMENTO DE RISCOAdm</v>
          </cell>
          <cell r="I158">
            <v>0.90749999999999997</v>
          </cell>
          <cell r="J158" t="str">
            <v>Sim</v>
          </cell>
        </row>
        <row r="159">
          <cell r="H159" t="str">
            <v>ALUGUEIS DE IMOVEISAdm</v>
          </cell>
          <cell r="I159">
            <v>0.90749999999999997</v>
          </cell>
          <cell r="J159" t="str">
            <v>Sim</v>
          </cell>
        </row>
        <row r="160">
          <cell r="H160" t="str">
            <v>CONSERVACAO DE PREDIOSAdm</v>
          </cell>
          <cell r="I160">
            <v>0.90749999999999997</v>
          </cell>
          <cell r="J160" t="str">
            <v>Sim</v>
          </cell>
        </row>
        <row r="161">
          <cell r="H161" t="str">
            <v>ENERGIA ELETRICAAdm</v>
          </cell>
          <cell r="I161">
            <v>0.90749999999999997</v>
          </cell>
          <cell r="J161" t="str">
            <v>Sim</v>
          </cell>
        </row>
        <row r="162">
          <cell r="H162" t="str">
            <v>COMBUSTIVEIS GERADORAdm</v>
          </cell>
          <cell r="I162">
            <v>0.90749999999999997</v>
          </cell>
          <cell r="J162" t="str">
            <v>Sim</v>
          </cell>
        </row>
        <row r="163">
          <cell r="H163" t="str">
            <v>LIMPEZAAdm</v>
          </cell>
          <cell r="I163">
            <v>0.90749999999999997</v>
          </cell>
          <cell r="J163" t="str">
            <v>Sim</v>
          </cell>
        </row>
        <row r="164">
          <cell r="H164" t="str">
            <v>MATERIAL E HIGIENE/LIMPEZAAdm</v>
          </cell>
          <cell r="I164">
            <v>0.90749999999999997</v>
          </cell>
          <cell r="J164" t="str">
            <v>Sim</v>
          </cell>
        </row>
        <row r="165">
          <cell r="H165" t="str">
            <v>AGUAAdm</v>
          </cell>
          <cell r="I165">
            <v>1</v>
          </cell>
          <cell r="J165" t="str">
            <v>Não</v>
          </cell>
        </row>
        <row r="166">
          <cell r="H166" t="str">
            <v>ALUGUEIS DE EQUIPAMENTOSAdm</v>
          </cell>
          <cell r="I166">
            <v>0.90749999999999997</v>
          </cell>
          <cell r="J166" t="str">
            <v>Sim</v>
          </cell>
        </row>
        <row r="167">
          <cell r="H167" t="str">
            <v>SEGURO DE PREDIOSAdm</v>
          </cell>
          <cell r="I167">
            <v>0.90749999999999997</v>
          </cell>
          <cell r="J167" t="str">
            <v>Sim</v>
          </cell>
        </row>
        <row r="168">
          <cell r="H168" t="str">
            <v>SEGURANCA PREDIALAdm</v>
          </cell>
          <cell r="I168">
            <v>0.90749999999999997</v>
          </cell>
          <cell r="J168" t="str">
            <v>Sim</v>
          </cell>
        </row>
        <row r="169">
          <cell r="H169" t="str">
            <v>IPTUAdm</v>
          </cell>
          <cell r="I169">
            <v>1</v>
          </cell>
          <cell r="J169" t="str">
            <v>Não</v>
          </cell>
        </row>
        <row r="170">
          <cell r="H170" t="str">
            <v>ASSESSORIA JURIDICAAdm</v>
          </cell>
          <cell r="I170">
            <v>1</v>
          </cell>
          <cell r="J170" t="str">
            <v>Não</v>
          </cell>
        </row>
        <row r="171">
          <cell r="H171" t="str">
            <v>ASSESSORIA RHAdm</v>
          </cell>
          <cell r="I171">
            <v>1</v>
          </cell>
          <cell r="J171" t="str">
            <v>Não</v>
          </cell>
        </row>
        <row r="172">
          <cell r="H172" t="str">
            <v>CERTIFICACAO/QUALIDADEAdm</v>
          </cell>
          <cell r="I172">
            <v>1</v>
          </cell>
          <cell r="J172" t="str">
            <v>Não</v>
          </cell>
        </row>
        <row r="173">
          <cell r="H173" t="str">
            <v>PUBLICIDADE E PROPAGANDAAdm</v>
          </cell>
          <cell r="I173">
            <v>1</v>
          </cell>
          <cell r="J173" t="str">
            <v>Não</v>
          </cell>
        </row>
        <row r="174">
          <cell r="H174" t="str">
            <v>AUDITORIA/CONSULTORIAAdm</v>
          </cell>
          <cell r="I174">
            <v>1</v>
          </cell>
          <cell r="J174" t="str">
            <v>Não</v>
          </cell>
        </row>
        <row r="175">
          <cell r="H175" t="str">
            <v>ASSESSORIA CONTABILAdm</v>
          </cell>
          <cell r="I175">
            <v>1</v>
          </cell>
          <cell r="J175" t="str">
            <v>Não</v>
          </cell>
        </row>
        <row r="176">
          <cell r="H176" t="str">
            <v>ASSESSORIA ADMINISTRATIVAAdm</v>
          </cell>
          <cell r="I176">
            <v>1</v>
          </cell>
          <cell r="J176" t="str">
            <v>Não</v>
          </cell>
        </row>
        <row r="177">
          <cell r="H177" t="str">
            <v>ASSESSORIA GUARDA DE DOCUMENTOSAdm</v>
          </cell>
          <cell r="I177">
            <v>1</v>
          </cell>
          <cell r="J177" t="str">
            <v>Não</v>
          </cell>
        </row>
        <row r="178">
          <cell r="H178" t="str">
            <v>HONORARIOS PROF. PJAdm</v>
          </cell>
          <cell r="I178">
            <v>1</v>
          </cell>
          <cell r="J178" t="str">
            <v>Não</v>
          </cell>
        </row>
        <row r="179">
          <cell r="H179" t="str">
            <v>HONORARIOS PROF. PFAdm</v>
          </cell>
          <cell r="I179">
            <v>1</v>
          </cell>
          <cell r="J179" t="str">
            <v>Não</v>
          </cell>
        </row>
        <row r="180">
          <cell r="H180" t="str">
            <v>ASSESSORIA E SERVICO INFORMATICAAdm</v>
          </cell>
          <cell r="I180">
            <v>1</v>
          </cell>
          <cell r="J180" t="str">
            <v>Não</v>
          </cell>
        </row>
        <row r="181">
          <cell r="H181" t="str">
            <v>MANUT. EQUP. INFORMATICAAdm</v>
          </cell>
          <cell r="I181">
            <v>0.90749999999999997</v>
          </cell>
          <cell r="J181" t="str">
            <v>Sim</v>
          </cell>
        </row>
        <row r="182">
          <cell r="H182" t="str">
            <v>MANUTEN. SISTEMAS  INFORMATICAAdm</v>
          </cell>
          <cell r="I182">
            <v>0.90749999999999997</v>
          </cell>
          <cell r="J182" t="str">
            <v>Sim</v>
          </cell>
        </row>
        <row r="183">
          <cell r="H183" t="str">
            <v>MATERIAL PROCES. DADOSAdm</v>
          </cell>
          <cell r="I183">
            <v>0.90749999999999997</v>
          </cell>
          <cell r="J183" t="str">
            <v>Sim</v>
          </cell>
        </row>
        <row r="184">
          <cell r="H184" t="str">
            <v>TELEFONESAdm</v>
          </cell>
          <cell r="I184">
            <v>1</v>
          </cell>
          <cell r="J184" t="str">
            <v>Não</v>
          </cell>
        </row>
        <row r="185">
          <cell r="H185" t="str">
            <v>INTERNET/COMUNICACOESAdm</v>
          </cell>
          <cell r="I185">
            <v>1</v>
          </cell>
          <cell r="J185" t="str">
            <v>Não</v>
          </cell>
        </row>
        <row r="186">
          <cell r="H186" t="str">
            <v>IMPOSTOS/ TAXAS ESTADUAISAdm</v>
          </cell>
          <cell r="I186">
            <v>1</v>
          </cell>
          <cell r="J186" t="str">
            <v>Não</v>
          </cell>
        </row>
        <row r="187">
          <cell r="H187" t="str">
            <v>IMPOSTOS/TAXAS FEDERAISAdm</v>
          </cell>
          <cell r="I187">
            <v>1</v>
          </cell>
          <cell r="J187" t="str">
            <v>Não</v>
          </cell>
        </row>
        <row r="188">
          <cell r="H188" t="str">
            <v>IMPOSTOS/TAXAS MUNICIPAISAdm</v>
          </cell>
          <cell r="I188">
            <v>1</v>
          </cell>
          <cell r="J188" t="str">
            <v>Não</v>
          </cell>
        </row>
        <row r="189">
          <cell r="H189" t="str">
            <v>MULTAS DIVERSASAdm</v>
          </cell>
          <cell r="I189">
            <v>1</v>
          </cell>
          <cell r="J189" t="str">
            <v>Não</v>
          </cell>
        </row>
        <row r="190">
          <cell r="H190" t="str">
            <v>TAXAS/CUSTAS/CARTORIOAdm</v>
          </cell>
          <cell r="I190">
            <v>1</v>
          </cell>
          <cell r="J190" t="str">
            <v>Não</v>
          </cell>
        </row>
        <row r="191">
          <cell r="H191" t="str">
            <v>DESPESAS DIVERSASAdm</v>
          </cell>
          <cell r="I191">
            <v>1</v>
          </cell>
          <cell r="J191" t="str">
            <v>Não</v>
          </cell>
        </row>
        <row r="192">
          <cell r="H192" t="str">
            <v>ASSOS. SINDICATOS DE CLASSEAdm</v>
          </cell>
          <cell r="I192">
            <v>1</v>
          </cell>
          <cell r="J192" t="str">
            <v>Não</v>
          </cell>
        </row>
        <row r="193">
          <cell r="H193" t="str">
            <v>CONDUCAO E TRANSPORTEAdm</v>
          </cell>
          <cell r="I193">
            <v>1</v>
          </cell>
          <cell r="J193" t="str">
            <v>Não</v>
          </cell>
        </row>
        <row r="194">
          <cell r="H194" t="str">
            <v>VIAGENSAdm</v>
          </cell>
          <cell r="I194">
            <v>1</v>
          </cell>
          <cell r="J194" t="str">
            <v>Não</v>
          </cell>
        </row>
        <row r="195">
          <cell r="H195" t="str">
            <v>ESTACIONAMENTOSAdm</v>
          </cell>
          <cell r="I195">
            <v>1</v>
          </cell>
          <cell r="J195" t="str">
            <v>Não</v>
          </cell>
        </row>
        <row r="196">
          <cell r="H196" t="str">
            <v>BRINDES E DOACOES/INDEDUTIVELAdm</v>
          </cell>
          <cell r="I196">
            <v>1</v>
          </cell>
          <cell r="J196" t="str">
            <v>Não</v>
          </cell>
        </row>
        <row r="197">
          <cell r="H197" t="str">
            <v>ANUNCIOS E PUBLICACOES LEGAISAdm</v>
          </cell>
          <cell r="I197">
            <v>1</v>
          </cell>
          <cell r="J197" t="str">
            <v>Não</v>
          </cell>
        </row>
        <row r="198">
          <cell r="H198" t="str">
            <v>COPA E REFEICOES/ESTADIASAdm</v>
          </cell>
          <cell r="I198">
            <v>1</v>
          </cell>
          <cell r="J198" t="str">
            <v>Não</v>
          </cell>
        </row>
        <row r="199">
          <cell r="H199" t="str">
            <v>GAS GLP - REFEITORIOAdm</v>
          </cell>
          <cell r="I199">
            <v>1</v>
          </cell>
          <cell r="J199" t="str">
            <v>Não</v>
          </cell>
        </row>
        <row r="200">
          <cell r="H200" t="str">
            <v>FEIRAS EVENTOS E CONFRATERNIZACOESAdm</v>
          </cell>
          <cell r="I200">
            <v>1</v>
          </cell>
          <cell r="J200" t="str">
            <v>Não</v>
          </cell>
        </row>
        <row r="201">
          <cell r="H201" t="str">
            <v>MATERIAL DE EXPEDIENTEAdm</v>
          </cell>
          <cell r="I201">
            <v>1</v>
          </cell>
          <cell r="J201" t="str">
            <v>Não</v>
          </cell>
        </row>
        <row r="202">
          <cell r="H202" t="str">
            <v>PORTES/SELOS E TELEGRAMAS CORREIOSAdm</v>
          </cell>
          <cell r="I202">
            <v>1</v>
          </cell>
          <cell r="J202" t="str">
            <v>Não</v>
          </cell>
        </row>
        <row r="203">
          <cell r="H203" t="str">
            <v>BENS DE PEQUENO VALORAdm</v>
          </cell>
          <cell r="I203">
            <v>1</v>
          </cell>
          <cell r="J203" t="str">
            <v>Não</v>
          </cell>
        </row>
        <row r="204">
          <cell r="H204" t="str">
            <v>ASSINAT. JORNAIS E REVISTASAdm</v>
          </cell>
          <cell r="I204">
            <v>1</v>
          </cell>
          <cell r="J204" t="str">
            <v>Não</v>
          </cell>
        </row>
        <row r="205">
          <cell r="H205" t="str">
            <v>COPIAS E ENCADERNACOESAdm</v>
          </cell>
          <cell r="I205">
            <v>1</v>
          </cell>
          <cell r="J205" t="str">
            <v>Não</v>
          </cell>
        </row>
        <row r="206">
          <cell r="H206" t="str">
            <v>IMPRESSOS GRAFICOS/LOGOTIPOSAdm</v>
          </cell>
          <cell r="I206">
            <v>1</v>
          </cell>
          <cell r="J206" t="str">
            <v>Não</v>
          </cell>
        </row>
        <row r="207">
          <cell r="H207" t="str">
            <v>OUTRAS RECEITASAdm</v>
          </cell>
          <cell r="I207">
            <v>1</v>
          </cell>
          <cell r="J207" t="str">
            <v>Não</v>
          </cell>
        </row>
        <row r="208">
          <cell r="H208" t="str">
            <v>SALARIOSCom</v>
          </cell>
          <cell r="I208">
            <v>1</v>
          </cell>
          <cell r="J208" t="str">
            <v>Não</v>
          </cell>
        </row>
        <row r="209">
          <cell r="H209" t="str">
            <v>HORAS EXTRASCom</v>
          </cell>
          <cell r="I209">
            <v>1</v>
          </cell>
          <cell r="J209" t="str">
            <v>Não</v>
          </cell>
        </row>
        <row r="210">
          <cell r="H210" t="str">
            <v>FERIAS E 13 SALARIOCom</v>
          </cell>
          <cell r="I210">
            <v>1</v>
          </cell>
          <cell r="J210" t="str">
            <v>Não</v>
          </cell>
        </row>
        <row r="211">
          <cell r="H211" t="str">
            <v>INSS - FOLHA PAGTOCom</v>
          </cell>
          <cell r="I211">
            <v>1</v>
          </cell>
          <cell r="J211" t="str">
            <v>Não</v>
          </cell>
        </row>
        <row r="212">
          <cell r="H212" t="str">
            <v>FGTSCom</v>
          </cell>
          <cell r="I212">
            <v>1</v>
          </cell>
          <cell r="J212" t="str">
            <v>Não</v>
          </cell>
        </row>
        <row r="213">
          <cell r="H213" t="str">
            <v>INSS/EMPR TERCEIROS FOPAGCom</v>
          </cell>
          <cell r="I213">
            <v>1</v>
          </cell>
          <cell r="J213" t="str">
            <v>Não</v>
          </cell>
        </row>
        <row r="214">
          <cell r="H214" t="str">
            <v>ASSIST. MEDICA/ODONTOL./FARMACIACom</v>
          </cell>
          <cell r="I214">
            <v>1</v>
          </cell>
          <cell r="J214" t="str">
            <v>Não</v>
          </cell>
        </row>
        <row r="215">
          <cell r="H215" t="str">
            <v>AVISO PREVIOCom</v>
          </cell>
          <cell r="I215">
            <v>1</v>
          </cell>
          <cell r="J215" t="str">
            <v>Não</v>
          </cell>
        </row>
        <row r="216">
          <cell r="H216" t="str">
            <v>ESTAGIOS TEMPORARIOSCom</v>
          </cell>
          <cell r="I216">
            <v>1</v>
          </cell>
          <cell r="J216" t="str">
            <v>Não</v>
          </cell>
        </row>
        <row r="217">
          <cell r="H217" t="str">
            <v>TREINAMENTOCom</v>
          </cell>
          <cell r="I217">
            <v>1</v>
          </cell>
          <cell r="J217" t="str">
            <v>Não</v>
          </cell>
        </row>
        <row r="218">
          <cell r="H218" t="str">
            <v>PRO-LABORECom</v>
          </cell>
          <cell r="I218">
            <v>1</v>
          </cell>
          <cell r="J218" t="str">
            <v>Não</v>
          </cell>
        </row>
        <row r="219">
          <cell r="H219" t="str">
            <v>MEDICINA SEGURANCA NO TRABALHOCom</v>
          </cell>
          <cell r="I219">
            <v>1</v>
          </cell>
          <cell r="J219" t="str">
            <v>Não</v>
          </cell>
        </row>
        <row r="220">
          <cell r="H220" t="str">
            <v>VALE TRANSPORTECom</v>
          </cell>
          <cell r="I220">
            <v>1</v>
          </cell>
          <cell r="J220" t="str">
            <v>Não</v>
          </cell>
        </row>
        <row r="221">
          <cell r="H221" t="str">
            <v>CESTA BASICACom</v>
          </cell>
          <cell r="I221">
            <v>1</v>
          </cell>
          <cell r="J221" t="str">
            <v>Não</v>
          </cell>
        </row>
        <row r="222">
          <cell r="H222" t="str">
            <v>OUTROS CUSTOS C/ PESSOALCom</v>
          </cell>
          <cell r="I222">
            <v>1</v>
          </cell>
          <cell r="J222" t="str">
            <v>Não</v>
          </cell>
        </row>
        <row r="223">
          <cell r="H223" t="str">
            <v>EQUIPAMENTOS DE PROTECAOCom</v>
          </cell>
          <cell r="I223">
            <v>1</v>
          </cell>
          <cell r="J223" t="str">
            <v>Não</v>
          </cell>
        </row>
        <row r="224">
          <cell r="H224" t="str">
            <v>UNIFORMESCom</v>
          </cell>
          <cell r="I224">
            <v>1</v>
          </cell>
          <cell r="J224" t="str">
            <v>Não</v>
          </cell>
        </row>
        <row r="225">
          <cell r="H225" t="str">
            <v>ASSESSORIA OPERACIONALCom</v>
          </cell>
          <cell r="I225">
            <v>1</v>
          </cell>
          <cell r="J225" t="str">
            <v>Não</v>
          </cell>
        </row>
        <row r="226">
          <cell r="H226" t="str">
            <v>CARGA E DESCARGA/MOVIMENTCom</v>
          </cell>
          <cell r="I226">
            <v>0.90749999999999997</v>
          </cell>
          <cell r="J226" t="str">
            <v>Sim</v>
          </cell>
        </row>
        <row r="227">
          <cell r="H227" t="str">
            <v>FRETES PESSOA JURIDICACom</v>
          </cell>
          <cell r="I227">
            <v>0.90749999999999997</v>
          </cell>
          <cell r="J227" t="str">
            <v>Sim</v>
          </cell>
        </row>
        <row r="228">
          <cell r="H228" t="str">
            <v>FRETES AEREOCom</v>
          </cell>
          <cell r="I228">
            <v>0.90749999999999997</v>
          </cell>
          <cell r="J228" t="str">
            <v>Sim</v>
          </cell>
        </row>
        <row r="229">
          <cell r="H229" t="str">
            <v>FRETES REDESPACHOCom</v>
          </cell>
          <cell r="I229">
            <v>0.90749999999999997</v>
          </cell>
          <cell r="J229" t="str">
            <v>Sim</v>
          </cell>
        </row>
        <row r="230">
          <cell r="H230" t="str">
            <v>FRETES TRANSFERENCIACom</v>
          </cell>
          <cell r="I230">
            <v>0.93059999999999998</v>
          </cell>
          <cell r="J230" t="str">
            <v>Sim</v>
          </cell>
        </row>
        <row r="231">
          <cell r="H231" t="str">
            <v>FRETES COLETACom</v>
          </cell>
          <cell r="I231">
            <v>0.93059999999999998</v>
          </cell>
          <cell r="J231" t="str">
            <v>Sim</v>
          </cell>
        </row>
        <row r="232">
          <cell r="H232" t="str">
            <v>FRETES DISTRIBUICAOCom</v>
          </cell>
          <cell r="I232">
            <v>0.93059999999999998</v>
          </cell>
          <cell r="J232" t="str">
            <v>Sim</v>
          </cell>
        </row>
        <row r="233">
          <cell r="H233" t="str">
            <v>FRETES REPRESENTANTES AEREOCom</v>
          </cell>
          <cell r="I233">
            <v>0.90749999999999997</v>
          </cell>
          <cell r="J233" t="str">
            <v>Sim</v>
          </cell>
        </row>
        <row r="234">
          <cell r="H234" t="str">
            <v>FRETES REPRESENTANTES RODOCom</v>
          </cell>
          <cell r="I234">
            <v>0.90749999999999997</v>
          </cell>
          <cell r="J234" t="str">
            <v>Sim</v>
          </cell>
        </row>
        <row r="235">
          <cell r="H235" t="str">
            <v>COMBUSTIVEISCom</v>
          </cell>
          <cell r="I235">
            <v>0.90749999999999997</v>
          </cell>
          <cell r="J235" t="str">
            <v>Sim</v>
          </cell>
        </row>
        <row r="236">
          <cell r="H236" t="str">
            <v>PEDAGIOSCom</v>
          </cell>
          <cell r="I236">
            <v>1</v>
          </cell>
          <cell r="J236" t="str">
            <v>Não</v>
          </cell>
        </row>
        <row r="237">
          <cell r="H237" t="str">
            <v>VIAGENS/TRANSP - 255PCom</v>
          </cell>
          <cell r="I237">
            <v>1</v>
          </cell>
          <cell r="J237" t="str">
            <v>Não</v>
          </cell>
        </row>
        <row r="238">
          <cell r="H238" t="str">
            <v>ESTADIA - TRANSP -269FCom</v>
          </cell>
          <cell r="I238">
            <v>1</v>
          </cell>
          <cell r="J238" t="str">
            <v>Não</v>
          </cell>
        </row>
        <row r="239">
          <cell r="H239" t="str">
            <v>TRANS PREMIOS - 271Com</v>
          </cell>
          <cell r="I239">
            <v>1</v>
          </cell>
          <cell r="J239" t="str">
            <v>Não</v>
          </cell>
        </row>
        <row r="240">
          <cell r="H240" t="str">
            <v>DESCARGASCom</v>
          </cell>
          <cell r="I240">
            <v>1</v>
          </cell>
          <cell r="J240" t="str">
            <v>Não</v>
          </cell>
        </row>
        <row r="241">
          <cell r="H241" t="str">
            <v>REPAROS/CONSERV. DE VEICULOSCom</v>
          </cell>
          <cell r="I241">
            <v>0.90749999999999997</v>
          </cell>
          <cell r="J241" t="str">
            <v>Sim</v>
          </cell>
        </row>
        <row r="242">
          <cell r="H242" t="str">
            <v>PECAS P/VEICULOS E EQUIP.Com</v>
          </cell>
          <cell r="I242">
            <v>0.90749999999999997</v>
          </cell>
          <cell r="J242" t="str">
            <v>Sim</v>
          </cell>
        </row>
        <row r="243">
          <cell r="H243" t="str">
            <v>CONSERTO DE PNEUS E CAMARASCom</v>
          </cell>
          <cell r="I243">
            <v>0.90749999999999997</v>
          </cell>
          <cell r="J243" t="str">
            <v>Sim</v>
          </cell>
        </row>
        <row r="244">
          <cell r="H244" t="str">
            <v>RECAPAGEMCom</v>
          </cell>
          <cell r="I244">
            <v>0.90749999999999997</v>
          </cell>
          <cell r="J244" t="str">
            <v>Sim</v>
          </cell>
        </row>
        <row r="245">
          <cell r="H245" t="str">
            <v>ACESSORIOS P/VEICULOS E EQUIP.Com</v>
          </cell>
          <cell r="I245">
            <v>0.90749999999999997</v>
          </cell>
          <cell r="J245" t="str">
            <v>Sim</v>
          </cell>
        </row>
        <row r="246">
          <cell r="H246" t="str">
            <v>CONSERV/MANUTEN. TACOGRAFOSCom</v>
          </cell>
          <cell r="I246">
            <v>0.90749999999999997</v>
          </cell>
          <cell r="J246" t="str">
            <v>Sim</v>
          </cell>
        </row>
        <row r="247">
          <cell r="H247" t="str">
            <v>PNEUS E CAMARASCom</v>
          </cell>
          <cell r="I247">
            <v>0.90749999999999997</v>
          </cell>
          <cell r="J247" t="str">
            <v>Sim</v>
          </cell>
        </row>
        <row r="248">
          <cell r="H248" t="str">
            <v>LAVAGEM DE VEICULOSCom</v>
          </cell>
          <cell r="I248">
            <v>0.90749999999999997</v>
          </cell>
          <cell r="J248" t="str">
            <v>Sim</v>
          </cell>
        </row>
        <row r="249">
          <cell r="H249" t="str">
            <v>LUBRIFICANTESCom</v>
          </cell>
          <cell r="I249">
            <v>0.90749999999999997</v>
          </cell>
          <cell r="J249" t="str">
            <v>Sim</v>
          </cell>
        </row>
        <row r="250">
          <cell r="H250" t="str">
            <v>ALUGUEIS DE VEICULOSCom</v>
          </cell>
          <cell r="I250">
            <v>0.90749999999999997</v>
          </cell>
          <cell r="J250" t="str">
            <v>Sim</v>
          </cell>
        </row>
        <row r="251">
          <cell r="H251" t="str">
            <v>IPVA/LICENCIAMENTOCom</v>
          </cell>
          <cell r="I251">
            <v>1</v>
          </cell>
          <cell r="J251" t="str">
            <v>Não</v>
          </cell>
        </row>
        <row r="252">
          <cell r="H252" t="str">
            <v>MULTAS E INFRACOES TRANSITOCom</v>
          </cell>
          <cell r="I252">
            <v>1</v>
          </cell>
          <cell r="J252" t="str">
            <v>Não</v>
          </cell>
        </row>
        <row r="253">
          <cell r="H253" t="str">
            <v>SEGURO DE CARGAS  - RCTR-CCom</v>
          </cell>
          <cell r="I253">
            <v>0.90749999999999997</v>
          </cell>
          <cell r="J253" t="str">
            <v>Sim</v>
          </cell>
        </row>
        <row r="254">
          <cell r="H254" t="str">
            <v>SEGURO DE CARGAS - RCF-DCCom</v>
          </cell>
          <cell r="I254">
            <v>0.90749999999999997</v>
          </cell>
          <cell r="J254" t="str">
            <v>Sim</v>
          </cell>
        </row>
        <row r="255">
          <cell r="H255" t="str">
            <v>SEGURO RCTACom</v>
          </cell>
          <cell r="I255">
            <v>0.90749999999999997</v>
          </cell>
          <cell r="J255" t="str">
            <v>Sim</v>
          </cell>
        </row>
        <row r="256">
          <cell r="H256" t="str">
            <v>SERV. MONIT. AUTOTRACCom</v>
          </cell>
          <cell r="I256">
            <v>0.90749999999999997</v>
          </cell>
          <cell r="J256" t="str">
            <v>Sim</v>
          </cell>
        </row>
        <row r="257">
          <cell r="H257" t="str">
            <v>SEGURANCA/ESCOLTACom</v>
          </cell>
          <cell r="I257">
            <v>0.90749999999999997</v>
          </cell>
          <cell r="J257" t="str">
            <v>Sim</v>
          </cell>
        </row>
        <row r="258">
          <cell r="H258" t="str">
            <v>SEGURO - PREMIOSCom</v>
          </cell>
          <cell r="I258">
            <v>0.90749999999999997</v>
          </cell>
          <cell r="J258" t="str">
            <v>Sim</v>
          </cell>
        </row>
        <row r="259">
          <cell r="H259" t="str">
            <v>GERENCIAMENTO DE RISCOCom</v>
          </cell>
          <cell r="I259">
            <v>0.90749999999999997</v>
          </cell>
          <cell r="J259" t="str">
            <v>Sim</v>
          </cell>
        </row>
        <row r="260">
          <cell r="H260" t="str">
            <v>ALUGUEIS DE IMOVEISCom</v>
          </cell>
          <cell r="I260">
            <v>0.90749999999999997</v>
          </cell>
          <cell r="J260" t="str">
            <v>Sim</v>
          </cell>
        </row>
        <row r="261">
          <cell r="H261" t="str">
            <v>CONSERVACAO DE PREDIOSCom</v>
          </cell>
          <cell r="I261">
            <v>0.90749999999999997</v>
          </cell>
          <cell r="J261" t="str">
            <v>Sim</v>
          </cell>
        </row>
        <row r="262">
          <cell r="H262" t="str">
            <v>ENERGIA ELETRICACom</v>
          </cell>
          <cell r="I262">
            <v>0.90749999999999997</v>
          </cell>
          <cell r="J262" t="str">
            <v>Sim</v>
          </cell>
        </row>
        <row r="263">
          <cell r="H263" t="str">
            <v>COMBUSTIVEIS GERADORCom</v>
          </cell>
          <cell r="I263">
            <v>0.90749999999999997</v>
          </cell>
          <cell r="J263" t="str">
            <v>Sim</v>
          </cell>
        </row>
        <row r="264">
          <cell r="H264" t="str">
            <v>LIMPEZACom</v>
          </cell>
          <cell r="I264">
            <v>0.90749999999999997</v>
          </cell>
          <cell r="J264" t="str">
            <v>Sim</v>
          </cell>
        </row>
        <row r="265">
          <cell r="H265" t="str">
            <v>MATERIAL E HIGIENE/LIMPEZACom</v>
          </cell>
          <cell r="I265">
            <v>0.90749999999999997</v>
          </cell>
          <cell r="J265" t="str">
            <v>Sim</v>
          </cell>
        </row>
        <row r="266">
          <cell r="H266" t="str">
            <v>AGUACom</v>
          </cell>
          <cell r="I266">
            <v>1</v>
          </cell>
          <cell r="J266" t="str">
            <v>Não</v>
          </cell>
        </row>
        <row r="267">
          <cell r="H267" t="str">
            <v>ALUGUEIS DE EQUIPAMENTOSCom</v>
          </cell>
          <cell r="I267">
            <v>0.90749999999999997</v>
          </cell>
          <cell r="J267" t="str">
            <v>Sim</v>
          </cell>
        </row>
        <row r="268">
          <cell r="H268" t="str">
            <v>SEGURO DE PREDIOSCom</v>
          </cell>
          <cell r="I268">
            <v>0.90749999999999997</v>
          </cell>
          <cell r="J268" t="str">
            <v>Sim</v>
          </cell>
        </row>
        <row r="269">
          <cell r="H269" t="str">
            <v>SEGURANCA PREDIALCom</v>
          </cell>
          <cell r="I269">
            <v>0.90749999999999997</v>
          </cell>
          <cell r="J269" t="str">
            <v>Sim</v>
          </cell>
        </row>
        <row r="270">
          <cell r="H270" t="str">
            <v>IPTUCom</v>
          </cell>
          <cell r="I270">
            <v>1</v>
          </cell>
          <cell r="J270" t="str">
            <v>Não</v>
          </cell>
        </row>
        <row r="271">
          <cell r="H271" t="str">
            <v>ASSESSORIA JURIDICACom</v>
          </cell>
          <cell r="I271">
            <v>1</v>
          </cell>
          <cell r="J271" t="str">
            <v>Não</v>
          </cell>
        </row>
        <row r="272">
          <cell r="H272" t="str">
            <v>ASSESSORIA RHCom</v>
          </cell>
          <cell r="I272">
            <v>1</v>
          </cell>
          <cell r="J272" t="str">
            <v>Não</v>
          </cell>
        </row>
        <row r="273">
          <cell r="H273" t="str">
            <v>CERTIFICACAO/QUALIDADECom</v>
          </cell>
          <cell r="I273">
            <v>1</v>
          </cell>
          <cell r="J273" t="str">
            <v>Não</v>
          </cell>
        </row>
        <row r="274">
          <cell r="H274" t="str">
            <v>PUBLICIDADE E PROPAGANDACom</v>
          </cell>
          <cell r="I274">
            <v>1</v>
          </cell>
          <cell r="J274" t="str">
            <v>Não</v>
          </cell>
        </row>
        <row r="275">
          <cell r="H275" t="str">
            <v>AUDITORIA/CONSULTORIACom</v>
          </cell>
          <cell r="I275">
            <v>1</v>
          </cell>
          <cell r="J275" t="str">
            <v>Não</v>
          </cell>
        </row>
        <row r="276">
          <cell r="H276" t="str">
            <v>ASSESSORIA CONTABILCom</v>
          </cell>
          <cell r="I276">
            <v>1</v>
          </cell>
          <cell r="J276" t="str">
            <v>Não</v>
          </cell>
        </row>
        <row r="277">
          <cell r="H277" t="str">
            <v>ASSESSORIA ADMINISTRATIVACom</v>
          </cell>
          <cell r="I277">
            <v>1</v>
          </cell>
          <cell r="J277" t="str">
            <v>Não</v>
          </cell>
        </row>
        <row r="278">
          <cell r="H278" t="str">
            <v>ASSESSORIA GUARDA DE DOCUMENTOSCom</v>
          </cell>
          <cell r="I278">
            <v>1</v>
          </cell>
          <cell r="J278" t="str">
            <v>Não</v>
          </cell>
        </row>
        <row r="279">
          <cell r="H279" t="str">
            <v>HONORARIOS PROF. PJCom</v>
          </cell>
          <cell r="I279">
            <v>1</v>
          </cell>
          <cell r="J279" t="str">
            <v>Não</v>
          </cell>
        </row>
        <row r="280">
          <cell r="H280" t="str">
            <v>HONORARIOS PROF. PFCom</v>
          </cell>
          <cell r="I280">
            <v>1</v>
          </cell>
          <cell r="J280" t="str">
            <v>Não</v>
          </cell>
        </row>
        <row r="281">
          <cell r="H281" t="str">
            <v>ASSESSORIA E SERVICO INFORMATICACom</v>
          </cell>
          <cell r="I281">
            <v>1</v>
          </cell>
          <cell r="J281" t="str">
            <v>Não</v>
          </cell>
        </row>
        <row r="282">
          <cell r="H282" t="str">
            <v>MANUT. EQUP. INFORMATICACom</v>
          </cell>
          <cell r="I282">
            <v>0.90749999999999997</v>
          </cell>
          <cell r="J282" t="str">
            <v>Sim</v>
          </cell>
        </row>
        <row r="283">
          <cell r="H283" t="str">
            <v>MANUTEN. SISTEMAS  INFORMATICACom</v>
          </cell>
          <cell r="I283">
            <v>0.90749999999999997</v>
          </cell>
          <cell r="J283" t="str">
            <v>Sim</v>
          </cell>
        </row>
        <row r="284">
          <cell r="H284" t="str">
            <v>MATERIAL PROCES. DADOSCom</v>
          </cell>
          <cell r="I284">
            <v>0.90749999999999997</v>
          </cell>
          <cell r="J284" t="str">
            <v>Sim</v>
          </cell>
        </row>
        <row r="285">
          <cell r="H285" t="str">
            <v>TELEFONESCom</v>
          </cell>
          <cell r="I285">
            <v>1</v>
          </cell>
          <cell r="J285" t="str">
            <v>Não</v>
          </cell>
        </row>
        <row r="286">
          <cell r="H286" t="str">
            <v>INTERNET/COMUNICACOESCom</v>
          </cell>
          <cell r="I286">
            <v>1</v>
          </cell>
          <cell r="J286" t="str">
            <v>Não</v>
          </cell>
        </row>
        <row r="287">
          <cell r="H287" t="str">
            <v>IMPOSTOS/ TAXAS ESTADUAISCom</v>
          </cell>
          <cell r="I287">
            <v>1</v>
          </cell>
          <cell r="J287" t="str">
            <v>Não</v>
          </cell>
        </row>
        <row r="288">
          <cell r="H288" t="str">
            <v>IMPOSTOS/TAXAS FEDERAISCom</v>
          </cell>
          <cell r="I288">
            <v>1</v>
          </cell>
          <cell r="J288" t="str">
            <v>Não</v>
          </cell>
        </row>
        <row r="289">
          <cell r="H289" t="str">
            <v>IMPOSTOS/TAXAS MUNICIPAISCom</v>
          </cell>
          <cell r="I289">
            <v>1</v>
          </cell>
          <cell r="J289" t="str">
            <v>Não</v>
          </cell>
        </row>
        <row r="290">
          <cell r="H290" t="str">
            <v>MULTAS DIVERSASCom</v>
          </cell>
          <cell r="I290">
            <v>1</v>
          </cell>
          <cell r="J290" t="str">
            <v>Não</v>
          </cell>
        </row>
        <row r="291">
          <cell r="H291" t="str">
            <v>TAXAS/CUSTAS/CARTORIOCom</v>
          </cell>
          <cell r="I291">
            <v>1</v>
          </cell>
          <cell r="J291" t="str">
            <v>Não</v>
          </cell>
        </row>
        <row r="292">
          <cell r="H292" t="str">
            <v>DESPESAS DIVERSASCom</v>
          </cell>
          <cell r="I292">
            <v>1</v>
          </cell>
          <cell r="J292" t="str">
            <v>Não</v>
          </cell>
        </row>
        <row r="293">
          <cell r="H293" t="str">
            <v>ASSOS. SINDICATOS DE CLASSECom</v>
          </cell>
          <cell r="I293">
            <v>1</v>
          </cell>
          <cell r="J293" t="str">
            <v>Não</v>
          </cell>
        </row>
        <row r="294">
          <cell r="H294" t="str">
            <v>CONDUCAO E TRANSPORTECom</v>
          </cell>
          <cell r="I294">
            <v>1</v>
          </cell>
          <cell r="J294" t="str">
            <v>Não</v>
          </cell>
        </row>
        <row r="295">
          <cell r="H295" t="str">
            <v>VIAGENSCom</v>
          </cell>
          <cell r="I295">
            <v>1</v>
          </cell>
          <cell r="J295" t="str">
            <v>Não</v>
          </cell>
        </row>
        <row r="296">
          <cell r="H296" t="str">
            <v>ESTACIONAMENTOSCom</v>
          </cell>
          <cell r="I296">
            <v>1</v>
          </cell>
          <cell r="J296" t="str">
            <v>Não</v>
          </cell>
        </row>
        <row r="297">
          <cell r="H297" t="str">
            <v>BRINDES E DOACOES/INDEDUTIVELCom</v>
          </cell>
          <cell r="I297">
            <v>1</v>
          </cell>
          <cell r="J297" t="str">
            <v>Não</v>
          </cell>
        </row>
        <row r="298">
          <cell r="H298" t="str">
            <v>ANUNCIOS E PUBLICACOES LEGAISCom</v>
          </cell>
          <cell r="I298">
            <v>1</v>
          </cell>
          <cell r="J298" t="str">
            <v>Não</v>
          </cell>
        </row>
        <row r="299">
          <cell r="H299" t="str">
            <v>COPA E REFEICOES/ESTADIASCom</v>
          </cell>
          <cell r="I299">
            <v>1</v>
          </cell>
          <cell r="J299" t="str">
            <v>Não</v>
          </cell>
        </row>
        <row r="300">
          <cell r="H300" t="str">
            <v>GAS GLP - REFEITORIOCom</v>
          </cell>
          <cell r="I300">
            <v>1</v>
          </cell>
          <cell r="J300" t="str">
            <v>Não</v>
          </cell>
        </row>
        <row r="301">
          <cell r="H301" t="str">
            <v>FEIRAS EVENTOS E CONFRATERNIZACOESCom</v>
          </cell>
          <cell r="I301">
            <v>1</v>
          </cell>
          <cell r="J301" t="str">
            <v>Não</v>
          </cell>
        </row>
        <row r="302">
          <cell r="H302" t="str">
            <v>MATERIAL DE EXPEDIENTECom</v>
          </cell>
          <cell r="I302">
            <v>1</v>
          </cell>
          <cell r="J302" t="str">
            <v>Não</v>
          </cell>
        </row>
        <row r="303">
          <cell r="H303" t="str">
            <v>PORTES/SELOS E TELEGRAMAS CORREIOSCom</v>
          </cell>
          <cell r="I303">
            <v>1</v>
          </cell>
          <cell r="J303" t="str">
            <v>Não</v>
          </cell>
        </row>
        <row r="304">
          <cell r="H304" t="str">
            <v>BENS DE PEQUENO VALORCom</v>
          </cell>
          <cell r="I304">
            <v>1</v>
          </cell>
          <cell r="J304" t="str">
            <v>Não</v>
          </cell>
        </row>
        <row r="305">
          <cell r="H305" t="str">
            <v>ASSINAT. JORNAIS E REVISTASCom</v>
          </cell>
          <cell r="I305">
            <v>1</v>
          </cell>
          <cell r="J305" t="str">
            <v>Não</v>
          </cell>
        </row>
        <row r="306">
          <cell r="H306" t="str">
            <v>COPIAS E ENCADERNACOESCom</v>
          </cell>
          <cell r="I306">
            <v>1</v>
          </cell>
          <cell r="J306" t="str">
            <v>Não</v>
          </cell>
        </row>
        <row r="307">
          <cell r="H307" t="str">
            <v>IMPRESSOS GRAFICOS/LOGOTIPOSCom</v>
          </cell>
          <cell r="I307">
            <v>1</v>
          </cell>
          <cell r="J307" t="str">
            <v>Não</v>
          </cell>
        </row>
        <row r="308">
          <cell r="H308" t="str">
            <v>OUTRAS RECEITASCom</v>
          </cell>
          <cell r="I308">
            <v>1</v>
          </cell>
          <cell r="J308" t="str">
            <v>Não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"/>
      <sheetName val="Resumo por empresa"/>
      <sheetName val="Resumo sem interg"/>
      <sheetName val="2026 x 2025"/>
      <sheetName val="Consol Mensal"/>
      <sheetName val="Intec mensal"/>
      <sheetName val="Farma mensal"/>
      <sheetName val="Fat detalhado"/>
      <sheetName val="Resumo pessoal"/>
      <sheetName val="Base_RH_2026"/>
      <sheetName val="Temporários Intec"/>
      <sheetName val="Temporários Farma"/>
      <sheetName val="Frete resumo"/>
      <sheetName val="Combustivel"/>
      <sheetName val="Manutenção"/>
      <sheetName val="Aluguel veiculos"/>
      <sheetName val="Pedágio"/>
      <sheetName val="Seguros Cargas"/>
      <sheetName val="Escolta"/>
      <sheetName val="Embalagens"/>
      <sheetName val="Aluguel Imoveis"/>
      <sheetName val="Energia Eletrica"/>
      <sheetName val="Indenizações"/>
      <sheetName val="TRANSFERÊNCIA"/>
      <sheetName val="DISTRIBUIÇÃO"/>
      <sheetName val="ÁEREO"/>
      <sheetName val="COLETA"/>
      <sheetName val="Seguro Predios"/>
      <sheetName val="Contratos (2)"/>
      <sheetName val="Redução"/>
      <sheetName val="Resumo Despesas Fixas"/>
      <sheetName val="Outras Despesas"/>
      <sheetName val="Investimentos"/>
      <sheetName val="FC"/>
      <sheetName val="Ind financeiros"/>
      <sheetName val="Cadast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07">
          <cell r="P107">
            <v>9310.2099999999991</v>
          </cell>
          <cell r="Q107">
            <v>9310.2099999999991</v>
          </cell>
          <cell r="R107">
            <v>9310.2099999999991</v>
          </cell>
          <cell r="S107">
            <v>9310.2099999999991</v>
          </cell>
          <cell r="T107">
            <v>9310.2099999999991</v>
          </cell>
          <cell r="U107">
            <v>9310.2099999999991</v>
          </cell>
          <cell r="V107">
            <v>9310.2099999999991</v>
          </cell>
          <cell r="W107">
            <v>9310.2099999999991</v>
          </cell>
          <cell r="X107">
            <v>9310.2099999999991</v>
          </cell>
          <cell r="Y107">
            <v>9310.2099999999991</v>
          </cell>
          <cell r="Z107">
            <v>9310.2099999999991</v>
          </cell>
          <cell r="AA107">
            <v>9310.2099999999991</v>
          </cell>
        </row>
        <row r="108">
          <cell r="P108">
            <v>7817.78</v>
          </cell>
          <cell r="Q108">
            <v>7817.78</v>
          </cell>
          <cell r="R108">
            <v>7817.78</v>
          </cell>
          <cell r="S108">
            <v>7817.78</v>
          </cell>
          <cell r="T108">
            <v>7817.78</v>
          </cell>
          <cell r="U108">
            <v>7817.78</v>
          </cell>
          <cell r="V108">
            <v>7817.78</v>
          </cell>
          <cell r="W108">
            <v>7817.78</v>
          </cell>
          <cell r="X108">
            <v>7817.78</v>
          </cell>
          <cell r="Y108">
            <v>7817.78</v>
          </cell>
          <cell r="Z108">
            <v>7817.78</v>
          </cell>
          <cell r="AA108">
            <v>7817.78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C646-7B73-4A5B-96A7-C07F85DC8503}">
  <sheetPr>
    <tabColor rgb="FF92D050"/>
    <pageSetUpPr fitToPage="1"/>
  </sheetPr>
  <dimension ref="A1:AG881"/>
  <sheetViews>
    <sheetView showGridLines="0" tabSelected="1" zoomScale="110" zoomScaleNormal="110" workbookViewId="0">
      <pane xSplit="7" ySplit="4" topLeftCell="H861" activePane="bottomRight" state="frozen"/>
      <selection pane="topRight" activeCell="H1" sqref="H1"/>
      <selection pane="bottomLeft" activeCell="A5" sqref="A5"/>
      <selection pane="bottomRight" activeCell="B4" sqref="B4"/>
    </sheetView>
  </sheetViews>
  <sheetFormatPr defaultColWidth="8.5546875" defaultRowHeight="14.4" x14ac:dyDescent="0.3"/>
  <cols>
    <col min="1" max="1" width="5.44140625" style="1" customWidth="1"/>
    <col min="2" max="2" width="10.5546875" style="16" customWidth="1"/>
    <col min="3" max="3" width="33.44140625" style="103" bestFit="1" customWidth="1"/>
    <col min="4" max="4" width="36.5546875" style="16" customWidth="1"/>
    <col min="5" max="5" width="29.44140625" style="16" customWidth="1"/>
    <col min="6" max="6" width="21.77734375" style="16" bestFit="1" customWidth="1"/>
    <col min="7" max="7" width="13" style="16" customWidth="1"/>
    <col min="8" max="8" width="17.44140625" style="16" customWidth="1"/>
    <col min="9" max="9" width="12.5546875" customWidth="1"/>
    <col min="10" max="10" width="11.5546875" customWidth="1"/>
    <col min="11" max="11" width="12.44140625" customWidth="1"/>
    <col min="12" max="12" width="11.5546875" customWidth="1"/>
    <col min="13" max="13" width="12.44140625" customWidth="1"/>
    <col min="14" max="14" width="12" customWidth="1"/>
    <col min="15" max="16" width="12.44140625" customWidth="1"/>
    <col min="17" max="18" width="12" customWidth="1"/>
    <col min="19" max="20" width="12.44140625" customWidth="1"/>
    <col min="21" max="21" width="13" customWidth="1"/>
    <col min="22" max="22" width="3.44140625" customWidth="1"/>
    <col min="23" max="23" width="15.44140625" style="30" customWidth="1"/>
    <col min="24" max="24" width="12.44140625" style="31" customWidth="1"/>
    <col min="25" max="25" width="11.5546875" style="32" customWidth="1"/>
    <col min="26" max="26" width="12.44140625" style="30" customWidth="1"/>
    <col min="27" max="27" width="16.44140625" style="30" customWidth="1"/>
    <col min="28" max="28" width="13.5546875" style="30" customWidth="1"/>
    <col min="30" max="30" width="7.5546875" style="1" customWidth="1"/>
    <col min="31" max="31" width="15" style="1" bestFit="1" customWidth="1"/>
    <col min="32" max="32" width="13" style="1" bestFit="1" customWidth="1"/>
    <col min="33" max="33" width="13" style="9" bestFit="1" customWidth="1"/>
  </cols>
  <sheetData>
    <row r="1" spans="1:33" ht="18" x14ac:dyDescent="0.35">
      <c r="B1" s="2" t="s">
        <v>0</v>
      </c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6"/>
      <c r="W1" s="6"/>
      <c r="X1" s="7"/>
      <c r="Y1" s="8"/>
      <c r="Z1"/>
      <c r="AA1"/>
      <c r="AB1"/>
    </row>
    <row r="2" spans="1:33" s="11" customFormat="1" ht="13.2" x14ac:dyDescent="0.25">
      <c r="A2" s="10"/>
      <c r="B2" s="10"/>
      <c r="C2" s="10"/>
      <c r="F2" s="12"/>
      <c r="H2" s="13"/>
      <c r="I2" s="14">
        <f>SUBTOTAL(9,I5:I879)</f>
        <v>2136216.0923097171</v>
      </c>
      <c r="J2" s="14">
        <f>SUBTOTAL(9,J5:J879)</f>
        <v>2141860.4220375777</v>
      </c>
      <c r="K2" s="14">
        <f>SUBTOTAL(9,K5:K879)</f>
        <v>2354979.7370155938</v>
      </c>
      <c r="L2" s="14">
        <f>SUBTOTAL(9,L5:L879)</f>
        <v>2281099.4448699607</v>
      </c>
      <c r="M2" s="14">
        <f>SUBTOTAL(9,M5:M879)</f>
        <v>2245518.3901966033</v>
      </c>
      <c r="N2" s="14">
        <f>SUBTOTAL(9,N5:N879)</f>
        <v>2276047.6471053539</v>
      </c>
      <c r="O2" s="14">
        <f>SUBTOTAL(9,O5:O879)</f>
        <v>2220441.1857339805</v>
      </c>
      <c r="P2" s="14">
        <f>SUBTOTAL(9,P5:P879)</f>
        <v>2206814.0072442507</v>
      </c>
      <c r="Q2" s="14">
        <f>SUBTOTAL(9,Q5:Q879)</f>
        <v>2235558.8226807355</v>
      </c>
      <c r="R2" s="14">
        <f>SUBTOTAL(9,R5:R879)</f>
        <v>2111223.6361956093</v>
      </c>
      <c r="S2" s="14">
        <f>SUBTOTAL(9,S5:S879)</f>
        <v>2065577.8045666041</v>
      </c>
      <c r="T2" s="14">
        <f>SUBTOTAL(9,T5:T879)</f>
        <v>2169842.5020703189</v>
      </c>
      <c r="U2" s="14">
        <f>SUBTOTAL(9,U5:U879)</f>
        <v>26445179.69202631</v>
      </c>
      <c r="V2" s="13"/>
      <c r="W2" s="13"/>
      <c r="X2" s="13"/>
      <c r="Y2" s="15"/>
      <c r="AA2" s="16"/>
      <c r="AD2" s="10"/>
      <c r="AE2" s="10"/>
      <c r="AF2" s="10"/>
      <c r="AG2" s="17"/>
    </row>
    <row r="3" spans="1:33" s="11" customFormat="1" ht="13.2" x14ac:dyDescent="0.25">
      <c r="A3" s="10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6"/>
      <c r="V3" s="13"/>
      <c r="W3" s="18"/>
      <c r="X3" s="18"/>
      <c r="Y3" s="15"/>
      <c r="AD3" s="10"/>
      <c r="AE3" s="10"/>
      <c r="AF3" s="10"/>
      <c r="AG3" s="17">
        <f>SUBTOTAL(9,AG5:AG145)</f>
        <v>6642637.3572415002</v>
      </c>
    </row>
    <row r="4" spans="1:33" s="26" customFormat="1" ht="33" customHeight="1" x14ac:dyDescent="0.3">
      <c r="A4" s="19"/>
      <c r="B4" s="20" t="s">
        <v>1</v>
      </c>
      <c r="C4" s="20" t="s">
        <v>2</v>
      </c>
      <c r="D4" s="20" t="s">
        <v>3</v>
      </c>
      <c r="E4" s="20" t="s">
        <v>4</v>
      </c>
      <c r="F4" s="21" t="s">
        <v>5</v>
      </c>
      <c r="G4" s="20" t="s">
        <v>6</v>
      </c>
      <c r="H4" s="20" t="s">
        <v>7</v>
      </c>
      <c r="I4" s="22">
        <v>46023</v>
      </c>
      <c r="J4" s="22">
        <v>46054</v>
      </c>
      <c r="K4" s="22">
        <v>46082</v>
      </c>
      <c r="L4" s="22">
        <v>46113</v>
      </c>
      <c r="M4" s="22">
        <v>46143</v>
      </c>
      <c r="N4" s="22">
        <v>46174</v>
      </c>
      <c r="O4" s="22">
        <v>46204</v>
      </c>
      <c r="P4" s="22">
        <v>46235</v>
      </c>
      <c r="Q4" s="22">
        <v>46266</v>
      </c>
      <c r="R4" s="22">
        <v>46296</v>
      </c>
      <c r="S4" s="22">
        <v>46327</v>
      </c>
      <c r="T4" s="22">
        <v>46357</v>
      </c>
      <c r="U4" s="20">
        <v>2026</v>
      </c>
      <c r="V4" s="23" t="s">
        <v>8</v>
      </c>
      <c r="W4" s="21" t="s">
        <v>9</v>
      </c>
      <c r="X4" s="20" t="s">
        <v>10</v>
      </c>
      <c r="Y4" s="21" t="s">
        <v>11</v>
      </c>
      <c r="Z4" s="21" t="s">
        <v>12</v>
      </c>
      <c r="AA4" s="20" t="s">
        <v>13</v>
      </c>
      <c r="AB4" s="20" t="s">
        <v>14</v>
      </c>
      <c r="AC4" s="24" t="s">
        <v>15</v>
      </c>
      <c r="AD4" s="19" t="s">
        <v>16</v>
      </c>
      <c r="AE4" s="19" t="s">
        <v>17</v>
      </c>
      <c r="AF4" s="19" t="s">
        <v>18</v>
      </c>
      <c r="AG4" s="25" t="s">
        <v>19</v>
      </c>
    </row>
    <row r="5" spans="1:33" x14ac:dyDescent="0.3">
      <c r="A5" s="1" t="s">
        <v>836</v>
      </c>
      <c r="B5" s="34" t="s">
        <v>20</v>
      </c>
      <c r="C5" s="35" t="s">
        <v>38</v>
      </c>
      <c r="D5" s="36" t="s">
        <v>39</v>
      </c>
      <c r="E5" s="36" t="s">
        <v>40</v>
      </c>
      <c r="F5" s="34" t="s">
        <v>41</v>
      </c>
      <c r="G5" s="34" t="s">
        <v>32</v>
      </c>
      <c r="H5" s="36" t="s">
        <v>42</v>
      </c>
      <c r="I5" s="37">
        <f t="shared" ref="I5:I8" si="0">IF($Y5="janeiro",$W5*(1+$AB5),$W5)</f>
        <v>68777</v>
      </c>
      <c r="J5" s="37">
        <f t="shared" ref="J5:J8" si="1">IF($Y5="fevereiro",$I5*(1+$AB5),$I5)</f>
        <v>68777</v>
      </c>
      <c r="K5" s="37">
        <f t="shared" ref="K5:K8" si="2">IF($Y5="março",$J5*(1+$AB5),$J5)</f>
        <v>68777</v>
      </c>
      <c r="L5" s="37">
        <f t="shared" ref="L5:L8" si="3">IF($Y5="abril",$K5*(1+$AB5),$K5)</f>
        <v>68777</v>
      </c>
      <c r="M5" s="37">
        <f t="shared" ref="M5:M8" si="4">IF($Y5="maio",$L5*(1+$AB5),$L5)</f>
        <v>68777</v>
      </c>
      <c r="N5" s="37">
        <f t="shared" ref="N5:N8" si="5">IF($Y5="junho",$M5*(1+$AB5),$M5)</f>
        <v>68777</v>
      </c>
      <c r="O5" s="37">
        <f t="shared" ref="O5:O8" si="6">IF($Y5="julho",$N5*(1+$AB5),$N5)</f>
        <v>68777</v>
      </c>
      <c r="P5" s="37">
        <f t="shared" ref="P5:P8" si="7">IF($Y5="agosto",$O5*(1+$AB5),$O5)</f>
        <v>68777</v>
      </c>
      <c r="Q5" s="37">
        <f t="shared" ref="Q5:Q8" si="8">IF($Y5="setembro",$P5*(1+$AB5),$P5)</f>
        <v>68777</v>
      </c>
      <c r="R5" s="37">
        <f t="shared" ref="R5:R8" si="9">IF($Y5="outubro",$Q5*(1+$AB5),$Q5)</f>
        <v>68777</v>
      </c>
      <c r="S5" s="37">
        <f>IF($Y5="novembro",$R5*(1+$AB5),$R5)</f>
        <v>68777</v>
      </c>
      <c r="T5" s="37">
        <f>IF($Y5="dezembro",$S5*(1+$AB5),$S5)</f>
        <v>68777</v>
      </c>
      <c r="U5" s="37">
        <f t="shared" ref="U5:U6" si="10">SUM(I5:T5)</f>
        <v>825324</v>
      </c>
      <c r="V5" s="6"/>
      <c r="W5" s="38">
        <v>68777</v>
      </c>
      <c r="X5" s="39">
        <v>45977</v>
      </c>
      <c r="Y5" s="40" t="s">
        <v>43</v>
      </c>
      <c r="Z5" s="40" t="s">
        <v>44</v>
      </c>
      <c r="AA5" s="40" t="s">
        <v>45</v>
      </c>
      <c r="AB5" s="41">
        <v>0</v>
      </c>
      <c r="AD5" s="42" t="str">
        <f>C5&amp;A5</f>
        <v>ALUGUEIS DE EQUIPAMENTOSOper</v>
      </c>
      <c r="AE5" s="42" t="str">
        <f>IFERROR(VLOOKUP(C5,[34]Planilha1!$B:$C,2,0),"Não se Aplica")</f>
        <v>Sim</v>
      </c>
      <c r="AF5" s="42" t="str">
        <f>VLOOKUP(AD5,[34]Planilha1!$H:$J,3,0)</f>
        <v>Sim</v>
      </c>
      <c r="AG5" s="43">
        <f t="shared" ref="AG5:AG34" si="11">IF(AF5="Sim", U5 * 0.9075, U5)</f>
        <v>748981.53</v>
      </c>
    </row>
    <row r="6" spans="1:33" x14ac:dyDescent="0.3">
      <c r="A6" s="1" t="s">
        <v>837</v>
      </c>
      <c r="B6" s="34" t="s">
        <v>20</v>
      </c>
      <c r="C6" s="35" t="s">
        <v>46</v>
      </c>
      <c r="D6" s="36" t="s">
        <v>47</v>
      </c>
      <c r="E6" s="36" t="s">
        <v>48</v>
      </c>
      <c r="F6" s="34" t="s">
        <v>49</v>
      </c>
      <c r="G6" s="34" t="s">
        <v>32</v>
      </c>
      <c r="H6" s="36" t="s">
        <v>50</v>
      </c>
      <c r="I6" s="37">
        <f t="shared" si="0"/>
        <v>28932.7</v>
      </c>
      <c r="J6" s="37">
        <f t="shared" si="1"/>
        <v>28932.7</v>
      </c>
      <c r="K6" s="37">
        <f t="shared" si="2"/>
        <v>28932.7</v>
      </c>
      <c r="L6" s="37">
        <f t="shared" si="3"/>
        <v>28932.7</v>
      </c>
      <c r="M6" s="37">
        <f t="shared" si="4"/>
        <v>28932.7</v>
      </c>
      <c r="N6" s="37">
        <f t="shared" si="5"/>
        <v>28932.7</v>
      </c>
      <c r="O6" s="37">
        <f t="shared" si="6"/>
        <v>28932.7</v>
      </c>
      <c r="P6" s="37">
        <f t="shared" si="7"/>
        <v>28932.7</v>
      </c>
      <c r="Q6" s="37">
        <f t="shared" si="8"/>
        <v>28932.7</v>
      </c>
      <c r="R6" s="37">
        <f t="shared" si="9"/>
        <v>28932.7</v>
      </c>
      <c r="S6" s="37"/>
      <c r="T6" s="37"/>
      <c r="U6" s="37">
        <f t="shared" si="10"/>
        <v>289327.00000000006</v>
      </c>
      <c r="V6" s="6"/>
      <c r="W6" s="38">
        <v>28932.7</v>
      </c>
      <c r="X6" s="39"/>
      <c r="Y6" s="40" t="s">
        <v>51</v>
      </c>
      <c r="Z6" s="40"/>
      <c r="AA6" s="40" t="s">
        <v>45</v>
      </c>
      <c r="AB6" s="41">
        <v>0</v>
      </c>
      <c r="AD6" s="42" t="str">
        <f>C6&amp;A6</f>
        <v>MANUTEN. SISTEMAS  INFORMATICAAdm</v>
      </c>
      <c r="AE6" s="42" t="str">
        <f>IFERROR(VLOOKUP(C6,[34]Planilha1!$B:$C,2,0),"Não se Aplica")</f>
        <v>Sim</v>
      </c>
      <c r="AF6" s="42" t="str">
        <f>VLOOKUP(AD6,[34]Planilha1!$H:$J,3,0)</f>
        <v>Sim</v>
      </c>
      <c r="AG6" s="43">
        <f t="shared" si="11"/>
        <v>262564.25250000006</v>
      </c>
    </row>
    <row r="7" spans="1:33" x14ac:dyDescent="0.3">
      <c r="A7" s="1" t="s">
        <v>836</v>
      </c>
      <c r="B7" s="34" t="s">
        <v>20</v>
      </c>
      <c r="C7" s="35" t="s">
        <v>57</v>
      </c>
      <c r="D7" s="36" t="s">
        <v>58</v>
      </c>
      <c r="E7" s="36" t="s">
        <v>59</v>
      </c>
      <c r="F7" s="34" t="s">
        <v>60</v>
      </c>
      <c r="G7" s="34" t="s">
        <v>32</v>
      </c>
      <c r="H7" s="36" t="s">
        <v>61</v>
      </c>
      <c r="I7" s="37">
        <f t="shared" si="0"/>
        <v>1011.9235000000001</v>
      </c>
      <c r="J7" s="37">
        <f t="shared" si="1"/>
        <v>1011.9235000000001</v>
      </c>
      <c r="K7" s="37">
        <f t="shared" si="2"/>
        <v>1011.9235000000001</v>
      </c>
      <c r="L7" s="37">
        <f t="shared" si="3"/>
        <v>1011.9235000000001</v>
      </c>
      <c r="M7" s="37">
        <f t="shared" si="4"/>
        <v>1011.9235000000001</v>
      </c>
      <c r="N7" s="37">
        <f t="shared" si="5"/>
        <v>1011.9235000000001</v>
      </c>
      <c r="O7" s="37">
        <f t="shared" si="6"/>
        <v>1011.9235000000001</v>
      </c>
      <c r="P7" s="37">
        <f t="shared" si="7"/>
        <v>1011.9235000000001</v>
      </c>
      <c r="Q7" s="37">
        <f t="shared" si="8"/>
        <v>1011.9235000000001</v>
      </c>
      <c r="R7" s="37">
        <f t="shared" si="9"/>
        <v>1011.9235000000001</v>
      </c>
      <c r="S7" s="37">
        <f>IF($Y7="novembro",$R7*(1+$AB7),$R7)</f>
        <v>1011.9235000000001</v>
      </c>
      <c r="T7" s="37">
        <f>IF($Y7="dezembro",$S7*(1+$AB7),$S7)</f>
        <v>1011.9235000000001</v>
      </c>
      <c r="U7" s="37">
        <f t="shared" ref="U7:U36" si="12">SUM(I7:T7)</f>
        <v>12143.082000000002</v>
      </c>
      <c r="V7" s="6"/>
      <c r="W7" s="38">
        <f>1964.9/2</f>
        <v>982.45</v>
      </c>
      <c r="X7" s="39">
        <v>46022</v>
      </c>
      <c r="Y7" s="40" t="s">
        <v>51</v>
      </c>
      <c r="Z7" s="40" t="s">
        <v>44</v>
      </c>
      <c r="AA7" s="40" t="s">
        <v>45</v>
      </c>
      <c r="AB7" s="41">
        <v>0.03</v>
      </c>
      <c r="AD7" s="42" t="str">
        <f>C7&amp;A7</f>
        <v>AUDITORIA/CONSULTORIAOper</v>
      </c>
      <c r="AE7" s="42" t="str">
        <f>IFERROR(VLOOKUP(C7,[34]Planilha1!$B:$C,2,0),"Não se Aplica")</f>
        <v>Sim</v>
      </c>
      <c r="AF7" s="42" t="str">
        <f>VLOOKUP(AD7,[34]Planilha1!$H:$J,3,0)</f>
        <v>Não</v>
      </c>
      <c r="AG7" s="43">
        <f t="shared" si="11"/>
        <v>12143.082000000002</v>
      </c>
    </row>
    <row r="8" spans="1:33" x14ac:dyDescent="0.3">
      <c r="A8" s="1" t="s">
        <v>836</v>
      </c>
      <c r="B8" s="34" t="s">
        <v>20</v>
      </c>
      <c r="C8" s="35" t="s">
        <v>57</v>
      </c>
      <c r="D8" s="36" t="s">
        <v>58</v>
      </c>
      <c r="E8" s="36" t="s">
        <v>59</v>
      </c>
      <c r="F8" s="34" t="s">
        <v>60</v>
      </c>
      <c r="G8" s="34" t="s">
        <v>22</v>
      </c>
      <c r="H8" s="36" t="s">
        <v>61</v>
      </c>
      <c r="I8" s="37">
        <f t="shared" si="0"/>
        <v>2550</v>
      </c>
      <c r="J8" s="37">
        <f t="shared" si="1"/>
        <v>2550</v>
      </c>
      <c r="K8" s="37">
        <f t="shared" si="2"/>
        <v>2550</v>
      </c>
      <c r="L8" s="37">
        <f t="shared" si="3"/>
        <v>2550</v>
      </c>
      <c r="M8" s="37">
        <f t="shared" si="4"/>
        <v>2626.5</v>
      </c>
      <c r="N8" s="37">
        <f t="shared" si="5"/>
        <v>2626.5</v>
      </c>
      <c r="O8" s="37">
        <f t="shared" si="6"/>
        <v>2626.5</v>
      </c>
      <c r="P8" s="37">
        <f t="shared" si="7"/>
        <v>2626.5</v>
      </c>
      <c r="Q8" s="37">
        <f t="shared" si="8"/>
        <v>2626.5</v>
      </c>
      <c r="R8" s="37">
        <f t="shared" si="9"/>
        <v>2626.5</v>
      </c>
      <c r="S8" s="37">
        <f>IF($Y8="novembro",$R8*(1+$AB8),$R8)</f>
        <v>2626.5</v>
      </c>
      <c r="T8" s="37">
        <f>IF($Y8="dezembro",$S8*(1+$AB8),$S8)</f>
        <v>2626.5</v>
      </c>
      <c r="U8" s="37">
        <f t="shared" si="12"/>
        <v>31212</v>
      </c>
      <c r="V8" s="6"/>
      <c r="W8" s="38">
        <v>2550</v>
      </c>
      <c r="X8" s="39">
        <v>46142</v>
      </c>
      <c r="Y8" s="40" t="s">
        <v>62</v>
      </c>
      <c r="Z8" s="40" t="s">
        <v>44</v>
      </c>
      <c r="AA8" s="40" t="s">
        <v>45</v>
      </c>
      <c r="AB8" s="41">
        <v>0.03</v>
      </c>
      <c r="AD8" s="42" t="str">
        <f>C8&amp;A8</f>
        <v>AUDITORIA/CONSULTORIAOper</v>
      </c>
      <c r="AE8" s="42" t="str">
        <f>IFERROR(VLOOKUP(C8,[34]Planilha1!$B:$C,2,0),"Não se Aplica")</f>
        <v>Sim</v>
      </c>
      <c r="AF8" s="42" t="str">
        <f>VLOOKUP(AD8,[34]Planilha1!$H:$J,3,0)</f>
        <v>Não</v>
      </c>
      <c r="AG8" s="43">
        <f t="shared" si="11"/>
        <v>31212</v>
      </c>
    </row>
    <row r="9" spans="1:33" x14ac:dyDescent="0.3">
      <c r="A9" s="44" t="s">
        <v>836</v>
      </c>
      <c r="B9" s="45" t="s">
        <v>28</v>
      </c>
      <c r="C9" s="52" t="s">
        <v>66</v>
      </c>
      <c r="D9" s="53" t="s">
        <v>67</v>
      </c>
      <c r="E9" s="54" t="s">
        <v>68</v>
      </c>
      <c r="F9" s="28" t="s">
        <v>52</v>
      </c>
      <c r="G9" s="45" t="s">
        <v>32</v>
      </c>
      <c r="H9" s="53" t="s">
        <v>53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f t="shared" si="12"/>
        <v>0</v>
      </c>
      <c r="V9" s="55"/>
      <c r="W9" s="47"/>
      <c r="X9" s="56"/>
      <c r="Y9" s="57"/>
      <c r="Z9" s="47"/>
      <c r="AA9" s="47"/>
      <c r="AB9" s="47"/>
      <c r="AD9" s="42" t="str">
        <f>C9&amp;A9</f>
        <v>MATERIAL PROCES. DADOSOper</v>
      </c>
      <c r="AE9" s="42" t="str">
        <f>IFERROR(VLOOKUP(C9,[34]Planilha1!$B:$C,2,0),"Não se Aplica")</f>
        <v>Sim</v>
      </c>
      <c r="AF9" s="42" t="str">
        <f>VLOOKUP(AD9,[34]Planilha1!$H:$J,3,0)</f>
        <v>Sim</v>
      </c>
      <c r="AG9" s="43">
        <f t="shared" si="11"/>
        <v>0</v>
      </c>
    </row>
    <row r="10" spans="1:33" x14ac:dyDescent="0.3">
      <c r="A10" s="1" t="s">
        <v>837</v>
      </c>
      <c r="B10" s="34" t="s">
        <v>28</v>
      </c>
      <c r="C10" s="35" t="s">
        <v>69</v>
      </c>
      <c r="D10" s="34" t="s">
        <v>70</v>
      </c>
      <c r="E10" s="36" t="s">
        <v>71</v>
      </c>
      <c r="F10" s="34" t="s">
        <v>49</v>
      </c>
      <c r="G10" s="34" t="s">
        <v>32</v>
      </c>
      <c r="H10" s="34" t="s">
        <v>50</v>
      </c>
      <c r="I10" s="37">
        <v>25000</v>
      </c>
      <c r="J10" s="37">
        <v>25000</v>
      </c>
      <c r="K10" s="37">
        <v>25000</v>
      </c>
      <c r="L10" s="37">
        <v>25000</v>
      </c>
      <c r="M10" s="37">
        <v>25000</v>
      </c>
      <c r="N10" s="37">
        <v>25000</v>
      </c>
      <c r="O10" s="37">
        <v>25000</v>
      </c>
      <c r="P10" s="37"/>
      <c r="Q10" s="37"/>
      <c r="R10" s="37"/>
      <c r="S10" s="37"/>
      <c r="T10" s="37"/>
      <c r="U10" s="37">
        <f t="shared" si="12"/>
        <v>175000</v>
      </c>
      <c r="V10" s="6"/>
      <c r="W10" s="51"/>
      <c r="X10" s="39"/>
      <c r="Y10" s="40"/>
      <c r="Z10" s="40"/>
      <c r="AA10" s="40"/>
      <c r="AB10" s="41"/>
      <c r="AD10" s="42" t="str">
        <f>C10&amp;A10</f>
        <v>ASSESSORIA E SERVICO INFORMATICAAdm</v>
      </c>
      <c r="AE10" s="42" t="str">
        <f>IFERROR(VLOOKUP(C10,[34]Planilha1!$B:$C,2,0),"Não se Aplica")</f>
        <v>Sim</v>
      </c>
      <c r="AF10" s="42" t="str">
        <f>VLOOKUP(AD10,[34]Planilha1!$H:$J,3,0)</f>
        <v>Não</v>
      </c>
      <c r="AG10" s="43">
        <f t="shared" si="11"/>
        <v>175000</v>
      </c>
    </row>
    <row r="11" spans="1:33" x14ac:dyDescent="0.3">
      <c r="A11" s="44" t="s">
        <v>837</v>
      </c>
      <c r="B11" s="45" t="s">
        <v>20</v>
      </c>
      <c r="C11" s="52" t="s">
        <v>72</v>
      </c>
      <c r="D11" s="53" t="s">
        <v>73</v>
      </c>
      <c r="E11" s="54" t="s">
        <v>68</v>
      </c>
      <c r="F11" s="53" t="s">
        <v>49</v>
      </c>
      <c r="G11" s="45" t="s">
        <v>32</v>
      </c>
      <c r="H11" s="53" t="s">
        <v>50</v>
      </c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>
        <f t="shared" si="12"/>
        <v>0</v>
      </c>
      <c r="V11" s="55"/>
      <c r="W11" s="47"/>
      <c r="X11" s="56"/>
      <c r="Y11" s="57"/>
      <c r="Z11" s="47"/>
      <c r="AA11" s="47"/>
      <c r="AB11" s="47"/>
      <c r="AD11" s="42" t="str">
        <f>C11&amp;A11</f>
        <v>MANUT. EQUP. INFORMATICAAdm</v>
      </c>
      <c r="AE11" s="42" t="str">
        <f>IFERROR(VLOOKUP(C11,[34]Planilha1!$B:$C,2,0),"Não se Aplica")</f>
        <v>Sim</v>
      </c>
      <c r="AF11" s="42" t="str">
        <f>VLOOKUP(AD11,[34]Planilha1!$H:$J,3,0)</f>
        <v>Sim</v>
      </c>
      <c r="AG11" s="43">
        <f t="shared" si="11"/>
        <v>0</v>
      </c>
    </row>
    <row r="12" spans="1:33" x14ac:dyDescent="0.3">
      <c r="A12" s="44" t="s">
        <v>837</v>
      </c>
      <c r="B12" s="45" t="s">
        <v>20</v>
      </c>
      <c r="C12" s="52" t="s">
        <v>72</v>
      </c>
      <c r="D12" s="53" t="s">
        <v>74</v>
      </c>
      <c r="E12" s="54" t="s">
        <v>68</v>
      </c>
      <c r="F12" s="53" t="s">
        <v>49</v>
      </c>
      <c r="G12" s="45" t="s">
        <v>32</v>
      </c>
      <c r="H12" s="53" t="s">
        <v>50</v>
      </c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>
        <f t="shared" si="12"/>
        <v>0</v>
      </c>
      <c r="V12" s="55"/>
      <c r="W12" s="47"/>
      <c r="X12" s="56"/>
      <c r="Y12" s="57"/>
      <c r="Z12" s="47"/>
      <c r="AA12" s="47"/>
      <c r="AB12" s="47"/>
      <c r="AD12" s="42" t="str">
        <f>C12&amp;A12</f>
        <v>MANUT. EQUP. INFORMATICAAdm</v>
      </c>
      <c r="AE12" s="42" t="str">
        <f>IFERROR(VLOOKUP(C12,[34]Planilha1!$B:$C,2,0),"Não se Aplica")</f>
        <v>Sim</v>
      </c>
      <c r="AF12" s="42" t="str">
        <f>VLOOKUP(AD12,[34]Planilha1!$H:$J,3,0)</f>
        <v>Sim</v>
      </c>
      <c r="AG12" s="43">
        <f t="shared" si="11"/>
        <v>0</v>
      </c>
    </row>
    <row r="13" spans="1:33" x14ac:dyDescent="0.3">
      <c r="A13" s="44" t="s">
        <v>837</v>
      </c>
      <c r="B13" s="45" t="s">
        <v>20</v>
      </c>
      <c r="C13" s="52" t="s">
        <v>72</v>
      </c>
      <c r="D13" s="53" t="s">
        <v>75</v>
      </c>
      <c r="E13" s="54" t="s">
        <v>68</v>
      </c>
      <c r="F13" s="53" t="s">
        <v>49</v>
      </c>
      <c r="G13" s="45" t="s">
        <v>32</v>
      </c>
      <c r="H13" s="53" t="s">
        <v>50</v>
      </c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>
        <f t="shared" si="12"/>
        <v>0</v>
      </c>
      <c r="V13" s="55"/>
      <c r="W13" s="47"/>
      <c r="X13" s="56"/>
      <c r="Y13" s="57"/>
      <c r="Z13" s="47"/>
      <c r="AA13" s="47"/>
      <c r="AB13" s="47"/>
      <c r="AD13" s="42" t="str">
        <f>C13&amp;A13</f>
        <v>MANUT. EQUP. INFORMATICAAdm</v>
      </c>
      <c r="AE13" s="42" t="str">
        <f>IFERROR(VLOOKUP(C13,[34]Planilha1!$B:$C,2,0),"Não se Aplica")</f>
        <v>Sim</v>
      </c>
      <c r="AF13" s="42" t="str">
        <f>VLOOKUP(AD13,[34]Planilha1!$H:$J,3,0)</f>
        <v>Sim</v>
      </c>
      <c r="AG13" s="43">
        <f t="shared" si="11"/>
        <v>0</v>
      </c>
    </row>
    <row r="14" spans="1:33" x14ac:dyDescent="0.3">
      <c r="A14" s="1" t="s">
        <v>838</v>
      </c>
      <c r="B14" s="34" t="s">
        <v>20</v>
      </c>
      <c r="C14" s="35" t="s">
        <v>46</v>
      </c>
      <c r="D14" s="34"/>
      <c r="E14" s="36" t="s">
        <v>76</v>
      </c>
      <c r="F14" s="34" t="s">
        <v>77</v>
      </c>
      <c r="G14" s="34" t="s">
        <v>32</v>
      </c>
      <c r="H14" s="34" t="s">
        <v>78</v>
      </c>
      <c r="I14" s="37"/>
      <c r="J14" s="37"/>
      <c r="K14" s="37">
        <v>32000</v>
      </c>
      <c r="L14" s="37"/>
      <c r="M14" s="37"/>
      <c r="N14" s="37">
        <v>32000</v>
      </c>
      <c r="O14" s="37"/>
      <c r="P14" s="37"/>
      <c r="Q14" s="37">
        <v>32000</v>
      </c>
      <c r="R14" s="37"/>
      <c r="S14" s="37"/>
      <c r="T14" s="37"/>
      <c r="U14" s="37">
        <f t="shared" si="12"/>
        <v>96000</v>
      </c>
      <c r="W14" s="51">
        <v>38000</v>
      </c>
      <c r="X14" s="39"/>
      <c r="Y14" s="40"/>
      <c r="Z14" s="40"/>
      <c r="AA14" s="40" t="s">
        <v>45</v>
      </c>
      <c r="AB14" s="41">
        <v>0</v>
      </c>
      <c r="AD14" s="42" t="str">
        <f>C14&amp;A14</f>
        <v>MANUTEN. SISTEMAS  INFORMATICACom</v>
      </c>
      <c r="AE14" s="42" t="str">
        <f>IFERROR(VLOOKUP(C14,[34]Planilha1!$B:$C,2,0),"Não se Aplica")</f>
        <v>Sim</v>
      </c>
      <c r="AF14" s="42" t="str">
        <f>VLOOKUP(AD14,[34]Planilha1!$H:$J,3,0)</f>
        <v>Sim</v>
      </c>
      <c r="AG14" s="43">
        <f t="shared" si="11"/>
        <v>87120</v>
      </c>
    </row>
    <row r="15" spans="1:33" x14ac:dyDescent="0.3">
      <c r="A15" s="1" t="s">
        <v>838</v>
      </c>
      <c r="B15" s="34" t="s">
        <v>20</v>
      </c>
      <c r="C15" s="35" t="s">
        <v>79</v>
      </c>
      <c r="D15" s="34" t="s">
        <v>80</v>
      </c>
      <c r="E15" s="36" t="s">
        <v>81</v>
      </c>
      <c r="F15" s="34" t="s">
        <v>77</v>
      </c>
      <c r="G15" s="34" t="s">
        <v>32</v>
      </c>
      <c r="H15" s="34" t="s">
        <v>78</v>
      </c>
      <c r="I15" s="37">
        <f t="shared" ref="I15:I34" si="13">IF($Y15="janeiro",$W15*(1+$AB15),$W15)</f>
        <v>0</v>
      </c>
      <c r="J15" s="37">
        <f t="shared" ref="J15:J34" si="14">IF($Y15="fevereiro",$I15*(1+$AB15),$I15)</f>
        <v>0</v>
      </c>
      <c r="K15" s="37">
        <f t="shared" ref="K15:K34" si="15">IF($Y15="março",$J15*(1+$AB15),$J15)</f>
        <v>0</v>
      </c>
      <c r="L15" s="37">
        <f t="shared" ref="L15:L34" si="16">IF($Y15="abril",$K15*(1+$AB15),$K15)</f>
        <v>0</v>
      </c>
      <c r="M15" s="37">
        <f t="shared" ref="M15:M34" si="17">IF($Y15="maio",$L15*(1+$AB15),$L15)</f>
        <v>0</v>
      </c>
      <c r="N15" s="37">
        <f t="shared" ref="N15:N34" si="18">IF($Y15="junho",$M15*(1+$AB15),$M15)</f>
        <v>0</v>
      </c>
      <c r="O15" s="37">
        <f t="shared" ref="O15:O34" si="19">IF($Y15="julho",$N15*(1+$AB15),$N15)</f>
        <v>0</v>
      </c>
      <c r="P15" s="37">
        <f t="shared" ref="P15:P34" si="20">IF($Y15="agosto",$O15*(1+$AB15),$O15)</f>
        <v>0</v>
      </c>
      <c r="Q15" s="37">
        <f t="shared" ref="Q15:Q34" si="21">IF($Y15="setembro",$P15*(1+$AB15),$P15)</f>
        <v>0</v>
      </c>
      <c r="R15" s="37">
        <f t="shared" ref="R15:R34" si="22">IF($Y15="outubro",$Q15*(1+$AB15),$Q15)</f>
        <v>0</v>
      </c>
      <c r="S15" s="37">
        <f t="shared" ref="S15:S34" si="23">IF($Y15="novembro",$R15*(1+$AB15),$R15)</f>
        <v>0</v>
      </c>
      <c r="T15" s="37">
        <f t="shared" ref="T15:T34" si="24">IF($Y15="dezembro",$S15*(1+$AB15),$S15)</f>
        <v>0</v>
      </c>
      <c r="U15" s="37">
        <f t="shared" si="12"/>
        <v>0</v>
      </c>
      <c r="W15" s="51">
        <v>0</v>
      </c>
      <c r="X15" s="39">
        <v>46082</v>
      </c>
      <c r="Y15" s="40" t="s">
        <v>82</v>
      </c>
      <c r="Z15" s="40" t="s">
        <v>44</v>
      </c>
      <c r="AA15" s="40" t="s">
        <v>45</v>
      </c>
      <c r="AB15" s="41">
        <v>0.03</v>
      </c>
      <c r="AD15" s="42" t="str">
        <f>C15&amp;A15</f>
        <v>PUBLICIDADE E PROPAGANDACom</v>
      </c>
      <c r="AE15" s="42" t="str">
        <f>IFERROR(VLOOKUP(C15,[34]Planilha1!$B:$C,2,0),"Não se Aplica")</f>
        <v>Sim</v>
      </c>
      <c r="AF15" s="42" t="str">
        <f>VLOOKUP(AD15,[34]Planilha1!$H:$J,3,0)</f>
        <v>Não</v>
      </c>
      <c r="AG15" s="43">
        <f t="shared" si="11"/>
        <v>0</v>
      </c>
    </row>
    <row r="16" spans="1:33" x14ac:dyDescent="0.3">
      <c r="A16" s="1" t="s">
        <v>836</v>
      </c>
      <c r="B16" s="34" t="s">
        <v>20</v>
      </c>
      <c r="C16" s="35" t="s">
        <v>46</v>
      </c>
      <c r="D16" s="34" t="s">
        <v>83</v>
      </c>
      <c r="E16" s="36" t="s">
        <v>84</v>
      </c>
      <c r="F16" s="34" t="s">
        <v>23</v>
      </c>
      <c r="G16" s="34" t="s">
        <v>32</v>
      </c>
      <c r="H16" s="34" t="s">
        <v>85</v>
      </c>
      <c r="I16" s="37">
        <f t="shared" si="13"/>
        <v>420</v>
      </c>
      <c r="J16" s="37">
        <f t="shared" si="14"/>
        <v>420</v>
      </c>
      <c r="K16" s="37">
        <f t="shared" si="15"/>
        <v>432.6</v>
      </c>
      <c r="L16" s="37">
        <f t="shared" si="16"/>
        <v>432.6</v>
      </c>
      <c r="M16" s="37">
        <f t="shared" si="17"/>
        <v>432.6</v>
      </c>
      <c r="N16" s="37">
        <f t="shared" si="18"/>
        <v>432.6</v>
      </c>
      <c r="O16" s="37">
        <f t="shared" si="19"/>
        <v>432.6</v>
      </c>
      <c r="P16" s="37">
        <f t="shared" si="20"/>
        <v>432.6</v>
      </c>
      <c r="Q16" s="37">
        <f t="shared" si="21"/>
        <v>432.6</v>
      </c>
      <c r="R16" s="37">
        <f t="shared" si="22"/>
        <v>432.6</v>
      </c>
      <c r="S16" s="37">
        <f t="shared" si="23"/>
        <v>432.6</v>
      </c>
      <c r="T16" s="37">
        <f t="shared" si="24"/>
        <v>432.6</v>
      </c>
      <c r="U16" s="37">
        <f t="shared" si="12"/>
        <v>5166</v>
      </c>
      <c r="W16" s="51">
        <v>420</v>
      </c>
      <c r="X16" s="39">
        <v>46120</v>
      </c>
      <c r="Y16" s="40" t="s">
        <v>86</v>
      </c>
      <c r="Z16" s="40"/>
      <c r="AA16" s="40" t="s">
        <v>45</v>
      </c>
      <c r="AB16" s="41">
        <v>0.03</v>
      </c>
      <c r="AD16" s="42" t="str">
        <f>C16&amp;A16</f>
        <v>MANUTEN. SISTEMAS  INFORMATICAOper</v>
      </c>
      <c r="AE16" s="42" t="str">
        <f>IFERROR(VLOOKUP(C16,[34]Planilha1!$B:$C,2,0),"Não se Aplica")</f>
        <v>Sim</v>
      </c>
      <c r="AF16" s="42" t="str">
        <f>VLOOKUP(AD16,[34]Planilha1!$H:$J,3,0)</f>
        <v>Sim</v>
      </c>
      <c r="AG16" s="43">
        <f t="shared" si="11"/>
        <v>4688.1449999999995</v>
      </c>
    </row>
    <row r="17" spans="1:33" x14ac:dyDescent="0.3">
      <c r="A17" s="1" t="s">
        <v>836</v>
      </c>
      <c r="B17" s="34" t="s">
        <v>28</v>
      </c>
      <c r="C17" s="35" t="s">
        <v>87</v>
      </c>
      <c r="D17" s="34" t="s">
        <v>88</v>
      </c>
      <c r="E17" s="36" t="s">
        <v>89</v>
      </c>
      <c r="F17" s="34" t="s">
        <v>23</v>
      </c>
      <c r="G17" s="34" t="s">
        <v>90</v>
      </c>
      <c r="H17" s="34" t="s">
        <v>85</v>
      </c>
      <c r="I17" s="37">
        <f t="shared" si="13"/>
        <v>5643</v>
      </c>
      <c r="J17" s="37">
        <f t="shared" si="14"/>
        <v>5643</v>
      </c>
      <c r="K17" s="37">
        <f t="shared" si="15"/>
        <v>5812.29</v>
      </c>
      <c r="L17" s="37">
        <f t="shared" si="16"/>
        <v>5812.29</v>
      </c>
      <c r="M17" s="37">
        <f t="shared" si="17"/>
        <v>5812.29</v>
      </c>
      <c r="N17" s="37">
        <f t="shared" si="18"/>
        <v>5812.29</v>
      </c>
      <c r="O17" s="37">
        <f t="shared" si="19"/>
        <v>5812.29</v>
      </c>
      <c r="P17" s="37">
        <f t="shared" si="20"/>
        <v>5812.29</v>
      </c>
      <c r="Q17" s="37">
        <f t="shared" si="21"/>
        <v>5812.29</v>
      </c>
      <c r="R17" s="37">
        <f t="shared" si="22"/>
        <v>5812.29</v>
      </c>
      <c r="S17" s="37">
        <f t="shared" si="23"/>
        <v>5812.29</v>
      </c>
      <c r="T17" s="37">
        <f t="shared" si="24"/>
        <v>5812.29</v>
      </c>
      <c r="U17" s="37">
        <f t="shared" si="12"/>
        <v>69408.900000000009</v>
      </c>
      <c r="W17" s="51">
        <v>5643</v>
      </c>
      <c r="X17" s="39">
        <v>46113</v>
      </c>
      <c r="Y17" s="40" t="s">
        <v>86</v>
      </c>
      <c r="Z17" s="40"/>
      <c r="AA17" s="40" t="s">
        <v>45</v>
      </c>
      <c r="AB17" s="41">
        <v>0.03</v>
      </c>
      <c r="AD17" s="42" t="str">
        <f>C17&amp;A17</f>
        <v>LIMPEZAOper</v>
      </c>
      <c r="AE17" s="42" t="str">
        <f>IFERROR(VLOOKUP(C17,[34]Planilha1!$B:$C,2,0),"Não se Aplica")</f>
        <v>Sim</v>
      </c>
      <c r="AF17" s="42" t="str">
        <f>VLOOKUP(AD17,[34]Planilha1!$H:$J,3,0)</f>
        <v>Sim</v>
      </c>
      <c r="AG17" s="43">
        <f t="shared" si="11"/>
        <v>62988.576750000007</v>
      </c>
    </row>
    <row r="18" spans="1:33" x14ac:dyDescent="0.3">
      <c r="A18" s="1" t="s">
        <v>836</v>
      </c>
      <c r="B18" s="34" t="s">
        <v>28</v>
      </c>
      <c r="C18" s="35" t="s">
        <v>87</v>
      </c>
      <c r="D18" s="34" t="s">
        <v>88</v>
      </c>
      <c r="E18" s="36" t="s">
        <v>91</v>
      </c>
      <c r="F18" s="34" t="s">
        <v>23</v>
      </c>
      <c r="G18" s="34" t="s">
        <v>30</v>
      </c>
      <c r="H18" s="34" t="s">
        <v>85</v>
      </c>
      <c r="I18" s="37">
        <f t="shared" si="13"/>
        <v>5400</v>
      </c>
      <c r="J18" s="37">
        <f t="shared" si="14"/>
        <v>5400</v>
      </c>
      <c r="K18" s="37">
        <f t="shared" si="15"/>
        <v>5562</v>
      </c>
      <c r="L18" s="37">
        <f t="shared" si="16"/>
        <v>5562</v>
      </c>
      <c r="M18" s="37">
        <f t="shared" si="17"/>
        <v>5562</v>
      </c>
      <c r="N18" s="37">
        <f t="shared" si="18"/>
        <v>5562</v>
      </c>
      <c r="O18" s="37">
        <f t="shared" si="19"/>
        <v>5562</v>
      </c>
      <c r="P18" s="37">
        <f t="shared" si="20"/>
        <v>5562</v>
      </c>
      <c r="Q18" s="37">
        <f t="shared" si="21"/>
        <v>5562</v>
      </c>
      <c r="R18" s="37">
        <f t="shared" si="22"/>
        <v>5562</v>
      </c>
      <c r="S18" s="37">
        <f t="shared" si="23"/>
        <v>5562</v>
      </c>
      <c r="T18" s="37">
        <f t="shared" si="24"/>
        <v>5562</v>
      </c>
      <c r="U18" s="37">
        <f t="shared" si="12"/>
        <v>66420</v>
      </c>
      <c r="W18" s="51">
        <v>5400</v>
      </c>
      <c r="X18" s="39">
        <v>46115</v>
      </c>
      <c r="Y18" s="40" t="s">
        <v>86</v>
      </c>
      <c r="Z18" s="40" t="s">
        <v>92</v>
      </c>
      <c r="AA18" s="40" t="s">
        <v>45</v>
      </c>
      <c r="AB18" s="41">
        <v>0.03</v>
      </c>
      <c r="AD18" s="42" t="str">
        <f>C18&amp;A18</f>
        <v>LIMPEZAOper</v>
      </c>
      <c r="AE18" s="42" t="str">
        <f>IFERROR(VLOOKUP(C18,[34]Planilha1!$B:$C,2,0),"Não se Aplica")</f>
        <v>Sim</v>
      </c>
      <c r="AF18" s="42" t="str">
        <f>VLOOKUP(AD18,[34]Planilha1!$H:$J,3,0)</f>
        <v>Sim</v>
      </c>
      <c r="AG18" s="43">
        <f t="shared" si="11"/>
        <v>60276.15</v>
      </c>
    </row>
    <row r="19" spans="1:33" x14ac:dyDescent="0.3">
      <c r="A19" s="1" t="s">
        <v>836</v>
      </c>
      <c r="B19" s="34" t="s">
        <v>28</v>
      </c>
      <c r="C19" s="35" t="s">
        <v>87</v>
      </c>
      <c r="D19" s="34" t="s">
        <v>88</v>
      </c>
      <c r="E19" s="36" t="s">
        <v>93</v>
      </c>
      <c r="F19" s="34" t="s">
        <v>23</v>
      </c>
      <c r="G19" s="34" t="s">
        <v>33</v>
      </c>
      <c r="H19" s="34" t="s">
        <v>85</v>
      </c>
      <c r="I19" s="37">
        <f t="shared" si="13"/>
        <v>5756.78</v>
      </c>
      <c r="J19" s="37">
        <f t="shared" si="14"/>
        <v>5929.4834000000001</v>
      </c>
      <c r="K19" s="37">
        <f t="shared" si="15"/>
        <v>5929.4834000000001</v>
      </c>
      <c r="L19" s="37">
        <f t="shared" si="16"/>
        <v>5929.4834000000001</v>
      </c>
      <c r="M19" s="37">
        <f t="shared" si="17"/>
        <v>5929.4834000000001</v>
      </c>
      <c r="N19" s="37">
        <f t="shared" si="18"/>
        <v>5929.4834000000001</v>
      </c>
      <c r="O19" s="37">
        <f t="shared" si="19"/>
        <v>5929.4834000000001</v>
      </c>
      <c r="P19" s="37">
        <f t="shared" si="20"/>
        <v>5929.4834000000001</v>
      </c>
      <c r="Q19" s="37">
        <f t="shared" si="21"/>
        <v>5929.4834000000001</v>
      </c>
      <c r="R19" s="37">
        <f t="shared" si="22"/>
        <v>5929.4834000000001</v>
      </c>
      <c r="S19" s="37">
        <f t="shared" si="23"/>
        <v>5929.4834000000001</v>
      </c>
      <c r="T19" s="37">
        <f t="shared" si="24"/>
        <v>5929.4834000000001</v>
      </c>
      <c r="U19" s="37">
        <f t="shared" si="12"/>
        <v>70981.097399999984</v>
      </c>
      <c r="W19" s="51">
        <v>5756.78</v>
      </c>
      <c r="X19" s="39">
        <v>45717</v>
      </c>
      <c r="Y19" s="40" t="s">
        <v>82</v>
      </c>
      <c r="Z19" s="40" t="s">
        <v>92</v>
      </c>
      <c r="AA19" s="40" t="s">
        <v>45</v>
      </c>
      <c r="AB19" s="41">
        <v>0.03</v>
      </c>
      <c r="AD19" s="42" t="str">
        <f>C19&amp;A19</f>
        <v>LIMPEZAOper</v>
      </c>
      <c r="AE19" s="42" t="str">
        <f>IFERROR(VLOOKUP(C19,[34]Planilha1!$B:$C,2,0),"Não se Aplica")</f>
        <v>Sim</v>
      </c>
      <c r="AF19" s="42" t="str">
        <f>VLOOKUP(AD19,[34]Planilha1!$H:$J,3,0)</f>
        <v>Sim</v>
      </c>
      <c r="AG19" s="43">
        <f t="shared" si="11"/>
        <v>64415.345890499986</v>
      </c>
    </row>
    <row r="20" spans="1:33" x14ac:dyDescent="0.3">
      <c r="A20" s="1" t="s">
        <v>836</v>
      </c>
      <c r="B20" s="34" t="s">
        <v>28</v>
      </c>
      <c r="C20" s="35" t="s">
        <v>87</v>
      </c>
      <c r="D20" s="34" t="s">
        <v>88</v>
      </c>
      <c r="E20" s="36" t="s">
        <v>94</v>
      </c>
      <c r="F20" s="34" t="s">
        <v>23</v>
      </c>
      <c r="G20" s="34" t="s">
        <v>22</v>
      </c>
      <c r="H20" s="34" t="s">
        <v>85</v>
      </c>
      <c r="I20" s="37">
        <f t="shared" si="13"/>
        <v>12062</v>
      </c>
      <c r="J20" s="37">
        <f>81762.45*0.16</f>
        <v>13081.992</v>
      </c>
      <c r="K20" s="37">
        <f t="shared" ref="K20:T20" si="25">81762.45*0.16</f>
        <v>13081.992</v>
      </c>
      <c r="L20" s="37">
        <f t="shared" si="25"/>
        <v>13081.992</v>
      </c>
      <c r="M20" s="37">
        <f t="shared" si="25"/>
        <v>13081.992</v>
      </c>
      <c r="N20" s="37">
        <f t="shared" si="25"/>
        <v>13081.992</v>
      </c>
      <c r="O20" s="37">
        <f t="shared" si="25"/>
        <v>13081.992</v>
      </c>
      <c r="P20" s="37">
        <f t="shared" si="25"/>
        <v>13081.992</v>
      </c>
      <c r="Q20" s="37">
        <f t="shared" si="25"/>
        <v>13081.992</v>
      </c>
      <c r="R20" s="37">
        <f t="shared" si="25"/>
        <v>13081.992</v>
      </c>
      <c r="S20" s="37">
        <f t="shared" si="25"/>
        <v>13081.992</v>
      </c>
      <c r="T20" s="37">
        <f t="shared" si="25"/>
        <v>13081.992</v>
      </c>
      <c r="U20" s="37">
        <f t="shared" si="12"/>
        <v>155963.91199999998</v>
      </c>
      <c r="W20" s="51">
        <v>12062</v>
      </c>
      <c r="X20" s="39">
        <v>45717</v>
      </c>
      <c r="Y20" s="40" t="s">
        <v>86</v>
      </c>
      <c r="Z20" s="40" t="s">
        <v>92</v>
      </c>
      <c r="AA20" s="40" t="s">
        <v>45</v>
      </c>
      <c r="AB20" s="41">
        <v>0</v>
      </c>
      <c r="AD20" s="42" t="str">
        <f>C20&amp;A20</f>
        <v>LIMPEZAOper</v>
      </c>
      <c r="AE20" s="42" t="str">
        <f>IFERROR(VLOOKUP(C20,[34]Planilha1!$B:$C,2,0),"Não se Aplica")</f>
        <v>Sim</v>
      </c>
      <c r="AF20" s="42" t="str">
        <f>VLOOKUP(AD20,[34]Planilha1!$H:$J,3,0)</f>
        <v>Sim</v>
      </c>
      <c r="AG20" s="43">
        <f t="shared" si="11"/>
        <v>141537.25013999999</v>
      </c>
    </row>
    <row r="21" spans="1:33" x14ac:dyDescent="0.3">
      <c r="A21" s="1" t="s">
        <v>836</v>
      </c>
      <c r="B21" s="34" t="s">
        <v>20</v>
      </c>
      <c r="C21" s="35" t="s">
        <v>87</v>
      </c>
      <c r="D21" s="34" t="s">
        <v>88</v>
      </c>
      <c r="E21" s="36" t="s">
        <v>94</v>
      </c>
      <c r="F21" s="34" t="s">
        <v>23</v>
      </c>
      <c r="G21" s="34" t="s">
        <v>22</v>
      </c>
      <c r="H21" s="34" t="s">
        <v>85</v>
      </c>
      <c r="I21" s="37">
        <f t="shared" si="13"/>
        <v>64000</v>
      </c>
      <c r="J21" s="37">
        <f>81762.45*0.84</f>
        <v>68680.457999999999</v>
      </c>
      <c r="K21" s="37">
        <f t="shared" ref="K21:T21" si="26">81762.45*0.84</f>
        <v>68680.457999999999</v>
      </c>
      <c r="L21" s="37">
        <f t="shared" si="26"/>
        <v>68680.457999999999</v>
      </c>
      <c r="M21" s="37">
        <f t="shared" si="26"/>
        <v>68680.457999999999</v>
      </c>
      <c r="N21" s="37">
        <f t="shared" si="26"/>
        <v>68680.457999999999</v>
      </c>
      <c r="O21" s="37">
        <f t="shared" si="26"/>
        <v>68680.457999999999</v>
      </c>
      <c r="P21" s="37">
        <f t="shared" si="26"/>
        <v>68680.457999999999</v>
      </c>
      <c r="Q21" s="37">
        <f t="shared" si="26"/>
        <v>68680.457999999999</v>
      </c>
      <c r="R21" s="37">
        <f t="shared" si="26"/>
        <v>68680.457999999999</v>
      </c>
      <c r="S21" s="37">
        <f t="shared" si="26"/>
        <v>68680.457999999999</v>
      </c>
      <c r="T21" s="37">
        <f t="shared" si="26"/>
        <v>68680.457999999999</v>
      </c>
      <c r="U21" s="37">
        <f t="shared" si="12"/>
        <v>819485.03799999983</v>
      </c>
      <c r="W21" s="51">
        <v>64000</v>
      </c>
      <c r="X21" s="39">
        <v>45717</v>
      </c>
      <c r="Y21" s="40" t="s">
        <v>86</v>
      </c>
      <c r="Z21" s="40" t="s">
        <v>92</v>
      </c>
      <c r="AA21" s="40" t="s">
        <v>45</v>
      </c>
      <c r="AB21" s="41">
        <v>0</v>
      </c>
      <c r="AD21" s="42" t="str">
        <f>C21&amp;A21</f>
        <v>LIMPEZAOper</v>
      </c>
      <c r="AE21" s="42" t="str">
        <f>IFERROR(VLOOKUP(C21,[34]Planilha1!$B:$C,2,0),"Não se Aplica")</f>
        <v>Sim</v>
      </c>
      <c r="AF21" s="42" t="str">
        <f>VLOOKUP(AD21,[34]Planilha1!$H:$J,3,0)</f>
        <v>Sim</v>
      </c>
      <c r="AG21" s="43">
        <f t="shared" si="11"/>
        <v>743682.67198499979</v>
      </c>
    </row>
    <row r="22" spans="1:33" x14ac:dyDescent="0.3">
      <c r="A22" s="1" t="s">
        <v>836</v>
      </c>
      <c r="B22" s="34" t="s">
        <v>28</v>
      </c>
      <c r="C22" s="35" t="s">
        <v>87</v>
      </c>
      <c r="D22" s="34" t="s">
        <v>88</v>
      </c>
      <c r="E22" s="36" t="s">
        <v>95</v>
      </c>
      <c r="F22" s="34" t="s">
        <v>23</v>
      </c>
      <c r="G22" s="34" t="s">
        <v>27</v>
      </c>
      <c r="H22" s="34" t="s">
        <v>85</v>
      </c>
      <c r="I22" s="37">
        <f t="shared" si="13"/>
        <v>5031.16</v>
      </c>
      <c r="J22" s="37">
        <f t="shared" si="14"/>
        <v>5031.16</v>
      </c>
      <c r="K22" s="37">
        <f t="shared" si="15"/>
        <v>5031.16</v>
      </c>
      <c r="L22" s="37">
        <f t="shared" si="16"/>
        <v>5031.16</v>
      </c>
      <c r="M22" s="37">
        <f t="shared" si="17"/>
        <v>5031.16</v>
      </c>
      <c r="N22" s="37">
        <f t="shared" si="18"/>
        <v>5182.0947999999999</v>
      </c>
      <c r="O22" s="37">
        <f t="shared" si="19"/>
        <v>5182.0947999999999</v>
      </c>
      <c r="P22" s="37">
        <f t="shared" si="20"/>
        <v>5182.0947999999999</v>
      </c>
      <c r="Q22" s="37">
        <f t="shared" si="21"/>
        <v>5182.0947999999999</v>
      </c>
      <c r="R22" s="37">
        <f t="shared" si="22"/>
        <v>5182.0947999999999</v>
      </c>
      <c r="S22" s="37">
        <f t="shared" si="23"/>
        <v>5182.0947999999999</v>
      </c>
      <c r="T22" s="37">
        <f t="shared" si="24"/>
        <v>5182.0947999999999</v>
      </c>
      <c r="U22" s="37">
        <f t="shared" si="12"/>
        <v>61430.463599999995</v>
      </c>
      <c r="W22" s="51">
        <v>5031.16</v>
      </c>
      <c r="X22" s="39">
        <v>45809</v>
      </c>
      <c r="Y22" s="40" t="s">
        <v>96</v>
      </c>
      <c r="Z22" s="40" t="s">
        <v>92</v>
      </c>
      <c r="AA22" s="40" t="s">
        <v>45</v>
      </c>
      <c r="AB22" s="41">
        <v>0.03</v>
      </c>
      <c r="AD22" s="42" t="str">
        <f>C22&amp;A22</f>
        <v>LIMPEZAOper</v>
      </c>
      <c r="AE22" s="42" t="str">
        <f>IFERROR(VLOOKUP(C22,[34]Planilha1!$B:$C,2,0),"Não se Aplica")</f>
        <v>Sim</v>
      </c>
      <c r="AF22" s="42" t="str">
        <f>VLOOKUP(AD22,[34]Planilha1!$H:$J,3,0)</f>
        <v>Sim</v>
      </c>
      <c r="AG22" s="43">
        <f t="shared" si="11"/>
        <v>55748.145716999992</v>
      </c>
    </row>
    <row r="23" spans="1:33" x14ac:dyDescent="0.3">
      <c r="A23" s="1" t="s">
        <v>836</v>
      </c>
      <c r="B23" s="34" t="s">
        <v>28</v>
      </c>
      <c r="C23" s="35" t="s">
        <v>87</v>
      </c>
      <c r="D23" s="34" t="s">
        <v>97</v>
      </c>
      <c r="E23" s="36" t="s">
        <v>95</v>
      </c>
      <c r="F23" s="34" t="s">
        <v>23</v>
      </c>
      <c r="G23" s="34" t="s">
        <v>32</v>
      </c>
      <c r="H23" s="34" t="s">
        <v>85</v>
      </c>
      <c r="I23" s="37">
        <f t="shared" si="13"/>
        <v>19208.72</v>
      </c>
      <c r="J23" s="37">
        <f t="shared" si="14"/>
        <v>19208.72</v>
      </c>
      <c r="K23" s="37">
        <f t="shared" si="15"/>
        <v>19208.72</v>
      </c>
      <c r="L23" s="37">
        <f t="shared" si="16"/>
        <v>19208.72</v>
      </c>
      <c r="M23" s="37">
        <f t="shared" si="17"/>
        <v>19208.72</v>
      </c>
      <c r="N23" s="37">
        <f t="shared" si="18"/>
        <v>19784.981600000003</v>
      </c>
      <c r="O23" s="37">
        <f t="shared" si="19"/>
        <v>19784.981600000003</v>
      </c>
      <c r="P23" s="37">
        <f t="shared" si="20"/>
        <v>19784.981600000003</v>
      </c>
      <c r="Q23" s="37">
        <f t="shared" si="21"/>
        <v>19784.981600000003</v>
      </c>
      <c r="R23" s="37">
        <f t="shared" si="22"/>
        <v>19784.981600000003</v>
      </c>
      <c r="S23" s="37">
        <f t="shared" si="23"/>
        <v>19784.981600000003</v>
      </c>
      <c r="T23" s="37">
        <f t="shared" si="24"/>
        <v>19784.981600000003</v>
      </c>
      <c r="U23" s="37">
        <f t="shared" si="12"/>
        <v>234538.4712</v>
      </c>
      <c r="W23" s="51">
        <v>19208.72</v>
      </c>
      <c r="X23" s="39">
        <v>45809</v>
      </c>
      <c r="Y23" s="40" t="s">
        <v>96</v>
      </c>
      <c r="Z23" s="40" t="s">
        <v>92</v>
      </c>
      <c r="AA23" s="40" t="s">
        <v>45</v>
      </c>
      <c r="AB23" s="41">
        <v>0.03</v>
      </c>
      <c r="AD23" s="42" t="str">
        <f>C23&amp;A23</f>
        <v>LIMPEZAOper</v>
      </c>
      <c r="AE23" s="42" t="str">
        <f>IFERROR(VLOOKUP(C23,[34]Planilha1!$B:$C,2,0),"Não se Aplica")</f>
        <v>Sim</v>
      </c>
      <c r="AF23" s="42" t="str">
        <f>VLOOKUP(AD23,[34]Planilha1!$H:$J,3,0)</f>
        <v>Sim</v>
      </c>
      <c r="AG23" s="43">
        <f t="shared" si="11"/>
        <v>212843.662614</v>
      </c>
    </row>
    <row r="24" spans="1:33" x14ac:dyDescent="0.3">
      <c r="A24" s="1" t="s">
        <v>836</v>
      </c>
      <c r="B24" s="34" t="s">
        <v>20</v>
      </c>
      <c r="C24" s="35" t="s">
        <v>87</v>
      </c>
      <c r="D24" s="34" t="s">
        <v>88</v>
      </c>
      <c r="E24" s="36" t="s">
        <v>95</v>
      </c>
      <c r="F24" s="34" t="s">
        <v>23</v>
      </c>
      <c r="G24" s="34" t="s">
        <v>27</v>
      </c>
      <c r="H24" s="34" t="s">
        <v>85</v>
      </c>
      <c r="I24" s="37">
        <f t="shared" si="13"/>
        <v>10364.1999</v>
      </c>
      <c r="J24" s="37">
        <f t="shared" si="14"/>
        <v>10364.1999</v>
      </c>
      <c r="K24" s="37">
        <f t="shared" si="15"/>
        <v>10364.1999</v>
      </c>
      <c r="L24" s="37">
        <f t="shared" si="16"/>
        <v>10364.1999</v>
      </c>
      <c r="M24" s="37">
        <f t="shared" si="17"/>
        <v>10364.1999</v>
      </c>
      <c r="N24" s="37">
        <f t="shared" si="18"/>
        <v>10364.1999</v>
      </c>
      <c r="O24" s="37">
        <f t="shared" si="19"/>
        <v>10364.1999</v>
      </c>
      <c r="P24" s="37">
        <f t="shared" si="20"/>
        <v>10364.1999</v>
      </c>
      <c r="Q24" s="37">
        <f t="shared" si="21"/>
        <v>10364.1999</v>
      </c>
      <c r="R24" s="37">
        <f t="shared" si="22"/>
        <v>10364.1999</v>
      </c>
      <c r="S24" s="37">
        <f t="shared" si="23"/>
        <v>10364.1999</v>
      </c>
      <c r="T24" s="37">
        <f t="shared" si="24"/>
        <v>10364.1999</v>
      </c>
      <c r="U24" s="37">
        <f t="shared" si="12"/>
        <v>124370.39880000002</v>
      </c>
      <c r="W24" s="51">
        <v>10062.33</v>
      </c>
      <c r="X24" s="39">
        <v>45809</v>
      </c>
      <c r="Y24" s="40" t="s">
        <v>51</v>
      </c>
      <c r="Z24" s="40" t="s">
        <v>92</v>
      </c>
      <c r="AA24" s="40" t="s">
        <v>45</v>
      </c>
      <c r="AB24" s="41">
        <v>0.03</v>
      </c>
      <c r="AD24" s="42" t="str">
        <f>C24&amp;A24</f>
        <v>LIMPEZAOper</v>
      </c>
      <c r="AE24" s="42" t="str">
        <f>IFERROR(VLOOKUP(C24,[34]Planilha1!$B:$C,2,0),"Não se Aplica")</f>
        <v>Sim</v>
      </c>
      <c r="AF24" s="42" t="str">
        <f>VLOOKUP(AD24,[34]Planilha1!$H:$J,3,0)</f>
        <v>Sim</v>
      </c>
      <c r="AG24" s="43">
        <f t="shared" si="11"/>
        <v>112866.13691100002</v>
      </c>
    </row>
    <row r="25" spans="1:33" x14ac:dyDescent="0.3">
      <c r="A25" s="1" t="s">
        <v>836</v>
      </c>
      <c r="B25" s="34" t="s">
        <v>20</v>
      </c>
      <c r="C25" s="35" t="s">
        <v>87</v>
      </c>
      <c r="D25" s="34" t="s">
        <v>97</v>
      </c>
      <c r="E25" s="36" t="s">
        <v>95</v>
      </c>
      <c r="F25" s="34" t="s">
        <v>23</v>
      </c>
      <c r="G25" s="34" t="s">
        <v>32</v>
      </c>
      <c r="H25" s="34" t="s">
        <v>85</v>
      </c>
      <c r="I25" s="37">
        <f t="shared" si="13"/>
        <v>33319.356699999997</v>
      </c>
      <c r="J25" s="37">
        <f t="shared" si="14"/>
        <v>33319.356699999997</v>
      </c>
      <c r="K25" s="37">
        <f t="shared" si="15"/>
        <v>33319.356699999997</v>
      </c>
      <c r="L25" s="37">
        <f t="shared" si="16"/>
        <v>33319.356699999997</v>
      </c>
      <c r="M25" s="37">
        <f t="shared" si="17"/>
        <v>33319.356699999997</v>
      </c>
      <c r="N25" s="37">
        <f t="shared" si="18"/>
        <v>33319.356699999997</v>
      </c>
      <c r="O25" s="37">
        <f t="shared" si="19"/>
        <v>33319.356699999997</v>
      </c>
      <c r="P25" s="37">
        <f t="shared" si="20"/>
        <v>33319.356699999997</v>
      </c>
      <c r="Q25" s="37">
        <f t="shared" si="21"/>
        <v>33319.356699999997</v>
      </c>
      <c r="R25" s="37">
        <f t="shared" si="22"/>
        <v>33319.356699999997</v>
      </c>
      <c r="S25" s="37">
        <f t="shared" si="23"/>
        <v>33319.356699999997</v>
      </c>
      <c r="T25" s="37">
        <f t="shared" si="24"/>
        <v>33319.356699999997</v>
      </c>
      <c r="U25" s="37">
        <f t="shared" si="12"/>
        <v>399832.28039999999</v>
      </c>
      <c r="W25" s="51">
        <v>32348.89</v>
      </c>
      <c r="X25" s="39">
        <v>45809</v>
      </c>
      <c r="Y25" s="40" t="s">
        <v>51</v>
      </c>
      <c r="Z25" s="40" t="s">
        <v>92</v>
      </c>
      <c r="AA25" s="40" t="s">
        <v>45</v>
      </c>
      <c r="AB25" s="41">
        <v>0.03</v>
      </c>
      <c r="AD25" s="42" t="str">
        <f>C25&amp;A25</f>
        <v>LIMPEZAOper</v>
      </c>
      <c r="AE25" s="42" t="str">
        <f>IFERROR(VLOOKUP(C25,[34]Planilha1!$B:$C,2,0),"Não se Aplica")</f>
        <v>Sim</v>
      </c>
      <c r="AF25" s="42" t="str">
        <f>VLOOKUP(AD25,[34]Planilha1!$H:$J,3,0)</f>
        <v>Sim</v>
      </c>
      <c r="AG25" s="43">
        <f t="shared" si="11"/>
        <v>362847.79446299997</v>
      </c>
    </row>
    <row r="26" spans="1:33" x14ac:dyDescent="0.3">
      <c r="A26" s="1" t="s">
        <v>836</v>
      </c>
      <c r="B26" s="34" t="s">
        <v>28</v>
      </c>
      <c r="C26" s="35" t="s">
        <v>87</v>
      </c>
      <c r="D26" s="36" t="s">
        <v>98</v>
      </c>
      <c r="E26" s="36" t="s">
        <v>99</v>
      </c>
      <c r="F26" s="34" t="s">
        <v>23</v>
      </c>
      <c r="G26" s="34" t="s">
        <v>100</v>
      </c>
      <c r="H26" s="34" t="s">
        <v>85</v>
      </c>
      <c r="I26" s="37">
        <f t="shared" si="13"/>
        <v>3893.4</v>
      </c>
      <c r="J26" s="37">
        <f t="shared" si="14"/>
        <v>3893.4</v>
      </c>
      <c r="K26" s="37">
        <f t="shared" si="15"/>
        <v>3893.4</v>
      </c>
      <c r="L26" s="37">
        <f t="shared" si="16"/>
        <v>3893.4</v>
      </c>
      <c r="M26" s="37">
        <f t="shared" si="17"/>
        <v>3893.4</v>
      </c>
      <c r="N26" s="37">
        <f t="shared" si="18"/>
        <v>3893.4</v>
      </c>
      <c r="O26" s="37">
        <f t="shared" si="19"/>
        <v>3893.4</v>
      </c>
      <c r="P26" s="37">
        <f t="shared" si="20"/>
        <v>3893.4</v>
      </c>
      <c r="Q26" s="37">
        <f t="shared" si="21"/>
        <v>3893.4</v>
      </c>
      <c r="R26" s="37">
        <f t="shared" si="22"/>
        <v>3893.4</v>
      </c>
      <c r="S26" s="37">
        <f t="shared" si="23"/>
        <v>3893.4</v>
      </c>
      <c r="T26" s="37">
        <f t="shared" si="24"/>
        <v>3893.4</v>
      </c>
      <c r="U26" s="37">
        <f t="shared" si="12"/>
        <v>46720.80000000001</v>
      </c>
      <c r="V26" s="6"/>
      <c r="W26" s="51">
        <v>3780</v>
      </c>
      <c r="X26" s="39">
        <v>45797</v>
      </c>
      <c r="Y26" s="40" t="s">
        <v>51</v>
      </c>
      <c r="Z26" s="40" t="s">
        <v>101</v>
      </c>
      <c r="AA26" s="40" t="s">
        <v>45</v>
      </c>
      <c r="AB26" s="41">
        <v>0.03</v>
      </c>
      <c r="AD26" s="42" t="str">
        <f>C26&amp;A26</f>
        <v>LIMPEZAOper</v>
      </c>
      <c r="AE26" s="42" t="str">
        <f>IFERROR(VLOOKUP(C26,[34]Planilha1!$B:$C,2,0),"Não se Aplica")</f>
        <v>Sim</v>
      </c>
      <c r="AF26" s="42" t="str">
        <f>VLOOKUP(AD26,[34]Planilha1!$H:$J,3,0)</f>
        <v>Sim</v>
      </c>
      <c r="AG26" s="43">
        <f t="shared" si="11"/>
        <v>42399.126000000011</v>
      </c>
    </row>
    <row r="27" spans="1:33" x14ac:dyDescent="0.3">
      <c r="A27" s="1" t="s">
        <v>836</v>
      </c>
      <c r="B27" s="34" t="s">
        <v>28</v>
      </c>
      <c r="C27" s="35" t="s">
        <v>46</v>
      </c>
      <c r="D27" s="34" t="s">
        <v>104</v>
      </c>
      <c r="E27" s="36" t="s">
        <v>105</v>
      </c>
      <c r="F27" s="34" t="s">
        <v>23</v>
      </c>
      <c r="G27" s="34" t="s">
        <v>32</v>
      </c>
      <c r="H27" s="34" t="s">
        <v>85</v>
      </c>
      <c r="I27" s="37">
        <f t="shared" si="13"/>
        <v>6679.2</v>
      </c>
      <c r="J27" s="37">
        <f t="shared" si="14"/>
        <v>6679.2</v>
      </c>
      <c r="K27" s="37">
        <f t="shared" si="15"/>
        <v>6879.576</v>
      </c>
      <c r="L27" s="37">
        <f t="shared" si="16"/>
        <v>6879.576</v>
      </c>
      <c r="M27" s="37">
        <f t="shared" si="17"/>
        <v>6879.576</v>
      </c>
      <c r="N27" s="37">
        <f t="shared" si="18"/>
        <v>6879.576</v>
      </c>
      <c r="O27" s="37">
        <f t="shared" si="19"/>
        <v>6879.576</v>
      </c>
      <c r="P27" s="37">
        <f t="shared" si="20"/>
        <v>6879.576</v>
      </c>
      <c r="Q27" s="37">
        <f t="shared" si="21"/>
        <v>6879.576</v>
      </c>
      <c r="R27" s="37">
        <f t="shared" si="22"/>
        <v>6879.576</v>
      </c>
      <c r="S27" s="37">
        <f t="shared" si="23"/>
        <v>6879.576</v>
      </c>
      <c r="T27" s="37">
        <f t="shared" si="24"/>
        <v>6879.576</v>
      </c>
      <c r="U27" s="37">
        <f t="shared" si="12"/>
        <v>82154.16</v>
      </c>
      <c r="W27" s="51">
        <v>6679.2</v>
      </c>
      <c r="X27" s="39">
        <v>46084</v>
      </c>
      <c r="Y27" s="40" t="s">
        <v>86</v>
      </c>
      <c r="Z27" s="40" t="s">
        <v>92</v>
      </c>
      <c r="AA27" s="40" t="s">
        <v>45</v>
      </c>
      <c r="AB27" s="41">
        <v>0.03</v>
      </c>
      <c r="AD27" s="42" t="str">
        <f>C27&amp;A27</f>
        <v>MANUTEN. SISTEMAS  INFORMATICAOper</v>
      </c>
      <c r="AE27" s="42" t="str">
        <f>IFERROR(VLOOKUP(C27,[34]Planilha1!$B:$C,2,0),"Não se Aplica")</f>
        <v>Sim</v>
      </c>
      <c r="AF27" s="42" t="str">
        <f>VLOOKUP(AD27,[34]Planilha1!$H:$J,3,0)</f>
        <v>Sim</v>
      </c>
      <c r="AG27" s="43">
        <f t="shared" si="11"/>
        <v>74554.900200000004</v>
      </c>
    </row>
    <row r="28" spans="1:33" x14ac:dyDescent="0.3">
      <c r="A28" s="1" t="s">
        <v>836</v>
      </c>
      <c r="B28" s="34" t="s">
        <v>28</v>
      </c>
      <c r="C28" s="35" t="s">
        <v>87</v>
      </c>
      <c r="D28" s="34" t="s">
        <v>88</v>
      </c>
      <c r="E28" s="36" t="s">
        <v>106</v>
      </c>
      <c r="F28" s="34" t="s">
        <v>23</v>
      </c>
      <c r="G28" s="34" t="s">
        <v>31</v>
      </c>
      <c r="H28" s="34" t="s">
        <v>85</v>
      </c>
      <c r="I28" s="37">
        <f t="shared" si="13"/>
        <v>2313.48</v>
      </c>
      <c r="J28" s="37">
        <f t="shared" si="14"/>
        <v>2313.48</v>
      </c>
      <c r="K28" s="37">
        <f t="shared" si="15"/>
        <v>2382.8843999999999</v>
      </c>
      <c r="L28" s="37">
        <f t="shared" si="16"/>
        <v>2382.8843999999999</v>
      </c>
      <c r="M28" s="37">
        <f t="shared" si="17"/>
        <v>2382.8843999999999</v>
      </c>
      <c r="N28" s="37">
        <f t="shared" si="18"/>
        <v>2382.8843999999999</v>
      </c>
      <c r="O28" s="37">
        <f t="shared" si="19"/>
        <v>2382.8843999999999</v>
      </c>
      <c r="P28" s="37">
        <f t="shared" si="20"/>
        <v>2382.8843999999999</v>
      </c>
      <c r="Q28" s="37">
        <f t="shared" si="21"/>
        <v>2382.8843999999999</v>
      </c>
      <c r="R28" s="37">
        <f t="shared" si="22"/>
        <v>2382.8843999999999</v>
      </c>
      <c r="S28" s="37">
        <f t="shared" si="23"/>
        <v>2382.8843999999999</v>
      </c>
      <c r="T28" s="37">
        <f t="shared" si="24"/>
        <v>2382.8843999999999</v>
      </c>
      <c r="U28" s="37">
        <f t="shared" si="12"/>
        <v>28455.803999999993</v>
      </c>
      <c r="W28" s="51">
        <v>2313.48</v>
      </c>
      <c r="X28" s="39">
        <v>46095</v>
      </c>
      <c r="Y28" s="40" t="s">
        <v>86</v>
      </c>
      <c r="Z28" s="40" t="s">
        <v>92</v>
      </c>
      <c r="AA28" s="40" t="s">
        <v>45</v>
      </c>
      <c r="AB28" s="41">
        <v>0.03</v>
      </c>
      <c r="AD28" s="42" t="str">
        <f>C28&amp;A28</f>
        <v>LIMPEZAOper</v>
      </c>
      <c r="AE28" s="42" t="str">
        <f>IFERROR(VLOOKUP(C28,[34]Planilha1!$B:$C,2,0),"Não se Aplica")</f>
        <v>Sim</v>
      </c>
      <c r="AF28" s="42" t="str">
        <f>VLOOKUP(AD28,[34]Planilha1!$H:$J,3,0)</f>
        <v>Sim</v>
      </c>
      <c r="AG28" s="43">
        <f t="shared" si="11"/>
        <v>25823.642129999993</v>
      </c>
    </row>
    <row r="29" spans="1:33" x14ac:dyDescent="0.3">
      <c r="A29" s="1" t="s">
        <v>836</v>
      </c>
      <c r="B29" s="34" t="s">
        <v>20</v>
      </c>
      <c r="C29" s="35" t="s">
        <v>107</v>
      </c>
      <c r="D29" s="34" t="s">
        <v>108</v>
      </c>
      <c r="E29" s="36" t="s">
        <v>109</v>
      </c>
      <c r="F29" s="34" t="s">
        <v>23</v>
      </c>
      <c r="G29" s="34" t="s">
        <v>32</v>
      </c>
      <c r="H29" s="34" t="s">
        <v>85</v>
      </c>
      <c r="I29" s="37">
        <f t="shared" si="13"/>
        <v>4729.5</v>
      </c>
      <c r="J29" s="37">
        <f t="shared" si="14"/>
        <v>4729.5</v>
      </c>
      <c r="K29" s="37">
        <f t="shared" si="15"/>
        <v>4871.3850000000002</v>
      </c>
      <c r="L29" s="37">
        <f t="shared" si="16"/>
        <v>4871.3850000000002</v>
      </c>
      <c r="M29" s="37">
        <f t="shared" si="17"/>
        <v>4871.3850000000002</v>
      </c>
      <c r="N29" s="37">
        <f t="shared" si="18"/>
        <v>4871.3850000000002</v>
      </c>
      <c r="O29" s="37">
        <f t="shared" si="19"/>
        <v>4871.3850000000002</v>
      </c>
      <c r="P29" s="37">
        <f t="shared" si="20"/>
        <v>4871.3850000000002</v>
      </c>
      <c r="Q29" s="37">
        <f t="shared" si="21"/>
        <v>4871.3850000000002</v>
      </c>
      <c r="R29" s="37">
        <f t="shared" si="22"/>
        <v>4871.3850000000002</v>
      </c>
      <c r="S29" s="37">
        <f t="shared" si="23"/>
        <v>4871.3850000000002</v>
      </c>
      <c r="T29" s="37">
        <f t="shared" si="24"/>
        <v>4871.3850000000002</v>
      </c>
      <c r="U29" s="37">
        <f t="shared" si="12"/>
        <v>58172.850000000013</v>
      </c>
      <c r="W29" s="51">
        <v>4729.5</v>
      </c>
      <c r="X29" s="39">
        <v>46095</v>
      </c>
      <c r="Y29" s="40" t="s">
        <v>86</v>
      </c>
      <c r="Z29" s="40" t="s">
        <v>92</v>
      </c>
      <c r="AA29" s="40" t="s">
        <v>45</v>
      </c>
      <c r="AB29" s="41">
        <v>0.03</v>
      </c>
      <c r="AD29" s="42" t="str">
        <f>C29&amp;A29</f>
        <v>SEGURANCA PREDIALOper</v>
      </c>
      <c r="AE29" s="42" t="str">
        <f>IFERROR(VLOOKUP(C29,[34]Planilha1!$B:$C,2,0),"Não se Aplica")</f>
        <v>Sim</v>
      </c>
      <c r="AF29" s="42" t="str">
        <f>VLOOKUP(AD29,[34]Planilha1!$H:$J,3,0)</f>
        <v>Sim</v>
      </c>
      <c r="AG29" s="43">
        <f t="shared" si="11"/>
        <v>52791.861375000008</v>
      </c>
    </row>
    <row r="30" spans="1:33" x14ac:dyDescent="0.3">
      <c r="A30" s="1" t="s">
        <v>836</v>
      </c>
      <c r="B30" s="34" t="s">
        <v>20</v>
      </c>
      <c r="C30" s="35" t="s">
        <v>38</v>
      </c>
      <c r="D30" s="34" t="s">
        <v>110</v>
      </c>
      <c r="E30" s="36" t="s">
        <v>111</v>
      </c>
      <c r="F30" s="34" t="s">
        <v>60</v>
      </c>
      <c r="G30" s="34" t="s">
        <v>32</v>
      </c>
      <c r="H30" s="34" t="s">
        <v>85</v>
      </c>
      <c r="I30" s="37">
        <f t="shared" si="13"/>
        <v>769</v>
      </c>
      <c r="J30" s="37">
        <f t="shared" si="14"/>
        <v>769</v>
      </c>
      <c r="K30" s="37">
        <f t="shared" si="15"/>
        <v>792.07</v>
      </c>
      <c r="L30" s="37">
        <f t="shared" si="16"/>
        <v>792.07</v>
      </c>
      <c r="M30" s="37">
        <f t="shared" si="17"/>
        <v>792.07</v>
      </c>
      <c r="N30" s="37">
        <f t="shared" si="18"/>
        <v>792.07</v>
      </c>
      <c r="O30" s="37">
        <f t="shared" si="19"/>
        <v>792.07</v>
      </c>
      <c r="P30" s="37">
        <f t="shared" si="20"/>
        <v>792.07</v>
      </c>
      <c r="Q30" s="37">
        <f t="shared" si="21"/>
        <v>792.07</v>
      </c>
      <c r="R30" s="37">
        <f t="shared" si="22"/>
        <v>792.07</v>
      </c>
      <c r="S30" s="37">
        <f t="shared" si="23"/>
        <v>792.07</v>
      </c>
      <c r="T30" s="37">
        <f t="shared" si="24"/>
        <v>792.07</v>
      </c>
      <c r="U30" s="37">
        <f t="shared" si="12"/>
        <v>9458.6999999999989</v>
      </c>
      <c r="W30" s="51">
        <v>769</v>
      </c>
      <c r="X30" s="39">
        <v>46095</v>
      </c>
      <c r="Y30" s="40" t="s">
        <v>86</v>
      </c>
      <c r="Z30" s="40"/>
      <c r="AA30" s="40" t="s">
        <v>45</v>
      </c>
      <c r="AB30" s="41">
        <v>0.03</v>
      </c>
      <c r="AD30" s="42" t="str">
        <f>C30&amp;A30</f>
        <v>ALUGUEIS DE EQUIPAMENTOSOper</v>
      </c>
      <c r="AE30" s="42" t="str">
        <f>IFERROR(VLOOKUP(C30,[34]Planilha1!$B:$C,2,0),"Não se Aplica")</f>
        <v>Sim</v>
      </c>
      <c r="AF30" s="42" t="str">
        <f>VLOOKUP(AD30,[34]Planilha1!$H:$J,3,0)</f>
        <v>Sim</v>
      </c>
      <c r="AG30" s="43">
        <f t="shared" si="11"/>
        <v>8583.7702499999996</v>
      </c>
    </row>
    <row r="31" spans="1:33" x14ac:dyDescent="0.3">
      <c r="A31" s="1" t="s">
        <v>836</v>
      </c>
      <c r="B31" s="34" t="s">
        <v>28</v>
      </c>
      <c r="C31" s="35" t="s">
        <v>87</v>
      </c>
      <c r="D31" s="34" t="s">
        <v>112</v>
      </c>
      <c r="E31" s="36" t="s">
        <v>113</v>
      </c>
      <c r="F31" s="34" t="s">
        <v>23</v>
      </c>
      <c r="G31" s="34" t="s">
        <v>22</v>
      </c>
      <c r="H31" s="34" t="s">
        <v>85</v>
      </c>
      <c r="I31" s="37">
        <f t="shared" si="13"/>
        <v>1000</v>
      </c>
      <c r="J31" s="37">
        <f t="shared" si="14"/>
        <v>1000</v>
      </c>
      <c r="K31" s="37">
        <f t="shared" si="15"/>
        <v>1000</v>
      </c>
      <c r="L31" s="37">
        <f t="shared" si="16"/>
        <v>1000</v>
      </c>
      <c r="M31" s="37">
        <f t="shared" si="17"/>
        <v>1000</v>
      </c>
      <c r="N31" s="37">
        <f t="shared" si="18"/>
        <v>1000</v>
      </c>
      <c r="O31" s="37">
        <f t="shared" si="19"/>
        <v>1000</v>
      </c>
      <c r="P31" s="37">
        <f t="shared" si="20"/>
        <v>1000</v>
      </c>
      <c r="Q31" s="37">
        <f t="shared" si="21"/>
        <v>1000</v>
      </c>
      <c r="R31" s="37">
        <f t="shared" si="22"/>
        <v>1000</v>
      </c>
      <c r="S31" s="37">
        <f t="shared" si="23"/>
        <v>1000</v>
      </c>
      <c r="T31" s="37">
        <f t="shared" si="24"/>
        <v>1000</v>
      </c>
      <c r="U31" s="37">
        <f t="shared" si="12"/>
        <v>12000</v>
      </c>
      <c r="W31" s="38">
        <v>1000</v>
      </c>
      <c r="X31" s="39"/>
      <c r="Y31" s="40"/>
      <c r="Z31" s="40"/>
      <c r="AA31" s="40" t="s">
        <v>56</v>
      </c>
      <c r="AB31" s="41">
        <v>0</v>
      </c>
      <c r="AD31" s="42" t="str">
        <f>C31&amp;A31</f>
        <v>LIMPEZAOper</v>
      </c>
      <c r="AE31" s="42" t="str">
        <f>IFERROR(VLOOKUP(C31,[34]Planilha1!$B:$C,2,0),"Não se Aplica")</f>
        <v>Sim</v>
      </c>
      <c r="AF31" s="42" t="str">
        <f>VLOOKUP(AD31,[34]Planilha1!$H:$J,3,0)</f>
        <v>Sim</v>
      </c>
      <c r="AG31" s="43">
        <f t="shared" si="11"/>
        <v>10890</v>
      </c>
    </row>
    <row r="32" spans="1:33" x14ac:dyDescent="0.3">
      <c r="A32" s="1" t="s">
        <v>836</v>
      </c>
      <c r="B32" s="34" t="s">
        <v>20</v>
      </c>
      <c r="C32" s="35" t="s">
        <v>87</v>
      </c>
      <c r="D32" s="34" t="s">
        <v>112</v>
      </c>
      <c r="E32" s="36" t="s">
        <v>114</v>
      </c>
      <c r="F32" s="34" t="s">
        <v>23</v>
      </c>
      <c r="G32" s="34" t="s">
        <v>22</v>
      </c>
      <c r="H32" s="34" t="s">
        <v>85</v>
      </c>
      <c r="I32" s="37">
        <f t="shared" si="13"/>
        <v>3800</v>
      </c>
      <c r="J32" s="37">
        <f t="shared" si="14"/>
        <v>3800</v>
      </c>
      <c r="K32" s="37">
        <f t="shared" si="15"/>
        <v>3800</v>
      </c>
      <c r="L32" s="37">
        <f t="shared" si="16"/>
        <v>3800</v>
      </c>
      <c r="M32" s="37">
        <f t="shared" si="17"/>
        <v>3800</v>
      </c>
      <c r="N32" s="37">
        <f t="shared" si="18"/>
        <v>3800</v>
      </c>
      <c r="O32" s="37">
        <f t="shared" si="19"/>
        <v>3800</v>
      </c>
      <c r="P32" s="37">
        <f t="shared" si="20"/>
        <v>3800</v>
      </c>
      <c r="Q32" s="37">
        <f t="shared" si="21"/>
        <v>3800</v>
      </c>
      <c r="R32" s="37">
        <f t="shared" si="22"/>
        <v>3800</v>
      </c>
      <c r="S32" s="37">
        <f t="shared" si="23"/>
        <v>3800</v>
      </c>
      <c r="T32" s="37">
        <f t="shared" si="24"/>
        <v>3800</v>
      </c>
      <c r="U32" s="37">
        <f t="shared" si="12"/>
        <v>45600</v>
      </c>
      <c r="W32" s="51">
        <v>3800</v>
      </c>
      <c r="X32" s="39"/>
      <c r="Y32" s="40"/>
      <c r="Z32" s="40"/>
      <c r="AA32" s="40" t="s">
        <v>56</v>
      </c>
      <c r="AB32" s="41">
        <v>0</v>
      </c>
      <c r="AD32" s="42" t="str">
        <f>C32&amp;A32</f>
        <v>LIMPEZAOper</v>
      </c>
      <c r="AE32" s="42" t="str">
        <f>IFERROR(VLOOKUP(C32,[34]Planilha1!$B:$C,2,0),"Não se Aplica")</f>
        <v>Sim</v>
      </c>
      <c r="AF32" s="42" t="str">
        <f>VLOOKUP(AD32,[34]Planilha1!$H:$J,3,0)</f>
        <v>Sim</v>
      </c>
      <c r="AG32" s="43">
        <f t="shared" si="11"/>
        <v>41382</v>
      </c>
    </row>
    <row r="33" spans="1:33" x14ac:dyDescent="0.3">
      <c r="A33" s="1" t="s">
        <v>836</v>
      </c>
      <c r="B33" s="34" t="s">
        <v>20</v>
      </c>
      <c r="C33" s="35" t="s">
        <v>46</v>
      </c>
      <c r="D33" s="34" t="s">
        <v>115</v>
      </c>
      <c r="E33" s="36" t="s">
        <v>116</v>
      </c>
      <c r="F33" s="34" t="s">
        <v>23</v>
      </c>
      <c r="G33" s="34" t="s">
        <v>32</v>
      </c>
      <c r="H33" s="34" t="s">
        <v>85</v>
      </c>
      <c r="I33" s="37">
        <f t="shared" si="13"/>
        <v>3500</v>
      </c>
      <c r="J33" s="37">
        <f t="shared" si="14"/>
        <v>3500</v>
      </c>
      <c r="K33" s="37">
        <f t="shared" si="15"/>
        <v>3500</v>
      </c>
      <c r="L33" s="37">
        <f t="shared" si="16"/>
        <v>3500</v>
      </c>
      <c r="M33" s="37">
        <f t="shared" si="17"/>
        <v>3500</v>
      </c>
      <c r="N33" s="37">
        <f t="shared" si="18"/>
        <v>3500</v>
      </c>
      <c r="O33" s="37">
        <f t="shared" si="19"/>
        <v>3500</v>
      </c>
      <c r="P33" s="37">
        <f t="shared" si="20"/>
        <v>3500</v>
      </c>
      <c r="Q33" s="37">
        <f t="shared" si="21"/>
        <v>3500</v>
      </c>
      <c r="R33" s="37">
        <f t="shared" si="22"/>
        <v>3500</v>
      </c>
      <c r="S33" s="37">
        <f t="shared" si="23"/>
        <v>3500</v>
      </c>
      <c r="T33" s="37">
        <f t="shared" si="24"/>
        <v>3500</v>
      </c>
      <c r="U33" s="37">
        <f t="shared" si="12"/>
        <v>42000</v>
      </c>
      <c r="W33" s="38">
        <v>3500</v>
      </c>
      <c r="X33" s="39">
        <v>45753</v>
      </c>
      <c r="Y33" s="40" t="s">
        <v>86</v>
      </c>
      <c r="Z33" s="40" t="s">
        <v>55</v>
      </c>
      <c r="AA33" s="40" t="s">
        <v>56</v>
      </c>
      <c r="AB33" s="41">
        <v>0</v>
      </c>
      <c r="AD33" s="42" t="str">
        <f>C33&amp;A33</f>
        <v>MANUTEN. SISTEMAS  INFORMATICAOper</v>
      </c>
      <c r="AE33" s="42" t="str">
        <f>IFERROR(VLOOKUP(C33,[34]Planilha1!$B:$C,2,0),"Não se Aplica")</f>
        <v>Sim</v>
      </c>
      <c r="AF33" s="42" t="str">
        <f>VLOOKUP(AD33,[34]Planilha1!$H:$J,3,0)</f>
        <v>Sim</v>
      </c>
      <c r="AG33" s="43">
        <f t="shared" si="11"/>
        <v>38115</v>
      </c>
    </row>
    <row r="34" spans="1:33" x14ac:dyDescent="0.3">
      <c r="A34" s="1" t="s">
        <v>836</v>
      </c>
      <c r="B34" s="34" t="s">
        <v>28</v>
      </c>
      <c r="C34" s="35" t="s">
        <v>117</v>
      </c>
      <c r="D34" s="34" t="s">
        <v>118</v>
      </c>
      <c r="E34" s="36" t="s">
        <v>119</v>
      </c>
      <c r="F34" s="34" t="s">
        <v>23</v>
      </c>
      <c r="G34" s="34" t="s">
        <v>32</v>
      </c>
      <c r="H34" s="34" t="s">
        <v>85</v>
      </c>
      <c r="I34" s="37">
        <f t="shared" si="13"/>
        <v>400</v>
      </c>
      <c r="J34" s="37">
        <f t="shared" si="14"/>
        <v>400</v>
      </c>
      <c r="K34" s="37">
        <f t="shared" si="15"/>
        <v>400</v>
      </c>
      <c r="L34" s="37">
        <f t="shared" si="16"/>
        <v>400</v>
      </c>
      <c r="M34" s="37">
        <f t="shared" si="17"/>
        <v>400</v>
      </c>
      <c r="N34" s="37">
        <f t="shared" si="18"/>
        <v>400</v>
      </c>
      <c r="O34" s="37">
        <f t="shared" si="19"/>
        <v>400</v>
      </c>
      <c r="P34" s="37">
        <f t="shared" si="20"/>
        <v>400</v>
      </c>
      <c r="Q34" s="37">
        <f t="shared" si="21"/>
        <v>400</v>
      </c>
      <c r="R34" s="37">
        <f t="shared" si="22"/>
        <v>400</v>
      </c>
      <c r="S34" s="37">
        <f t="shared" si="23"/>
        <v>400</v>
      </c>
      <c r="T34" s="37">
        <f t="shared" si="24"/>
        <v>400</v>
      </c>
      <c r="U34" s="37">
        <f t="shared" si="12"/>
        <v>4800</v>
      </c>
      <c r="W34" s="51">
        <v>400</v>
      </c>
      <c r="X34" s="39">
        <v>45618</v>
      </c>
      <c r="Y34" s="40" t="s">
        <v>43</v>
      </c>
      <c r="Z34" s="40" t="s">
        <v>55</v>
      </c>
      <c r="AA34" s="40" t="s">
        <v>56</v>
      </c>
      <c r="AB34" s="41">
        <v>0</v>
      </c>
      <c r="AD34" s="42" t="str">
        <f>C34&amp;A34</f>
        <v>ASSESSORIA ADMINISTRATIVAOper</v>
      </c>
      <c r="AE34" s="42" t="str">
        <f>IFERROR(VLOOKUP(C34,[34]Planilha1!$B:$C,2,0),"Não se Aplica")</f>
        <v>Sim</v>
      </c>
      <c r="AF34" s="42" t="str">
        <f>VLOOKUP(AD34,[34]Planilha1!$H:$J,3,0)</f>
        <v>Não</v>
      </c>
      <c r="AG34" s="43">
        <f t="shared" si="11"/>
        <v>4800</v>
      </c>
    </row>
    <row r="35" spans="1:33" x14ac:dyDescent="0.3">
      <c r="A35" s="1" t="s">
        <v>836</v>
      </c>
      <c r="B35" s="34" t="s">
        <v>28</v>
      </c>
      <c r="C35" s="35" t="s">
        <v>57</v>
      </c>
      <c r="D35" s="36" t="s">
        <v>120</v>
      </c>
      <c r="E35" s="36" t="s">
        <v>121</v>
      </c>
      <c r="F35" s="29" t="s">
        <v>122</v>
      </c>
      <c r="G35" s="34" t="s">
        <v>32</v>
      </c>
      <c r="H35" s="36" t="s">
        <v>123</v>
      </c>
      <c r="I35" s="37">
        <v>7500</v>
      </c>
      <c r="J35" s="37">
        <v>5500</v>
      </c>
      <c r="K35" s="37">
        <v>5800</v>
      </c>
      <c r="L35" s="37">
        <v>4500</v>
      </c>
      <c r="M35" s="37">
        <v>5500</v>
      </c>
      <c r="N35" s="37">
        <v>4500</v>
      </c>
      <c r="O35" s="37">
        <v>6500</v>
      </c>
      <c r="P35" s="37">
        <v>5500</v>
      </c>
      <c r="Q35" s="37">
        <v>7500</v>
      </c>
      <c r="R35" s="37">
        <v>7500</v>
      </c>
      <c r="S35" s="37">
        <v>7500</v>
      </c>
      <c r="T35" s="37">
        <v>7500</v>
      </c>
      <c r="U35" s="37">
        <f t="shared" si="12"/>
        <v>75300</v>
      </c>
      <c r="V35" s="6"/>
      <c r="W35" s="38">
        <v>7500</v>
      </c>
      <c r="X35" s="39"/>
      <c r="Y35" s="40"/>
      <c r="Z35" s="40"/>
      <c r="AA35" s="40" t="s">
        <v>56</v>
      </c>
      <c r="AB35" s="41">
        <v>0</v>
      </c>
      <c r="AD35" s="42" t="str">
        <f>C35&amp;A35</f>
        <v>AUDITORIA/CONSULTORIAOper</v>
      </c>
      <c r="AE35" s="42" t="str">
        <f>IFERROR(VLOOKUP(C35,[34]Planilha1!$B:$C,2,0),"Não se Aplica")</f>
        <v>Sim</v>
      </c>
      <c r="AF35" s="42" t="str">
        <f>VLOOKUP(AD35,[34]Planilha1!$H:$J,3,0)</f>
        <v>Não</v>
      </c>
      <c r="AG35" s="43">
        <f t="shared" ref="AG35:AG94" si="27">IF(AF35="Sim", U35 * 0.9075, U35)</f>
        <v>75300</v>
      </c>
    </row>
    <row r="36" spans="1:33" x14ac:dyDescent="0.3">
      <c r="A36" s="1" t="s">
        <v>837</v>
      </c>
      <c r="B36" s="34" t="s">
        <v>28</v>
      </c>
      <c r="C36" s="35" t="s">
        <v>124</v>
      </c>
      <c r="D36" s="34" t="s">
        <v>125</v>
      </c>
      <c r="E36" s="36" t="s">
        <v>126</v>
      </c>
      <c r="F36" s="34" t="s">
        <v>127</v>
      </c>
      <c r="G36" s="34" t="s">
        <v>22</v>
      </c>
      <c r="H36" s="34" t="s">
        <v>128</v>
      </c>
      <c r="I36" s="37">
        <f t="shared" ref="I36:I98" si="28">IF($Y36="janeiro",$W36*(1+$AB36),$W36)</f>
        <v>2408.96</v>
      </c>
      <c r="J36" s="37">
        <f t="shared" ref="J36:J98" si="29">IF($Y36="fevereiro",$I36*(1+$AB36),$I36)</f>
        <v>2408.96</v>
      </c>
      <c r="K36" s="37">
        <f t="shared" ref="K36:K66" si="30">IF($Y36="março",$J36*(1+$AB36),$J36)</f>
        <v>2408.96</v>
      </c>
      <c r="L36" s="37">
        <f t="shared" ref="L36:L98" si="31">IF($Y36="abril",$K36*(1+$AB36),$K36)</f>
        <v>2408.96</v>
      </c>
      <c r="M36" s="37">
        <f t="shared" ref="M36:M63" si="32">IF($Y36="maio",$L36*(1+$AB36),$L36)</f>
        <v>2408.96</v>
      </c>
      <c r="N36" s="37">
        <f t="shared" ref="N36:N63" si="33">IF($Y36="junho",$M36*(1+$AB36),$M36)</f>
        <v>2408.96</v>
      </c>
      <c r="O36" s="37">
        <f t="shared" ref="O36:O63" si="34">IF($Y36="julho",$N36*(1+$AB36),$N36)</f>
        <v>2408.96</v>
      </c>
      <c r="P36" s="37">
        <f t="shared" ref="P36:P60" si="35">IF($Y36="agosto",$O36*(1+$AB36),$O36)</f>
        <v>2408.96</v>
      </c>
      <c r="Q36" s="37">
        <f t="shared" ref="Q36:Q63" si="36">IF($Y36="setembro",$P36*(1+$AB36),$P36)</f>
        <v>2481.2288000000003</v>
      </c>
      <c r="R36" s="37">
        <f t="shared" ref="R36:R98" si="37">IF($Y36="outubro",$Q36*(1+$AB36),$Q36)</f>
        <v>2481.2288000000003</v>
      </c>
      <c r="S36" s="37">
        <f t="shared" ref="S36:S98" si="38">IF($Y36="novembro",$R36*(1+$AB36),$R36)</f>
        <v>2481.2288000000003</v>
      </c>
      <c r="T36" s="37">
        <f t="shared" ref="T36:T98" si="39">IF($Y36="dezembro",$S36*(1+$AB36),$S36)</f>
        <v>2481.2288000000003</v>
      </c>
      <c r="U36" s="37">
        <f t="shared" si="12"/>
        <v>29196.5952</v>
      </c>
      <c r="W36" s="51">
        <v>2408.96</v>
      </c>
      <c r="X36" s="39">
        <v>47448</v>
      </c>
      <c r="Y36" s="40" t="s">
        <v>129</v>
      </c>
      <c r="Z36" s="40" t="s">
        <v>55</v>
      </c>
      <c r="AA36" s="40" t="s">
        <v>45</v>
      </c>
      <c r="AB36" s="41">
        <v>0.03</v>
      </c>
      <c r="AD36" s="42" t="str">
        <f>C36&amp;A36</f>
        <v>ASSESSORIA JURIDICAAdm</v>
      </c>
      <c r="AE36" s="42" t="str">
        <f>IFERROR(VLOOKUP(C36,[34]Planilha1!$B:$C,2,0),"Não se Aplica")</f>
        <v>Sim</v>
      </c>
      <c r="AF36" s="42" t="str">
        <f>VLOOKUP(AD36,[34]Planilha1!$H:$J,3,0)</f>
        <v>Não</v>
      </c>
      <c r="AG36" s="43">
        <f t="shared" si="27"/>
        <v>29196.5952</v>
      </c>
    </row>
    <row r="37" spans="1:33" x14ac:dyDescent="0.3">
      <c r="A37" s="1" t="s">
        <v>837</v>
      </c>
      <c r="B37" s="34" t="s">
        <v>28</v>
      </c>
      <c r="C37" s="35" t="s">
        <v>124</v>
      </c>
      <c r="D37" s="34" t="s">
        <v>130</v>
      </c>
      <c r="E37" s="36" t="s">
        <v>131</v>
      </c>
      <c r="F37" s="34" t="s">
        <v>127</v>
      </c>
      <c r="G37" s="34" t="s">
        <v>32</v>
      </c>
      <c r="H37" s="34" t="s">
        <v>128</v>
      </c>
      <c r="I37" s="37">
        <f t="shared" si="28"/>
        <v>1648.6179999999999</v>
      </c>
      <c r="J37" s="37">
        <f t="shared" si="29"/>
        <v>1648.6179999999999</v>
      </c>
      <c r="K37" s="37">
        <f t="shared" si="30"/>
        <v>1648.6179999999999</v>
      </c>
      <c r="L37" s="37">
        <f t="shared" si="31"/>
        <v>1648.6179999999999</v>
      </c>
      <c r="M37" s="37">
        <f t="shared" si="32"/>
        <v>1648.6179999999999</v>
      </c>
      <c r="N37" s="37">
        <f t="shared" si="33"/>
        <v>1648.6179999999999</v>
      </c>
      <c r="O37" s="37">
        <f t="shared" si="34"/>
        <v>1648.6179999999999</v>
      </c>
      <c r="P37" s="37">
        <f t="shared" si="35"/>
        <v>1648.6179999999999</v>
      </c>
      <c r="Q37" s="37">
        <f t="shared" si="36"/>
        <v>1648.6179999999999</v>
      </c>
      <c r="R37" s="37">
        <f t="shared" si="37"/>
        <v>1648.6179999999999</v>
      </c>
      <c r="S37" s="37">
        <f t="shared" si="38"/>
        <v>1648.6179999999999</v>
      </c>
      <c r="T37" s="37">
        <f t="shared" si="39"/>
        <v>1648.6179999999999</v>
      </c>
      <c r="U37" s="37">
        <f t="shared" ref="U37:U99" si="40">SUM(I37:T37)</f>
        <v>19783.415999999997</v>
      </c>
      <c r="W37" s="38">
        <v>1600.6</v>
      </c>
      <c r="X37" s="39">
        <v>46074</v>
      </c>
      <c r="Y37" s="40" t="s">
        <v>51</v>
      </c>
      <c r="Z37" s="40" t="s">
        <v>55</v>
      </c>
      <c r="AA37" s="40" t="s">
        <v>45</v>
      </c>
      <c r="AB37" s="41">
        <v>0.03</v>
      </c>
      <c r="AD37" s="42" t="str">
        <f>C37&amp;A37</f>
        <v>ASSESSORIA JURIDICAAdm</v>
      </c>
      <c r="AE37" s="42" t="str">
        <f>IFERROR(VLOOKUP(C37,[34]Planilha1!$B:$C,2,0),"Não se Aplica")</f>
        <v>Sim</v>
      </c>
      <c r="AF37" s="42" t="str">
        <f>VLOOKUP(AD37,[34]Planilha1!$H:$J,3,0)</f>
        <v>Não</v>
      </c>
      <c r="AG37" s="43">
        <f t="shared" si="27"/>
        <v>19783.415999999997</v>
      </c>
    </row>
    <row r="38" spans="1:33" x14ac:dyDescent="0.3">
      <c r="A38" s="1" t="s">
        <v>837</v>
      </c>
      <c r="B38" s="34" t="s">
        <v>20</v>
      </c>
      <c r="C38" s="35" t="s">
        <v>124</v>
      </c>
      <c r="D38" s="34" t="s">
        <v>132</v>
      </c>
      <c r="E38" s="36" t="s">
        <v>131</v>
      </c>
      <c r="F38" s="34" t="s">
        <v>127</v>
      </c>
      <c r="G38" s="34" t="s">
        <v>32</v>
      </c>
      <c r="H38" s="34" t="s">
        <v>128</v>
      </c>
      <c r="I38" s="37">
        <f t="shared" si="28"/>
        <v>3657.53</v>
      </c>
      <c r="J38" s="37">
        <f t="shared" si="29"/>
        <v>3657.53</v>
      </c>
      <c r="K38" s="37">
        <f t="shared" si="30"/>
        <v>3657.53</v>
      </c>
      <c r="L38" s="37">
        <f t="shared" si="31"/>
        <v>3657.53</v>
      </c>
      <c r="M38" s="37">
        <f t="shared" si="32"/>
        <v>3657.53</v>
      </c>
      <c r="N38" s="37">
        <f t="shared" si="33"/>
        <v>3657.53</v>
      </c>
      <c r="O38" s="37">
        <f t="shared" si="34"/>
        <v>3657.53</v>
      </c>
      <c r="P38" s="37">
        <f t="shared" si="35"/>
        <v>3657.53</v>
      </c>
      <c r="Q38" s="37">
        <f t="shared" si="36"/>
        <v>3657.53</v>
      </c>
      <c r="R38" s="37">
        <f t="shared" si="37"/>
        <v>3657.53</v>
      </c>
      <c r="S38" s="37">
        <f t="shared" si="38"/>
        <v>3657.53</v>
      </c>
      <c r="T38" s="37">
        <f t="shared" si="39"/>
        <v>3657.53</v>
      </c>
      <c r="U38" s="37">
        <f t="shared" si="40"/>
        <v>43890.359999999993</v>
      </c>
      <c r="W38" s="38">
        <v>3551</v>
      </c>
      <c r="X38" s="39">
        <v>46074</v>
      </c>
      <c r="Y38" s="40" t="s">
        <v>51</v>
      </c>
      <c r="Z38" s="40" t="s">
        <v>55</v>
      </c>
      <c r="AA38" s="40" t="s">
        <v>45</v>
      </c>
      <c r="AB38" s="41">
        <v>0.03</v>
      </c>
      <c r="AD38" s="42" t="str">
        <f>C38&amp;A38</f>
        <v>ASSESSORIA JURIDICAAdm</v>
      </c>
      <c r="AE38" s="42" t="str">
        <f>IFERROR(VLOOKUP(C38,[34]Planilha1!$B:$C,2,0),"Não se Aplica")</f>
        <v>Sim</v>
      </c>
      <c r="AF38" s="42" t="str">
        <f>VLOOKUP(AD38,[34]Planilha1!$H:$J,3,0)</f>
        <v>Não</v>
      </c>
      <c r="AG38" s="43">
        <f t="shared" si="27"/>
        <v>43890.359999999993</v>
      </c>
    </row>
    <row r="39" spans="1:33" x14ac:dyDescent="0.3">
      <c r="A39" s="1" t="s">
        <v>837</v>
      </c>
      <c r="B39" s="34" t="s">
        <v>20</v>
      </c>
      <c r="C39" s="35" t="s">
        <v>124</v>
      </c>
      <c r="D39" s="34" t="s">
        <v>133</v>
      </c>
      <c r="E39" s="36" t="s">
        <v>131</v>
      </c>
      <c r="F39" s="34" t="s">
        <v>127</v>
      </c>
      <c r="G39" s="34" t="s">
        <v>32</v>
      </c>
      <c r="H39" s="34" t="s">
        <v>128</v>
      </c>
      <c r="I39" s="37">
        <f t="shared" si="28"/>
        <v>16745.894499999999</v>
      </c>
      <c r="J39" s="37">
        <f t="shared" si="29"/>
        <v>16745.894499999999</v>
      </c>
      <c r="K39" s="37">
        <f t="shared" si="30"/>
        <v>16745.894499999999</v>
      </c>
      <c r="L39" s="37">
        <f t="shared" si="31"/>
        <v>16745.894499999999</v>
      </c>
      <c r="M39" s="37">
        <f t="shared" si="32"/>
        <v>16745.894499999999</v>
      </c>
      <c r="N39" s="37">
        <f t="shared" si="33"/>
        <v>16745.894499999999</v>
      </c>
      <c r="O39" s="37">
        <f t="shared" si="34"/>
        <v>16745.894499999999</v>
      </c>
      <c r="P39" s="37">
        <f t="shared" si="35"/>
        <v>16745.894499999999</v>
      </c>
      <c r="Q39" s="37">
        <f t="shared" si="36"/>
        <v>16745.894499999999</v>
      </c>
      <c r="R39" s="37">
        <f t="shared" si="37"/>
        <v>16745.894499999999</v>
      </c>
      <c r="S39" s="37">
        <f t="shared" si="38"/>
        <v>16745.894499999999</v>
      </c>
      <c r="T39" s="37">
        <f t="shared" si="39"/>
        <v>16745.894499999999</v>
      </c>
      <c r="U39" s="37">
        <f t="shared" si="40"/>
        <v>200950.73399999997</v>
      </c>
      <c r="W39" s="51">
        <v>16258.15</v>
      </c>
      <c r="X39" s="39">
        <v>46074</v>
      </c>
      <c r="Y39" s="40" t="s">
        <v>51</v>
      </c>
      <c r="Z39" s="40" t="s">
        <v>55</v>
      </c>
      <c r="AA39" s="40" t="s">
        <v>45</v>
      </c>
      <c r="AB39" s="41">
        <v>0.03</v>
      </c>
      <c r="AD39" s="42" t="str">
        <f>C39&amp;A39</f>
        <v>ASSESSORIA JURIDICAAdm</v>
      </c>
      <c r="AE39" s="42" t="str">
        <f>IFERROR(VLOOKUP(C39,[34]Planilha1!$B:$C,2,0),"Não se Aplica")</f>
        <v>Sim</v>
      </c>
      <c r="AF39" s="42" t="str">
        <f>VLOOKUP(AD39,[34]Planilha1!$H:$J,3,0)</f>
        <v>Não</v>
      </c>
      <c r="AG39" s="43">
        <f t="shared" si="27"/>
        <v>200950.73399999997</v>
      </c>
    </row>
    <row r="40" spans="1:33" x14ac:dyDescent="0.3">
      <c r="A40" s="1" t="s">
        <v>837</v>
      </c>
      <c r="B40" s="34" t="s">
        <v>28</v>
      </c>
      <c r="C40" s="35" t="s">
        <v>124</v>
      </c>
      <c r="D40" s="34" t="s">
        <v>133</v>
      </c>
      <c r="E40" s="36" t="s">
        <v>131</v>
      </c>
      <c r="F40" s="34" t="s">
        <v>127</v>
      </c>
      <c r="G40" s="34" t="s">
        <v>32</v>
      </c>
      <c r="H40" s="34" t="s">
        <v>128</v>
      </c>
      <c r="I40" s="37">
        <f t="shared" si="28"/>
        <v>16756.503500000003</v>
      </c>
      <c r="J40" s="37">
        <f t="shared" si="29"/>
        <v>16756.503500000003</v>
      </c>
      <c r="K40" s="37">
        <f t="shared" si="30"/>
        <v>16756.503500000003</v>
      </c>
      <c r="L40" s="37">
        <f t="shared" si="31"/>
        <v>16756.503500000003</v>
      </c>
      <c r="M40" s="37">
        <f t="shared" si="32"/>
        <v>16756.503500000003</v>
      </c>
      <c r="N40" s="37">
        <f t="shared" si="33"/>
        <v>16756.503500000003</v>
      </c>
      <c r="O40" s="37">
        <f t="shared" si="34"/>
        <v>16756.503500000003</v>
      </c>
      <c r="P40" s="37">
        <f t="shared" si="35"/>
        <v>16756.503500000003</v>
      </c>
      <c r="Q40" s="37">
        <f t="shared" si="36"/>
        <v>16756.503500000003</v>
      </c>
      <c r="R40" s="37">
        <f t="shared" si="37"/>
        <v>16756.503500000003</v>
      </c>
      <c r="S40" s="37">
        <f t="shared" si="38"/>
        <v>16756.503500000003</v>
      </c>
      <c r="T40" s="37">
        <f t="shared" si="39"/>
        <v>16756.503500000003</v>
      </c>
      <c r="U40" s="37">
        <f t="shared" si="40"/>
        <v>201078.04199999999</v>
      </c>
      <c r="W40" s="51">
        <v>16268.45</v>
      </c>
      <c r="X40" s="39">
        <v>46074</v>
      </c>
      <c r="Y40" s="40" t="s">
        <v>51</v>
      </c>
      <c r="Z40" s="40" t="s">
        <v>55</v>
      </c>
      <c r="AA40" s="40" t="s">
        <v>45</v>
      </c>
      <c r="AB40" s="41">
        <v>0.03</v>
      </c>
      <c r="AD40" s="42" t="str">
        <f>C40&amp;A40</f>
        <v>ASSESSORIA JURIDICAAdm</v>
      </c>
      <c r="AE40" s="42" t="str">
        <f>IFERROR(VLOOKUP(C40,[34]Planilha1!$B:$C,2,0),"Não se Aplica")</f>
        <v>Sim</v>
      </c>
      <c r="AF40" s="42" t="str">
        <f>VLOOKUP(AD40,[34]Planilha1!$H:$J,3,0)</f>
        <v>Não</v>
      </c>
      <c r="AG40" s="43">
        <f t="shared" si="27"/>
        <v>201078.04199999999</v>
      </c>
    </row>
    <row r="41" spans="1:33" x14ac:dyDescent="0.3">
      <c r="A41" s="1" t="s">
        <v>837</v>
      </c>
      <c r="B41" s="34" t="s">
        <v>20</v>
      </c>
      <c r="C41" s="35" t="s">
        <v>117</v>
      </c>
      <c r="D41" s="34" t="s">
        <v>134</v>
      </c>
      <c r="E41" s="36" t="s">
        <v>135</v>
      </c>
      <c r="F41" s="34" t="s">
        <v>127</v>
      </c>
      <c r="G41" s="34" t="s">
        <v>32</v>
      </c>
      <c r="H41" s="34" t="s">
        <v>128</v>
      </c>
      <c r="I41" s="37">
        <f t="shared" si="28"/>
        <v>113</v>
      </c>
      <c r="J41" s="37">
        <f t="shared" si="29"/>
        <v>113</v>
      </c>
      <c r="K41" s="37">
        <f t="shared" si="30"/>
        <v>113</v>
      </c>
      <c r="L41" s="37">
        <f t="shared" si="31"/>
        <v>113</v>
      </c>
      <c r="M41" s="37">
        <f t="shared" si="32"/>
        <v>113</v>
      </c>
      <c r="N41" s="37">
        <f t="shared" si="33"/>
        <v>113</v>
      </c>
      <c r="O41" s="37">
        <f t="shared" si="34"/>
        <v>116.39</v>
      </c>
      <c r="P41" s="37">
        <f t="shared" si="35"/>
        <v>116.39</v>
      </c>
      <c r="Q41" s="37">
        <f t="shared" si="36"/>
        <v>116.39</v>
      </c>
      <c r="R41" s="37">
        <f t="shared" si="37"/>
        <v>116.39</v>
      </c>
      <c r="S41" s="37">
        <f t="shared" si="38"/>
        <v>116.39</v>
      </c>
      <c r="T41" s="37">
        <f t="shared" si="39"/>
        <v>116.39</v>
      </c>
      <c r="U41" s="37">
        <f t="shared" si="40"/>
        <v>1376.3400000000004</v>
      </c>
      <c r="W41" s="51">
        <v>113</v>
      </c>
      <c r="X41" s="39">
        <v>45891</v>
      </c>
      <c r="Y41" s="40" t="s">
        <v>102</v>
      </c>
      <c r="Z41" s="40" t="s">
        <v>55</v>
      </c>
      <c r="AA41" s="40" t="s">
        <v>45</v>
      </c>
      <c r="AB41" s="41">
        <v>0.03</v>
      </c>
      <c r="AD41" s="42" t="str">
        <f>C41&amp;A41</f>
        <v>ASSESSORIA ADMINISTRATIVAAdm</v>
      </c>
      <c r="AE41" s="42" t="str">
        <f>IFERROR(VLOOKUP(C41,[34]Planilha1!$B:$C,2,0),"Não se Aplica")</f>
        <v>Sim</v>
      </c>
      <c r="AF41" s="42" t="str">
        <f>VLOOKUP(AD41,[34]Planilha1!$H:$J,3,0)</f>
        <v>Não</v>
      </c>
      <c r="AG41" s="43">
        <f t="shared" si="27"/>
        <v>1376.3400000000004</v>
      </c>
    </row>
    <row r="42" spans="1:33" x14ac:dyDescent="0.3">
      <c r="A42" s="1" t="s">
        <v>837</v>
      </c>
      <c r="B42" s="34" t="s">
        <v>28</v>
      </c>
      <c r="C42" s="35" t="s">
        <v>117</v>
      </c>
      <c r="D42" s="34" t="s">
        <v>134</v>
      </c>
      <c r="E42" s="36" t="s">
        <v>135</v>
      </c>
      <c r="F42" s="34" t="s">
        <v>127</v>
      </c>
      <c r="G42" s="34" t="s">
        <v>32</v>
      </c>
      <c r="H42" s="34" t="s">
        <v>128</v>
      </c>
      <c r="I42" s="37">
        <f t="shared" si="28"/>
        <v>113</v>
      </c>
      <c r="J42" s="37">
        <f t="shared" si="29"/>
        <v>113</v>
      </c>
      <c r="K42" s="37">
        <f t="shared" si="30"/>
        <v>113</v>
      </c>
      <c r="L42" s="37">
        <f t="shared" si="31"/>
        <v>113</v>
      </c>
      <c r="M42" s="37">
        <f t="shared" si="32"/>
        <v>113</v>
      </c>
      <c r="N42" s="37">
        <f t="shared" si="33"/>
        <v>113</v>
      </c>
      <c r="O42" s="37">
        <f t="shared" si="34"/>
        <v>116.39</v>
      </c>
      <c r="P42" s="37">
        <f t="shared" si="35"/>
        <v>116.39</v>
      </c>
      <c r="Q42" s="37">
        <f t="shared" si="36"/>
        <v>116.39</v>
      </c>
      <c r="R42" s="37">
        <f t="shared" si="37"/>
        <v>116.39</v>
      </c>
      <c r="S42" s="37">
        <f t="shared" si="38"/>
        <v>116.39</v>
      </c>
      <c r="T42" s="37">
        <f t="shared" si="39"/>
        <v>116.39</v>
      </c>
      <c r="U42" s="37">
        <f t="shared" si="40"/>
        <v>1376.3400000000004</v>
      </c>
      <c r="W42" s="51">
        <v>113</v>
      </c>
      <c r="X42" s="39">
        <v>45891</v>
      </c>
      <c r="Y42" s="40" t="s">
        <v>102</v>
      </c>
      <c r="Z42" s="40" t="s">
        <v>55</v>
      </c>
      <c r="AA42" s="40" t="s">
        <v>45</v>
      </c>
      <c r="AB42" s="41">
        <v>0.03</v>
      </c>
      <c r="AD42" s="42" t="str">
        <f>C42&amp;A42</f>
        <v>ASSESSORIA ADMINISTRATIVAAdm</v>
      </c>
      <c r="AE42" s="42" t="str">
        <f>IFERROR(VLOOKUP(C42,[34]Planilha1!$B:$C,2,0),"Não se Aplica")</f>
        <v>Sim</v>
      </c>
      <c r="AF42" s="42" t="str">
        <f>VLOOKUP(AD42,[34]Planilha1!$H:$J,3,0)</f>
        <v>Não</v>
      </c>
      <c r="AG42" s="43">
        <f t="shared" si="27"/>
        <v>1376.3400000000004</v>
      </c>
    </row>
    <row r="43" spans="1:33" x14ac:dyDescent="0.3">
      <c r="A43" s="1" t="s">
        <v>837</v>
      </c>
      <c r="B43" s="34" t="s">
        <v>20</v>
      </c>
      <c r="C43" s="35" t="s">
        <v>124</v>
      </c>
      <c r="D43" s="34" t="s">
        <v>136</v>
      </c>
      <c r="E43" s="36" t="s">
        <v>137</v>
      </c>
      <c r="F43" s="34" t="s">
        <v>127</v>
      </c>
      <c r="G43" s="34" t="s">
        <v>32</v>
      </c>
      <c r="H43" s="34" t="s">
        <v>128</v>
      </c>
      <c r="I43" s="37">
        <f t="shared" si="28"/>
        <v>382.8</v>
      </c>
      <c r="J43" s="37">
        <f t="shared" si="29"/>
        <v>382.8</v>
      </c>
      <c r="K43" s="37">
        <f t="shared" si="30"/>
        <v>382.8</v>
      </c>
      <c r="L43" s="37">
        <f t="shared" si="31"/>
        <v>382.8</v>
      </c>
      <c r="M43" s="37">
        <f t="shared" si="32"/>
        <v>382.8</v>
      </c>
      <c r="N43" s="37">
        <f t="shared" si="33"/>
        <v>382.8</v>
      </c>
      <c r="O43" s="37">
        <f t="shared" si="34"/>
        <v>382.8</v>
      </c>
      <c r="P43" s="37">
        <f t="shared" si="35"/>
        <v>394.28400000000005</v>
      </c>
      <c r="Q43" s="37">
        <f t="shared" si="36"/>
        <v>394.28400000000005</v>
      </c>
      <c r="R43" s="37">
        <f t="shared" si="37"/>
        <v>394.28400000000005</v>
      </c>
      <c r="S43" s="37">
        <f t="shared" si="38"/>
        <v>394.28400000000005</v>
      </c>
      <c r="T43" s="37">
        <f t="shared" si="39"/>
        <v>394.28400000000005</v>
      </c>
      <c r="U43" s="37">
        <f t="shared" si="40"/>
        <v>4651.0200000000004</v>
      </c>
      <c r="W43" s="51">
        <v>382.8</v>
      </c>
      <c r="X43" s="39">
        <v>45906</v>
      </c>
      <c r="Y43" s="40" t="s">
        <v>65</v>
      </c>
      <c r="Z43" s="40" t="s">
        <v>55</v>
      </c>
      <c r="AA43" s="40" t="s">
        <v>45</v>
      </c>
      <c r="AB43" s="41">
        <v>0.03</v>
      </c>
      <c r="AD43" s="42" t="str">
        <f>C43&amp;A43</f>
        <v>ASSESSORIA JURIDICAAdm</v>
      </c>
      <c r="AE43" s="42" t="str">
        <f>IFERROR(VLOOKUP(C43,[34]Planilha1!$B:$C,2,0),"Não se Aplica")</f>
        <v>Sim</v>
      </c>
      <c r="AF43" s="42" t="str">
        <f>VLOOKUP(AD43,[34]Planilha1!$H:$J,3,0)</f>
        <v>Não</v>
      </c>
      <c r="AG43" s="43">
        <f t="shared" si="27"/>
        <v>4651.0200000000004</v>
      </c>
    </row>
    <row r="44" spans="1:33" x14ac:dyDescent="0.3">
      <c r="A44" s="1" t="s">
        <v>837</v>
      </c>
      <c r="B44" s="34" t="s">
        <v>28</v>
      </c>
      <c r="C44" s="35" t="s">
        <v>124</v>
      </c>
      <c r="D44" s="34" t="s">
        <v>136</v>
      </c>
      <c r="E44" s="36" t="s">
        <v>137</v>
      </c>
      <c r="F44" s="34" t="s">
        <v>127</v>
      </c>
      <c r="G44" s="34" t="s">
        <v>32</v>
      </c>
      <c r="H44" s="34" t="s">
        <v>128</v>
      </c>
      <c r="I44" s="37">
        <f t="shared" si="28"/>
        <v>1020.8</v>
      </c>
      <c r="J44" s="37">
        <f t="shared" si="29"/>
        <v>1020.8</v>
      </c>
      <c r="K44" s="37">
        <f t="shared" si="30"/>
        <v>1020.8</v>
      </c>
      <c r="L44" s="37">
        <f t="shared" si="31"/>
        <v>1020.8</v>
      </c>
      <c r="M44" s="37">
        <f t="shared" si="32"/>
        <v>1020.8</v>
      </c>
      <c r="N44" s="37">
        <f t="shared" si="33"/>
        <v>1020.8</v>
      </c>
      <c r="O44" s="37">
        <f t="shared" si="34"/>
        <v>1020.8</v>
      </c>
      <c r="P44" s="37">
        <f t="shared" si="35"/>
        <v>1051.424</v>
      </c>
      <c r="Q44" s="37">
        <f t="shared" si="36"/>
        <v>1051.424</v>
      </c>
      <c r="R44" s="37">
        <f t="shared" si="37"/>
        <v>1051.424</v>
      </c>
      <c r="S44" s="37">
        <f t="shared" si="38"/>
        <v>1051.424</v>
      </c>
      <c r="T44" s="37">
        <f t="shared" si="39"/>
        <v>1051.424</v>
      </c>
      <c r="U44" s="37">
        <f t="shared" si="40"/>
        <v>12402.719999999998</v>
      </c>
      <c r="W44" s="51">
        <v>1020.8</v>
      </c>
      <c r="X44" s="39">
        <v>45906</v>
      </c>
      <c r="Y44" s="40" t="s">
        <v>65</v>
      </c>
      <c r="Z44" s="40" t="s">
        <v>55</v>
      </c>
      <c r="AA44" s="40" t="s">
        <v>45</v>
      </c>
      <c r="AB44" s="41">
        <v>0.03</v>
      </c>
      <c r="AD44" s="42" t="str">
        <f>C44&amp;A44</f>
        <v>ASSESSORIA JURIDICAAdm</v>
      </c>
      <c r="AE44" s="42" t="str">
        <f>IFERROR(VLOOKUP(C44,[34]Planilha1!$B:$C,2,0),"Não se Aplica")</f>
        <v>Sim</v>
      </c>
      <c r="AF44" s="42" t="str">
        <f>VLOOKUP(AD44,[34]Planilha1!$H:$J,3,0)</f>
        <v>Não</v>
      </c>
      <c r="AG44" s="43">
        <f t="shared" si="27"/>
        <v>12402.719999999998</v>
      </c>
    </row>
    <row r="45" spans="1:33" x14ac:dyDescent="0.3">
      <c r="A45" s="1" t="s">
        <v>837</v>
      </c>
      <c r="B45" s="34" t="s">
        <v>20</v>
      </c>
      <c r="C45" s="35" t="s">
        <v>124</v>
      </c>
      <c r="D45" s="34" t="s">
        <v>138</v>
      </c>
      <c r="E45" s="36" t="s">
        <v>139</v>
      </c>
      <c r="F45" s="34" t="s">
        <v>127</v>
      </c>
      <c r="G45" s="34" t="s">
        <v>32</v>
      </c>
      <c r="H45" s="34" t="s">
        <v>128</v>
      </c>
      <c r="I45" s="37">
        <f t="shared" si="28"/>
        <v>5000</v>
      </c>
      <c r="J45" s="37">
        <f t="shared" si="29"/>
        <v>5000</v>
      </c>
      <c r="K45" s="37">
        <f t="shared" si="30"/>
        <v>5000</v>
      </c>
      <c r="L45" s="37">
        <f t="shared" si="31"/>
        <v>5000</v>
      </c>
      <c r="M45" s="37">
        <f t="shared" si="32"/>
        <v>5000</v>
      </c>
      <c r="N45" s="37">
        <f t="shared" si="33"/>
        <v>5000</v>
      </c>
      <c r="O45" s="37">
        <f t="shared" si="34"/>
        <v>5150</v>
      </c>
      <c r="P45" s="37">
        <f t="shared" si="35"/>
        <v>5150</v>
      </c>
      <c r="Q45" s="37">
        <f t="shared" si="36"/>
        <v>5150</v>
      </c>
      <c r="R45" s="37">
        <f t="shared" si="37"/>
        <v>5150</v>
      </c>
      <c r="S45" s="37">
        <f t="shared" si="38"/>
        <v>5150</v>
      </c>
      <c r="T45" s="37">
        <f t="shared" si="39"/>
        <v>5150</v>
      </c>
      <c r="U45" s="37">
        <f t="shared" si="40"/>
        <v>60900</v>
      </c>
      <c r="W45" s="51">
        <v>5000</v>
      </c>
      <c r="X45" s="39">
        <v>45871</v>
      </c>
      <c r="Y45" s="40" t="s">
        <v>102</v>
      </c>
      <c r="Z45" s="40" t="s">
        <v>55</v>
      </c>
      <c r="AA45" s="40" t="s">
        <v>45</v>
      </c>
      <c r="AB45" s="41">
        <v>0.03</v>
      </c>
      <c r="AD45" s="42" t="str">
        <f>C45&amp;A45</f>
        <v>ASSESSORIA JURIDICAAdm</v>
      </c>
      <c r="AE45" s="42" t="str">
        <f>IFERROR(VLOOKUP(C45,[34]Planilha1!$B:$C,2,0),"Não se Aplica")</f>
        <v>Sim</v>
      </c>
      <c r="AF45" s="42" t="str">
        <f>VLOOKUP(AD45,[34]Planilha1!$H:$J,3,0)</f>
        <v>Não</v>
      </c>
      <c r="AG45" s="43">
        <f t="shared" si="27"/>
        <v>60900</v>
      </c>
    </row>
    <row r="46" spans="1:33" x14ac:dyDescent="0.3">
      <c r="A46" s="1" t="s">
        <v>837</v>
      </c>
      <c r="B46" s="34" t="s">
        <v>28</v>
      </c>
      <c r="C46" s="35" t="s">
        <v>124</v>
      </c>
      <c r="D46" s="36" t="s">
        <v>140</v>
      </c>
      <c r="E46" s="36" t="s">
        <v>141</v>
      </c>
      <c r="F46" s="34" t="s">
        <v>127</v>
      </c>
      <c r="G46" s="34" t="s">
        <v>32</v>
      </c>
      <c r="H46" s="34" t="s">
        <v>128</v>
      </c>
      <c r="I46" s="37">
        <f t="shared" si="28"/>
        <v>1833.5</v>
      </c>
      <c r="J46" s="37">
        <f t="shared" si="29"/>
        <v>1833.5</v>
      </c>
      <c r="K46" s="37">
        <f t="shared" si="30"/>
        <v>1833.5</v>
      </c>
      <c r="L46" s="37">
        <f t="shared" si="31"/>
        <v>1833.5</v>
      </c>
      <c r="M46" s="37">
        <f t="shared" si="32"/>
        <v>1833.5</v>
      </c>
      <c r="N46" s="37">
        <f t="shared" si="33"/>
        <v>1833.5</v>
      </c>
      <c r="O46" s="37">
        <f t="shared" si="34"/>
        <v>1833.5</v>
      </c>
      <c r="P46" s="37">
        <f t="shared" si="35"/>
        <v>1888.5050000000001</v>
      </c>
      <c r="Q46" s="37">
        <f t="shared" si="36"/>
        <v>1888.5050000000001</v>
      </c>
      <c r="R46" s="37">
        <f t="shared" si="37"/>
        <v>1888.5050000000001</v>
      </c>
      <c r="S46" s="37">
        <f t="shared" si="38"/>
        <v>1888.5050000000001</v>
      </c>
      <c r="T46" s="37">
        <f t="shared" si="39"/>
        <v>1888.5050000000001</v>
      </c>
      <c r="U46" s="37">
        <f t="shared" si="40"/>
        <v>22277.025000000005</v>
      </c>
      <c r="V46" s="6"/>
      <c r="W46" s="51">
        <v>1833.5</v>
      </c>
      <c r="X46" s="39">
        <v>45899</v>
      </c>
      <c r="Y46" s="40" t="s">
        <v>65</v>
      </c>
      <c r="Z46" s="40" t="s">
        <v>55</v>
      </c>
      <c r="AA46" s="40" t="s">
        <v>45</v>
      </c>
      <c r="AB46" s="41">
        <v>0.03</v>
      </c>
      <c r="AD46" s="42" t="str">
        <f>C46&amp;A46</f>
        <v>ASSESSORIA JURIDICAAdm</v>
      </c>
      <c r="AE46" s="42" t="str">
        <f>IFERROR(VLOOKUP(C46,[34]Planilha1!$B:$C,2,0),"Não se Aplica")</f>
        <v>Sim</v>
      </c>
      <c r="AF46" s="42" t="str">
        <f>VLOOKUP(AD46,[34]Planilha1!$H:$J,3,0)</f>
        <v>Não</v>
      </c>
      <c r="AG46" s="43">
        <f t="shared" si="27"/>
        <v>22277.025000000005</v>
      </c>
    </row>
    <row r="47" spans="1:33" x14ac:dyDescent="0.3">
      <c r="A47" s="1" t="s">
        <v>837</v>
      </c>
      <c r="B47" s="34" t="s">
        <v>20</v>
      </c>
      <c r="C47" s="35" t="s">
        <v>124</v>
      </c>
      <c r="D47" s="34" t="s">
        <v>142</v>
      </c>
      <c r="E47" s="36" t="s">
        <v>141</v>
      </c>
      <c r="F47" s="34" t="s">
        <v>127</v>
      </c>
      <c r="G47" s="34" t="s">
        <v>32</v>
      </c>
      <c r="H47" s="34" t="s">
        <v>128</v>
      </c>
      <c r="I47" s="37">
        <f t="shared" si="28"/>
        <v>916.75</v>
      </c>
      <c r="J47" s="37">
        <f t="shared" si="29"/>
        <v>916.75</v>
      </c>
      <c r="K47" s="37">
        <f t="shared" si="30"/>
        <v>916.75</v>
      </c>
      <c r="L47" s="37">
        <f t="shared" si="31"/>
        <v>916.75</v>
      </c>
      <c r="M47" s="37">
        <f t="shared" si="32"/>
        <v>916.75</v>
      </c>
      <c r="N47" s="37">
        <f t="shared" si="33"/>
        <v>916.75</v>
      </c>
      <c r="O47" s="37">
        <f t="shared" si="34"/>
        <v>916.75</v>
      </c>
      <c r="P47" s="37">
        <f t="shared" si="35"/>
        <v>944.25250000000005</v>
      </c>
      <c r="Q47" s="37">
        <f t="shared" si="36"/>
        <v>944.25250000000005</v>
      </c>
      <c r="R47" s="37">
        <f t="shared" si="37"/>
        <v>944.25250000000005</v>
      </c>
      <c r="S47" s="37">
        <f t="shared" si="38"/>
        <v>944.25250000000005</v>
      </c>
      <c r="T47" s="37">
        <f t="shared" si="39"/>
        <v>944.25250000000005</v>
      </c>
      <c r="U47" s="37">
        <f t="shared" si="40"/>
        <v>11138.512500000003</v>
      </c>
      <c r="W47" s="51">
        <v>916.75</v>
      </c>
      <c r="X47" s="39">
        <v>45899</v>
      </c>
      <c r="Y47" s="40" t="s">
        <v>65</v>
      </c>
      <c r="Z47" s="40" t="s">
        <v>55</v>
      </c>
      <c r="AA47" s="40" t="s">
        <v>45</v>
      </c>
      <c r="AB47" s="41">
        <v>0.03</v>
      </c>
      <c r="AD47" s="42" t="str">
        <f>C47&amp;A47</f>
        <v>ASSESSORIA JURIDICAAdm</v>
      </c>
      <c r="AE47" s="42" t="str">
        <f>IFERROR(VLOOKUP(C47,[34]Planilha1!$B:$C,2,0),"Não se Aplica")</f>
        <v>Sim</v>
      </c>
      <c r="AF47" s="42" t="str">
        <f>VLOOKUP(AD47,[34]Planilha1!$H:$J,3,0)</f>
        <v>Não</v>
      </c>
      <c r="AG47" s="43">
        <f t="shared" si="27"/>
        <v>11138.512500000003</v>
      </c>
    </row>
    <row r="48" spans="1:33" x14ac:dyDescent="0.3">
      <c r="A48" s="1" t="s">
        <v>837</v>
      </c>
      <c r="B48" s="34" t="s">
        <v>20</v>
      </c>
      <c r="C48" s="35" t="s">
        <v>124</v>
      </c>
      <c r="D48" s="34" t="s">
        <v>143</v>
      </c>
      <c r="E48" s="36" t="s">
        <v>144</v>
      </c>
      <c r="F48" s="34" t="s">
        <v>127</v>
      </c>
      <c r="G48" s="34" t="s">
        <v>32</v>
      </c>
      <c r="H48" s="34" t="s">
        <v>128</v>
      </c>
      <c r="I48" s="37">
        <f t="shared" si="28"/>
        <v>583.33333333333303</v>
      </c>
      <c r="J48" s="37">
        <f t="shared" si="29"/>
        <v>583.33333333333303</v>
      </c>
      <c r="K48" s="37">
        <f t="shared" si="30"/>
        <v>583.33333333333303</v>
      </c>
      <c r="L48" s="37">
        <f t="shared" si="31"/>
        <v>583.33333333333303</v>
      </c>
      <c r="M48" s="37">
        <f t="shared" si="32"/>
        <v>583.33333333333303</v>
      </c>
      <c r="N48" s="37">
        <f t="shared" si="33"/>
        <v>583.33333333333303</v>
      </c>
      <c r="O48" s="37">
        <f t="shared" si="34"/>
        <v>583.33333333333303</v>
      </c>
      <c r="P48" s="37">
        <f t="shared" si="35"/>
        <v>600.83333333333303</v>
      </c>
      <c r="Q48" s="37">
        <f t="shared" si="36"/>
        <v>600.83333333333303</v>
      </c>
      <c r="R48" s="37">
        <f t="shared" si="37"/>
        <v>600.83333333333303</v>
      </c>
      <c r="S48" s="37">
        <f t="shared" si="38"/>
        <v>600.83333333333303</v>
      </c>
      <c r="T48" s="37">
        <f t="shared" si="39"/>
        <v>600.83333333333303</v>
      </c>
      <c r="U48" s="37">
        <f t="shared" si="40"/>
        <v>7087.4999999999964</v>
      </c>
      <c r="W48" s="51">
        <v>583.33333333333303</v>
      </c>
      <c r="X48" s="39">
        <v>46263</v>
      </c>
      <c r="Y48" s="40" t="s">
        <v>65</v>
      </c>
      <c r="Z48" s="40" t="s">
        <v>55</v>
      </c>
      <c r="AA48" s="40" t="s">
        <v>45</v>
      </c>
      <c r="AB48" s="41">
        <v>0.03</v>
      </c>
      <c r="AD48" s="42" t="str">
        <f>C48&amp;A48</f>
        <v>ASSESSORIA JURIDICAAdm</v>
      </c>
      <c r="AE48" s="42" t="str">
        <f>IFERROR(VLOOKUP(C48,[34]Planilha1!$B:$C,2,0),"Não se Aplica")</f>
        <v>Sim</v>
      </c>
      <c r="AF48" s="42" t="str">
        <f>VLOOKUP(AD48,[34]Planilha1!$H:$J,3,0)</f>
        <v>Não</v>
      </c>
      <c r="AG48" s="43">
        <f t="shared" si="27"/>
        <v>7087.4999999999964</v>
      </c>
    </row>
    <row r="49" spans="1:33" x14ac:dyDescent="0.3">
      <c r="A49" s="1" t="s">
        <v>837</v>
      </c>
      <c r="B49" s="34" t="s">
        <v>20</v>
      </c>
      <c r="C49" s="35" t="s">
        <v>57</v>
      </c>
      <c r="D49" s="34" t="s">
        <v>145</v>
      </c>
      <c r="E49" s="36" t="s">
        <v>146</v>
      </c>
      <c r="F49" s="34" t="s">
        <v>127</v>
      </c>
      <c r="G49" s="34" t="s">
        <v>32</v>
      </c>
      <c r="H49" s="34" t="s">
        <v>128</v>
      </c>
      <c r="I49" s="37">
        <f t="shared" si="28"/>
        <v>4500</v>
      </c>
      <c r="J49" s="37">
        <f t="shared" si="29"/>
        <v>4500</v>
      </c>
      <c r="K49" s="37">
        <f t="shared" si="30"/>
        <v>4500</v>
      </c>
      <c r="L49" s="37">
        <f t="shared" si="31"/>
        <v>4500</v>
      </c>
      <c r="M49" s="37">
        <f t="shared" si="32"/>
        <v>4500</v>
      </c>
      <c r="N49" s="37">
        <f t="shared" si="33"/>
        <v>4500</v>
      </c>
      <c r="O49" s="37">
        <f t="shared" si="34"/>
        <v>4500</v>
      </c>
      <c r="P49" s="37">
        <f t="shared" si="35"/>
        <v>4500</v>
      </c>
      <c r="Q49" s="37">
        <f t="shared" si="36"/>
        <v>4500</v>
      </c>
      <c r="R49" s="37">
        <f t="shared" si="37"/>
        <v>4500</v>
      </c>
      <c r="S49" s="37">
        <f t="shared" si="38"/>
        <v>4500</v>
      </c>
      <c r="T49" s="37">
        <f t="shared" si="39"/>
        <v>4500</v>
      </c>
      <c r="U49" s="37">
        <f t="shared" si="40"/>
        <v>54000</v>
      </c>
      <c r="W49" s="51">
        <v>4500</v>
      </c>
      <c r="X49" s="39"/>
      <c r="Y49" s="40"/>
      <c r="Z49" s="40"/>
      <c r="AA49" s="40" t="s">
        <v>56</v>
      </c>
      <c r="AB49" s="41">
        <v>0</v>
      </c>
      <c r="AD49" s="42" t="str">
        <f>C49&amp;A49</f>
        <v>AUDITORIA/CONSULTORIAAdm</v>
      </c>
      <c r="AE49" s="42" t="str">
        <f>IFERROR(VLOOKUP(C49,[34]Planilha1!$B:$C,2,0),"Não se Aplica")</f>
        <v>Sim</v>
      </c>
      <c r="AF49" s="42" t="str">
        <f>VLOOKUP(AD49,[34]Planilha1!$H:$J,3,0)</f>
        <v>Não</v>
      </c>
      <c r="AG49" s="43">
        <f t="shared" si="27"/>
        <v>54000</v>
      </c>
    </row>
    <row r="50" spans="1:33" x14ac:dyDescent="0.3">
      <c r="A50" s="1" t="s">
        <v>837</v>
      </c>
      <c r="B50" s="34" t="s">
        <v>20</v>
      </c>
      <c r="C50" s="35" t="s">
        <v>124</v>
      </c>
      <c r="D50" s="34" t="s">
        <v>125</v>
      </c>
      <c r="E50" s="36" t="s">
        <v>147</v>
      </c>
      <c r="F50" s="34" t="s">
        <v>127</v>
      </c>
      <c r="G50" s="34" t="s">
        <v>32</v>
      </c>
      <c r="H50" s="34" t="s">
        <v>128</v>
      </c>
      <c r="I50" s="37">
        <f t="shared" si="28"/>
        <v>800.1</v>
      </c>
      <c r="J50" s="37">
        <f t="shared" si="29"/>
        <v>800.1</v>
      </c>
      <c r="K50" s="37">
        <f t="shared" si="30"/>
        <v>800.1</v>
      </c>
      <c r="L50" s="37">
        <f t="shared" si="31"/>
        <v>800.1</v>
      </c>
      <c r="M50" s="37">
        <f t="shared" si="32"/>
        <v>800.1</v>
      </c>
      <c r="N50" s="37">
        <f t="shared" si="33"/>
        <v>800.1</v>
      </c>
      <c r="O50" s="37">
        <f t="shared" si="34"/>
        <v>800.1</v>
      </c>
      <c r="P50" s="37">
        <f t="shared" si="35"/>
        <v>800.1</v>
      </c>
      <c r="Q50" s="37">
        <f t="shared" si="36"/>
        <v>800.1</v>
      </c>
      <c r="R50" s="37">
        <f t="shared" si="37"/>
        <v>800.1</v>
      </c>
      <c r="S50" s="37">
        <f t="shared" si="38"/>
        <v>800.1</v>
      </c>
      <c r="T50" s="37">
        <f t="shared" si="39"/>
        <v>800.1</v>
      </c>
      <c r="U50" s="37">
        <f t="shared" si="40"/>
        <v>9601.2000000000025</v>
      </c>
      <c r="W50" s="51">
        <v>800.1</v>
      </c>
      <c r="X50" s="39">
        <v>47448</v>
      </c>
      <c r="Y50" s="40" t="s">
        <v>51</v>
      </c>
      <c r="Z50" s="40" t="s">
        <v>55</v>
      </c>
      <c r="AA50" s="40" t="s">
        <v>56</v>
      </c>
      <c r="AB50" s="41">
        <v>0</v>
      </c>
      <c r="AD50" s="42" t="str">
        <f>C50&amp;A50</f>
        <v>ASSESSORIA JURIDICAAdm</v>
      </c>
      <c r="AE50" s="42" t="str">
        <f>IFERROR(VLOOKUP(C50,[34]Planilha1!$B:$C,2,0),"Não se Aplica")</f>
        <v>Sim</v>
      </c>
      <c r="AF50" s="42" t="str">
        <f>VLOOKUP(AD50,[34]Planilha1!$H:$J,3,0)</f>
        <v>Não</v>
      </c>
      <c r="AG50" s="43">
        <f t="shared" si="27"/>
        <v>9601.2000000000025</v>
      </c>
    </row>
    <row r="51" spans="1:33" x14ac:dyDescent="0.3">
      <c r="A51" s="1" t="s">
        <v>837</v>
      </c>
      <c r="B51" s="34" t="s">
        <v>20</v>
      </c>
      <c r="C51" s="35" t="s">
        <v>124</v>
      </c>
      <c r="D51" s="34" t="s">
        <v>148</v>
      </c>
      <c r="E51" s="36" t="s">
        <v>149</v>
      </c>
      <c r="F51" s="34" t="s">
        <v>127</v>
      </c>
      <c r="G51" s="34" t="s">
        <v>32</v>
      </c>
      <c r="H51" s="34" t="s">
        <v>128</v>
      </c>
      <c r="I51" s="37">
        <f t="shared" si="28"/>
        <v>6300</v>
      </c>
      <c r="J51" s="37">
        <f t="shared" si="29"/>
        <v>6300</v>
      </c>
      <c r="K51" s="37">
        <f t="shared" si="30"/>
        <v>6300</v>
      </c>
      <c r="L51" s="37">
        <f t="shared" si="31"/>
        <v>6300</v>
      </c>
      <c r="M51" s="37">
        <f t="shared" si="32"/>
        <v>6300</v>
      </c>
      <c r="N51" s="37">
        <f t="shared" si="33"/>
        <v>6300</v>
      </c>
      <c r="O51" s="37">
        <f t="shared" si="34"/>
        <v>6300</v>
      </c>
      <c r="P51" s="37">
        <f t="shared" si="35"/>
        <v>6300</v>
      </c>
      <c r="Q51" s="37">
        <f t="shared" si="36"/>
        <v>6300</v>
      </c>
      <c r="R51" s="37">
        <f t="shared" si="37"/>
        <v>6300</v>
      </c>
      <c r="S51" s="37">
        <f t="shared" si="38"/>
        <v>6300</v>
      </c>
      <c r="T51" s="37">
        <f t="shared" si="39"/>
        <v>6300</v>
      </c>
      <c r="U51" s="37">
        <f t="shared" si="40"/>
        <v>75600</v>
      </c>
      <c r="W51" s="51">
        <v>6300</v>
      </c>
      <c r="X51" s="39"/>
      <c r="Y51" s="40" t="s">
        <v>86</v>
      </c>
      <c r="Z51" s="40" t="s">
        <v>55</v>
      </c>
      <c r="AA51" s="40" t="s">
        <v>56</v>
      </c>
      <c r="AB51" s="41">
        <v>0</v>
      </c>
      <c r="AD51" s="42" t="str">
        <f>C51&amp;A51</f>
        <v>ASSESSORIA JURIDICAAdm</v>
      </c>
      <c r="AE51" s="42" t="str">
        <f>IFERROR(VLOOKUP(C51,[34]Planilha1!$B:$C,2,0),"Não se Aplica")</f>
        <v>Sim</v>
      </c>
      <c r="AF51" s="42" t="str">
        <f>VLOOKUP(AD51,[34]Planilha1!$H:$J,3,0)</f>
        <v>Não</v>
      </c>
      <c r="AG51" s="43">
        <f t="shared" si="27"/>
        <v>75600</v>
      </c>
    </row>
    <row r="52" spans="1:33" x14ac:dyDescent="0.3">
      <c r="A52" s="1" t="s">
        <v>837</v>
      </c>
      <c r="B52" s="34" t="s">
        <v>28</v>
      </c>
      <c r="C52" s="35" t="s">
        <v>57</v>
      </c>
      <c r="D52" s="34" t="s">
        <v>150</v>
      </c>
      <c r="E52" s="36" t="s">
        <v>151</v>
      </c>
      <c r="F52" s="34" t="s">
        <v>127</v>
      </c>
      <c r="G52" s="34" t="s">
        <v>90</v>
      </c>
      <c r="H52" s="34" t="s">
        <v>128</v>
      </c>
      <c r="I52" s="37">
        <f t="shared" si="28"/>
        <v>450</v>
      </c>
      <c r="J52" s="37">
        <f t="shared" si="29"/>
        <v>450</v>
      </c>
      <c r="K52" s="37">
        <f t="shared" si="30"/>
        <v>450</v>
      </c>
      <c r="L52" s="37">
        <f t="shared" si="31"/>
        <v>450</v>
      </c>
      <c r="M52" s="37">
        <f t="shared" si="32"/>
        <v>450</v>
      </c>
      <c r="N52" s="37">
        <f t="shared" si="33"/>
        <v>450</v>
      </c>
      <c r="O52" s="37">
        <f t="shared" si="34"/>
        <v>450</v>
      </c>
      <c r="P52" s="37">
        <f t="shared" si="35"/>
        <v>450</v>
      </c>
      <c r="Q52" s="37">
        <f t="shared" si="36"/>
        <v>450</v>
      </c>
      <c r="R52" s="37">
        <f t="shared" si="37"/>
        <v>450</v>
      </c>
      <c r="S52" s="37">
        <f t="shared" si="38"/>
        <v>450</v>
      </c>
      <c r="T52" s="37">
        <f t="shared" si="39"/>
        <v>450</v>
      </c>
      <c r="U52" s="37">
        <f t="shared" si="40"/>
        <v>5400</v>
      </c>
      <c r="W52" s="51">
        <v>450</v>
      </c>
      <c r="X52" s="39"/>
      <c r="Y52" s="40" t="s">
        <v>51</v>
      </c>
      <c r="Z52" s="40" t="s">
        <v>55</v>
      </c>
      <c r="AA52" s="40" t="s">
        <v>56</v>
      </c>
      <c r="AB52" s="41">
        <v>0</v>
      </c>
      <c r="AD52" s="42" t="str">
        <f>C52&amp;A52</f>
        <v>AUDITORIA/CONSULTORIAAdm</v>
      </c>
      <c r="AE52" s="42" t="str">
        <f>IFERROR(VLOOKUP(C52,[34]Planilha1!$B:$C,2,0),"Não se Aplica")</f>
        <v>Sim</v>
      </c>
      <c r="AF52" s="42" t="str">
        <f>VLOOKUP(AD52,[34]Planilha1!$H:$J,3,0)</f>
        <v>Não</v>
      </c>
      <c r="AG52" s="43">
        <f t="shared" si="27"/>
        <v>5400</v>
      </c>
    </row>
    <row r="53" spans="1:33" x14ac:dyDescent="0.3">
      <c r="A53" s="1" t="s">
        <v>837</v>
      </c>
      <c r="B53" s="34" t="s">
        <v>20</v>
      </c>
      <c r="C53" s="35" t="s">
        <v>117</v>
      </c>
      <c r="D53" s="34" t="s">
        <v>152</v>
      </c>
      <c r="E53" s="36" t="s">
        <v>153</v>
      </c>
      <c r="F53" s="34" t="s">
        <v>127</v>
      </c>
      <c r="G53" s="34" t="s">
        <v>32</v>
      </c>
      <c r="H53" s="34" t="s">
        <v>128</v>
      </c>
      <c r="I53" s="37">
        <f t="shared" si="28"/>
        <v>315</v>
      </c>
      <c r="J53" s="37">
        <f t="shared" si="29"/>
        <v>315</v>
      </c>
      <c r="K53" s="37">
        <f t="shared" si="30"/>
        <v>315</v>
      </c>
      <c r="L53" s="37">
        <f t="shared" si="31"/>
        <v>315</v>
      </c>
      <c r="M53" s="37">
        <f t="shared" si="32"/>
        <v>315</v>
      </c>
      <c r="N53" s="37">
        <f t="shared" si="33"/>
        <v>315</v>
      </c>
      <c r="O53" s="37">
        <f t="shared" si="34"/>
        <v>315</v>
      </c>
      <c r="P53" s="37">
        <f t="shared" si="35"/>
        <v>315</v>
      </c>
      <c r="Q53" s="37">
        <f t="shared" si="36"/>
        <v>315</v>
      </c>
      <c r="R53" s="37">
        <f t="shared" si="37"/>
        <v>315</v>
      </c>
      <c r="S53" s="37">
        <f t="shared" si="38"/>
        <v>315</v>
      </c>
      <c r="T53" s="37">
        <f t="shared" si="39"/>
        <v>315</v>
      </c>
      <c r="U53" s="37">
        <f t="shared" si="40"/>
        <v>3780</v>
      </c>
      <c r="W53" s="51">
        <v>315</v>
      </c>
      <c r="X53" s="39"/>
      <c r="Y53" s="40"/>
      <c r="Z53" s="40" t="s">
        <v>55</v>
      </c>
      <c r="AA53" s="40" t="s">
        <v>56</v>
      </c>
      <c r="AB53" s="41">
        <v>0</v>
      </c>
      <c r="AD53" s="42" t="str">
        <f>C53&amp;A53</f>
        <v>ASSESSORIA ADMINISTRATIVAAdm</v>
      </c>
      <c r="AE53" s="42" t="str">
        <f>IFERROR(VLOOKUP(C53,[34]Planilha1!$B:$C,2,0),"Não se Aplica")</f>
        <v>Sim</v>
      </c>
      <c r="AF53" s="42" t="str">
        <f>VLOOKUP(AD53,[34]Planilha1!$H:$J,3,0)</f>
        <v>Não</v>
      </c>
      <c r="AG53" s="43">
        <f t="shared" si="27"/>
        <v>3780</v>
      </c>
    </row>
    <row r="54" spans="1:33" x14ac:dyDescent="0.3">
      <c r="A54" s="1" t="s">
        <v>836</v>
      </c>
      <c r="B54" s="34" t="s">
        <v>20</v>
      </c>
      <c r="C54" s="35" t="s">
        <v>38</v>
      </c>
      <c r="D54" s="34" t="s">
        <v>154</v>
      </c>
      <c r="E54" s="36" t="s">
        <v>155</v>
      </c>
      <c r="F54" s="34" t="s">
        <v>36</v>
      </c>
      <c r="G54" s="34" t="s">
        <v>32</v>
      </c>
      <c r="H54" s="34" t="s">
        <v>156</v>
      </c>
      <c r="I54" s="37">
        <f t="shared" si="28"/>
        <v>1241</v>
      </c>
      <c r="J54" s="37">
        <f t="shared" si="29"/>
        <v>1241</v>
      </c>
      <c r="K54" s="37">
        <f t="shared" si="30"/>
        <v>1241</v>
      </c>
      <c r="L54" s="37">
        <f t="shared" si="31"/>
        <v>1241</v>
      </c>
      <c r="M54" s="37">
        <f t="shared" si="32"/>
        <v>1241</v>
      </c>
      <c r="N54" s="37">
        <f t="shared" si="33"/>
        <v>1241</v>
      </c>
      <c r="O54" s="37">
        <f t="shared" si="34"/>
        <v>1241</v>
      </c>
      <c r="P54" s="37">
        <f t="shared" si="35"/>
        <v>1278.23</v>
      </c>
      <c r="Q54" s="37">
        <f t="shared" si="36"/>
        <v>1278.23</v>
      </c>
      <c r="R54" s="37">
        <f t="shared" si="37"/>
        <v>1278.23</v>
      </c>
      <c r="S54" s="37">
        <f t="shared" si="38"/>
        <v>1278.23</v>
      </c>
      <c r="T54" s="37">
        <f t="shared" si="39"/>
        <v>1278.23</v>
      </c>
      <c r="U54" s="37">
        <f t="shared" si="40"/>
        <v>15078.149999999998</v>
      </c>
      <c r="W54" s="51">
        <v>1241</v>
      </c>
      <c r="X54" s="39">
        <v>45916</v>
      </c>
      <c r="Y54" s="40" t="s">
        <v>65</v>
      </c>
      <c r="Z54" s="40" t="s">
        <v>44</v>
      </c>
      <c r="AA54" s="40" t="s">
        <v>45</v>
      </c>
      <c r="AB54" s="41">
        <v>0.03</v>
      </c>
      <c r="AD54" s="42" t="str">
        <f>C54&amp;A54</f>
        <v>ALUGUEIS DE EQUIPAMENTOSOper</v>
      </c>
      <c r="AE54" s="42" t="str">
        <f>IFERROR(VLOOKUP(C54,[34]Planilha1!$B:$C,2,0),"Não se Aplica")</f>
        <v>Sim</v>
      </c>
      <c r="AF54" s="42" t="str">
        <f>VLOOKUP(AD54,[34]Planilha1!$H:$J,3,0)</f>
        <v>Sim</v>
      </c>
      <c r="AG54" s="43">
        <f t="shared" si="27"/>
        <v>13683.421124999997</v>
      </c>
    </row>
    <row r="55" spans="1:33" x14ac:dyDescent="0.3">
      <c r="A55" s="1" t="s">
        <v>836</v>
      </c>
      <c r="B55" s="34" t="s">
        <v>28</v>
      </c>
      <c r="C55" s="35" t="s">
        <v>157</v>
      </c>
      <c r="D55" s="34" t="s">
        <v>158</v>
      </c>
      <c r="E55" s="36" t="s">
        <v>159</v>
      </c>
      <c r="F55" s="34" t="s">
        <v>36</v>
      </c>
      <c r="G55" s="34" t="s">
        <v>32</v>
      </c>
      <c r="H55" s="34" t="s">
        <v>156</v>
      </c>
      <c r="I55" s="37">
        <f t="shared" si="28"/>
        <v>282.89999999999998</v>
      </c>
      <c r="J55" s="37">
        <f t="shared" si="29"/>
        <v>282.89999999999998</v>
      </c>
      <c r="K55" s="37">
        <f t="shared" si="30"/>
        <v>282.89999999999998</v>
      </c>
      <c r="L55" s="37">
        <f t="shared" si="31"/>
        <v>282.89999999999998</v>
      </c>
      <c r="M55" s="37">
        <f t="shared" si="32"/>
        <v>282.89999999999998</v>
      </c>
      <c r="N55" s="37">
        <f t="shared" si="33"/>
        <v>282.89999999999998</v>
      </c>
      <c r="O55" s="37">
        <f t="shared" si="34"/>
        <v>282.89999999999998</v>
      </c>
      <c r="P55" s="37">
        <f t="shared" si="35"/>
        <v>282.89999999999998</v>
      </c>
      <c r="Q55" s="37">
        <f t="shared" si="36"/>
        <v>291.387</v>
      </c>
      <c r="R55" s="37">
        <f t="shared" si="37"/>
        <v>291.387</v>
      </c>
      <c r="S55" s="37">
        <f t="shared" si="38"/>
        <v>291.387</v>
      </c>
      <c r="T55" s="37">
        <f t="shared" si="39"/>
        <v>291.387</v>
      </c>
      <c r="U55" s="37">
        <f t="shared" si="40"/>
        <v>3428.748000000001</v>
      </c>
      <c r="W55" s="51">
        <v>282.89999999999998</v>
      </c>
      <c r="X55" s="39">
        <v>45623</v>
      </c>
      <c r="Y55" s="40" t="s">
        <v>129</v>
      </c>
      <c r="Z55" s="40" t="s">
        <v>44</v>
      </c>
      <c r="AA55" s="40" t="s">
        <v>45</v>
      </c>
      <c r="AB55" s="41">
        <v>0.03</v>
      </c>
      <c r="AD55" s="42" t="str">
        <f>C55&amp;A55</f>
        <v>ASSESSORIA GUARDA DE DOCUMENTOSOper</v>
      </c>
      <c r="AE55" s="42" t="str">
        <f>IFERROR(VLOOKUP(C55,[34]Planilha1!$B:$C,2,0),"Não se Aplica")</f>
        <v>Sim</v>
      </c>
      <c r="AF55" s="42" t="str">
        <f>VLOOKUP(AD55,[34]Planilha1!$H:$J,3,0)</f>
        <v>Não</v>
      </c>
      <c r="AG55" s="43">
        <f t="shared" si="27"/>
        <v>3428.748000000001</v>
      </c>
    </row>
    <row r="56" spans="1:33" x14ac:dyDescent="0.3">
      <c r="A56" s="1" t="s">
        <v>836</v>
      </c>
      <c r="B56" s="34" t="s">
        <v>20</v>
      </c>
      <c r="C56" s="35" t="s">
        <v>157</v>
      </c>
      <c r="D56" s="34" t="s">
        <v>158</v>
      </c>
      <c r="E56" s="36" t="s">
        <v>160</v>
      </c>
      <c r="F56" s="34" t="s">
        <v>36</v>
      </c>
      <c r="G56" s="34" t="s">
        <v>32</v>
      </c>
      <c r="H56" s="34" t="s">
        <v>156</v>
      </c>
      <c r="I56" s="37">
        <f t="shared" si="28"/>
        <v>531.29999999999995</v>
      </c>
      <c r="J56" s="37">
        <f t="shared" si="29"/>
        <v>531.29999999999995</v>
      </c>
      <c r="K56" s="37">
        <f t="shared" si="30"/>
        <v>531.29999999999995</v>
      </c>
      <c r="L56" s="37">
        <f t="shared" si="31"/>
        <v>531.29999999999995</v>
      </c>
      <c r="M56" s="37">
        <f t="shared" si="32"/>
        <v>531.29999999999995</v>
      </c>
      <c r="N56" s="37">
        <f t="shared" si="33"/>
        <v>531.29999999999995</v>
      </c>
      <c r="O56" s="37">
        <f t="shared" si="34"/>
        <v>531.29999999999995</v>
      </c>
      <c r="P56" s="37">
        <f t="shared" si="35"/>
        <v>531.29999999999995</v>
      </c>
      <c r="Q56" s="37">
        <f t="shared" si="36"/>
        <v>547.23899999999992</v>
      </c>
      <c r="R56" s="37">
        <f t="shared" si="37"/>
        <v>547.23899999999992</v>
      </c>
      <c r="S56" s="37">
        <f t="shared" si="38"/>
        <v>547.23899999999992</v>
      </c>
      <c r="T56" s="37">
        <f t="shared" si="39"/>
        <v>547.23899999999992</v>
      </c>
      <c r="U56" s="37">
        <f t="shared" si="40"/>
        <v>6439.3559999999989</v>
      </c>
      <c r="W56" s="51">
        <v>531.29999999999995</v>
      </c>
      <c r="X56" s="39">
        <v>45623</v>
      </c>
      <c r="Y56" s="40" t="s">
        <v>129</v>
      </c>
      <c r="Z56" s="40" t="s">
        <v>44</v>
      </c>
      <c r="AA56" s="40" t="s">
        <v>45</v>
      </c>
      <c r="AB56" s="41">
        <v>0.03</v>
      </c>
      <c r="AD56" s="42" t="str">
        <f>C56&amp;A56</f>
        <v>ASSESSORIA GUARDA DE DOCUMENTOSOper</v>
      </c>
      <c r="AE56" s="42" t="str">
        <f>IFERROR(VLOOKUP(C56,[34]Planilha1!$B:$C,2,0),"Não se Aplica")</f>
        <v>Sim</v>
      </c>
      <c r="AF56" s="42" t="str">
        <f>VLOOKUP(AD56,[34]Planilha1!$H:$J,3,0)</f>
        <v>Não</v>
      </c>
      <c r="AG56" s="43">
        <f t="shared" si="27"/>
        <v>6439.3559999999989</v>
      </c>
    </row>
    <row r="57" spans="1:33" x14ac:dyDescent="0.3">
      <c r="A57" s="1" t="s">
        <v>836</v>
      </c>
      <c r="B57" s="34" t="s">
        <v>20</v>
      </c>
      <c r="C57" s="35" t="s">
        <v>161</v>
      </c>
      <c r="D57" s="34" t="s">
        <v>162</v>
      </c>
      <c r="E57" s="36" t="s">
        <v>163</v>
      </c>
      <c r="F57" s="34" t="s">
        <v>60</v>
      </c>
      <c r="G57" s="34" t="s">
        <v>22</v>
      </c>
      <c r="H57" s="34" t="s">
        <v>61</v>
      </c>
      <c r="I57" s="37">
        <f t="shared" si="28"/>
        <v>7300</v>
      </c>
      <c r="J57" s="37">
        <f t="shared" si="29"/>
        <v>7300</v>
      </c>
      <c r="K57" s="37">
        <f t="shared" si="30"/>
        <v>7300</v>
      </c>
      <c r="L57" s="37">
        <f t="shared" si="31"/>
        <v>7300</v>
      </c>
      <c r="M57" s="37">
        <f t="shared" si="32"/>
        <v>7300</v>
      </c>
      <c r="N57" s="37">
        <f t="shared" si="33"/>
        <v>7519</v>
      </c>
      <c r="O57" s="37">
        <f t="shared" si="34"/>
        <v>7519</v>
      </c>
      <c r="P57" s="37">
        <f t="shared" si="35"/>
        <v>7519</v>
      </c>
      <c r="Q57" s="37">
        <f t="shared" si="36"/>
        <v>7519</v>
      </c>
      <c r="R57" s="37">
        <f t="shared" si="37"/>
        <v>7519</v>
      </c>
      <c r="S57" s="37">
        <f t="shared" si="38"/>
        <v>7519</v>
      </c>
      <c r="T57" s="37">
        <f t="shared" si="39"/>
        <v>7519</v>
      </c>
      <c r="U57" s="37">
        <f t="shared" si="40"/>
        <v>89133</v>
      </c>
      <c r="W57" s="51">
        <v>7300</v>
      </c>
      <c r="X57" s="39">
        <v>45860</v>
      </c>
      <c r="Y57" s="40" t="s">
        <v>164</v>
      </c>
      <c r="Z57" s="40" t="s">
        <v>55</v>
      </c>
      <c r="AA57" s="40" t="s">
        <v>45</v>
      </c>
      <c r="AB57" s="41">
        <v>0.03</v>
      </c>
      <c r="AD57" s="42" t="str">
        <f>C57&amp;A57</f>
        <v>CONSERVACAO DE PREDIOSOper</v>
      </c>
      <c r="AE57" s="42" t="str">
        <f>IFERROR(VLOOKUP(C57,[34]Planilha1!$B:$C,2,0),"Não se Aplica")</f>
        <v>Sim</v>
      </c>
      <c r="AF57" s="42" t="str">
        <f>VLOOKUP(AD57,[34]Planilha1!$H:$J,3,0)</f>
        <v>Sim</v>
      </c>
      <c r="AG57" s="43">
        <f t="shared" si="27"/>
        <v>80888.197499999995</v>
      </c>
    </row>
    <row r="58" spans="1:33" x14ac:dyDescent="0.3">
      <c r="A58" s="1" t="s">
        <v>836</v>
      </c>
      <c r="B58" s="34" t="s">
        <v>20</v>
      </c>
      <c r="C58" s="35" t="s">
        <v>38</v>
      </c>
      <c r="D58" s="34" t="s">
        <v>165</v>
      </c>
      <c r="E58" s="36" t="s">
        <v>166</v>
      </c>
      <c r="F58" s="34" t="s">
        <v>36</v>
      </c>
      <c r="G58" s="34" t="s">
        <v>22</v>
      </c>
      <c r="H58" s="34" t="s">
        <v>156</v>
      </c>
      <c r="I58" s="37">
        <f t="shared" si="28"/>
        <v>5787</v>
      </c>
      <c r="J58" s="37">
        <f t="shared" si="29"/>
        <v>5787</v>
      </c>
      <c r="K58" s="37">
        <f t="shared" si="30"/>
        <v>5787</v>
      </c>
      <c r="L58" s="37">
        <f t="shared" si="31"/>
        <v>5787</v>
      </c>
      <c r="M58" s="37">
        <f t="shared" si="32"/>
        <v>5787</v>
      </c>
      <c r="N58" s="37">
        <f t="shared" si="33"/>
        <v>5787</v>
      </c>
      <c r="O58" s="37">
        <f t="shared" si="34"/>
        <v>5787</v>
      </c>
      <c r="P58" s="37">
        <f t="shared" si="35"/>
        <v>5787</v>
      </c>
      <c r="Q58" s="37">
        <f t="shared" si="36"/>
        <v>5787</v>
      </c>
      <c r="R58" s="37">
        <f t="shared" si="37"/>
        <v>5787</v>
      </c>
      <c r="S58" s="37">
        <f t="shared" si="38"/>
        <v>5787</v>
      </c>
      <c r="T58" s="37">
        <f t="shared" si="39"/>
        <v>5787</v>
      </c>
      <c r="U58" s="37">
        <f t="shared" si="40"/>
        <v>69444</v>
      </c>
      <c r="W58" s="51">
        <v>5787</v>
      </c>
      <c r="X58" s="39">
        <v>45689</v>
      </c>
      <c r="Y58" s="40" t="s">
        <v>51</v>
      </c>
      <c r="Z58" s="40" t="s">
        <v>55</v>
      </c>
      <c r="AA58" s="40" t="s">
        <v>45</v>
      </c>
      <c r="AB58" s="41">
        <v>0</v>
      </c>
      <c r="AD58" s="42" t="str">
        <f>C58&amp;A58</f>
        <v>ALUGUEIS DE EQUIPAMENTOSOper</v>
      </c>
      <c r="AE58" s="42" t="str">
        <f>IFERROR(VLOOKUP(C58,[34]Planilha1!$B:$C,2,0),"Não se Aplica")</f>
        <v>Sim</v>
      </c>
      <c r="AF58" s="42" t="str">
        <f>VLOOKUP(AD58,[34]Planilha1!$H:$J,3,0)</f>
        <v>Sim</v>
      </c>
      <c r="AG58" s="43">
        <f t="shared" si="27"/>
        <v>63020.43</v>
      </c>
    </row>
    <row r="59" spans="1:33" x14ac:dyDescent="0.3">
      <c r="A59" s="1" t="s">
        <v>836</v>
      </c>
      <c r="B59" s="34" t="s">
        <v>20</v>
      </c>
      <c r="C59" s="35" t="s">
        <v>38</v>
      </c>
      <c r="D59" s="34" t="s">
        <v>167</v>
      </c>
      <c r="E59" s="36" t="s">
        <v>168</v>
      </c>
      <c r="F59" s="34" t="s">
        <v>36</v>
      </c>
      <c r="G59" s="34" t="s">
        <v>22</v>
      </c>
      <c r="H59" s="34" t="s">
        <v>156</v>
      </c>
      <c r="I59" s="37">
        <f t="shared" si="28"/>
        <v>7250</v>
      </c>
      <c r="J59" s="37">
        <f t="shared" si="29"/>
        <v>7250</v>
      </c>
      <c r="K59" s="37">
        <f t="shared" si="30"/>
        <v>7250</v>
      </c>
      <c r="L59" s="37">
        <f t="shared" si="31"/>
        <v>7250</v>
      </c>
      <c r="M59" s="37">
        <f t="shared" si="32"/>
        <v>7250</v>
      </c>
      <c r="N59" s="37">
        <f t="shared" si="33"/>
        <v>7250</v>
      </c>
      <c r="O59" s="37">
        <f t="shared" si="34"/>
        <v>7250</v>
      </c>
      <c r="P59" s="37">
        <f t="shared" si="35"/>
        <v>7250</v>
      </c>
      <c r="Q59" s="37">
        <f t="shared" si="36"/>
        <v>7250</v>
      </c>
      <c r="R59" s="37">
        <f t="shared" si="37"/>
        <v>7250</v>
      </c>
      <c r="S59" s="37">
        <f t="shared" si="38"/>
        <v>7250</v>
      </c>
      <c r="T59" s="37">
        <f t="shared" si="39"/>
        <v>7250</v>
      </c>
      <c r="U59" s="37">
        <f t="shared" si="40"/>
        <v>87000</v>
      </c>
      <c r="W59" s="51">
        <v>7250</v>
      </c>
      <c r="X59" s="39">
        <v>46761</v>
      </c>
      <c r="Y59" s="40" t="s">
        <v>51</v>
      </c>
      <c r="Z59" s="40" t="s">
        <v>55</v>
      </c>
      <c r="AA59" s="40" t="s">
        <v>45</v>
      </c>
      <c r="AB59" s="41">
        <v>0</v>
      </c>
      <c r="AD59" s="42" t="str">
        <f>C59&amp;A59</f>
        <v>ALUGUEIS DE EQUIPAMENTOSOper</v>
      </c>
      <c r="AE59" s="42" t="str">
        <f>IFERROR(VLOOKUP(C59,[34]Planilha1!$B:$C,2,0),"Não se Aplica")</f>
        <v>Sim</v>
      </c>
      <c r="AF59" s="42" t="str">
        <f>VLOOKUP(AD59,[34]Planilha1!$H:$J,3,0)</f>
        <v>Sim</v>
      </c>
      <c r="AG59" s="43">
        <f t="shared" si="27"/>
        <v>78952.5</v>
      </c>
    </row>
    <row r="60" spans="1:33" x14ac:dyDescent="0.3">
      <c r="A60" s="1" t="s">
        <v>836</v>
      </c>
      <c r="B60" s="34" t="s">
        <v>20</v>
      </c>
      <c r="C60" s="35" t="s">
        <v>38</v>
      </c>
      <c r="D60" s="34" t="s">
        <v>169</v>
      </c>
      <c r="E60" s="36" t="s">
        <v>168</v>
      </c>
      <c r="F60" s="34" t="s">
        <v>36</v>
      </c>
      <c r="G60" s="34" t="s">
        <v>22</v>
      </c>
      <c r="H60" s="34" t="s">
        <v>156</v>
      </c>
      <c r="I60" s="37">
        <f t="shared" si="28"/>
        <v>7250</v>
      </c>
      <c r="J60" s="37">
        <f t="shared" si="29"/>
        <v>7250</v>
      </c>
      <c r="K60" s="37">
        <f t="shared" si="30"/>
        <v>7250</v>
      </c>
      <c r="L60" s="37">
        <f t="shared" si="31"/>
        <v>7250</v>
      </c>
      <c r="M60" s="37">
        <f t="shared" si="32"/>
        <v>7250</v>
      </c>
      <c r="N60" s="37">
        <f t="shared" si="33"/>
        <v>7250</v>
      </c>
      <c r="O60" s="37">
        <f t="shared" si="34"/>
        <v>7250</v>
      </c>
      <c r="P60" s="37">
        <f t="shared" si="35"/>
        <v>7250</v>
      </c>
      <c r="Q60" s="37">
        <f t="shared" si="36"/>
        <v>7250</v>
      </c>
      <c r="R60" s="37">
        <f t="shared" si="37"/>
        <v>7250</v>
      </c>
      <c r="S60" s="37">
        <f t="shared" si="38"/>
        <v>7250</v>
      </c>
      <c r="T60" s="37">
        <f t="shared" si="39"/>
        <v>7250</v>
      </c>
      <c r="U60" s="37">
        <f t="shared" si="40"/>
        <v>87000</v>
      </c>
      <c r="W60" s="51">
        <v>7250</v>
      </c>
      <c r="X60" s="39">
        <v>46761</v>
      </c>
      <c r="Y60" s="40" t="s">
        <v>51</v>
      </c>
      <c r="Z60" s="40" t="s">
        <v>55</v>
      </c>
      <c r="AA60" s="40" t="s">
        <v>45</v>
      </c>
      <c r="AB60" s="41">
        <v>0</v>
      </c>
      <c r="AD60" s="42" t="str">
        <f>C60&amp;A60</f>
        <v>ALUGUEIS DE EQUIPAMENTOSOper</v>
      </c>
      <c r="AE60" s="42" t="str">
        <f>IFERROR(VLOOKUP(C60,[34]Planilha1!$B:$C,2,0),"Não se Aplica")</f>
        <v>Sim</v>
      </c>
      <c r="AF60" s="42" t="str">
        <f>VLOOKUP(AD60,[34]Planilha1!$H:$J,3,0)</f>
        <v>Sim</v>
      </c>
      <c r="AG60" s="43">
        <f t="shared" si="27"/>
        <v>78952.5</v>
      </c>
    </row>
    <row r="61" spans="1:33" x14ac:dyDescent="0.3">
      <c r="A61" s="1" t="s">
        <v>836</v>
      </c>
      <c r="B61" s="34" t="s">
        <v>20</v>
      </c>
      <c r="C61" s="35" t="s">
        <v>38</v>
      </c>
      <c r="D61" s="34" t="s">
        <v>170</v>
      </c>
      <c r="E61" s="36" t="s">
        <v>168</v>
      </c>
      <c r="F61" s="34" t="s">
        <v>36</v>
      </c>
      <c r="G61" s="34" t="s">
        <v>22</v>
      </c>
      <c r="H61" s="34" t="s">
        <v>156</v>
      </c>
      <c r="I61" s="37">
        <f t="shared" si="28"/>
        <v>3000</v>
      </c>
      <c r="J61" s="37">
        <f t="shared" si="29"/>
        <v>3000</v>
      </c>
      <c r="K61" s="37">
        <f t="shared" si="30"/>
        <v>3000</v>
      </c>
      <c r="L61" s="37">
        <f t="shared" si="31"/>
        <v>3000</v>
      </c>
      <c r="M61" s="37">
        <f t="shared" si="32"/>
        <v>3000</v>
      </c>
      <c r="N61" s="37">
        <f t="shared" si="33"/>
        <v>3000</v>
      </c>
      <c r="O61" s="37">
        <f t="shared" si="34"/>
        <v>3000</v>
      </c>
      <c r="P61" s="37">
        <f>(IF($Y61="agosto",$O61*(1+$AB61),$O61))-1500</f>
        <v>1500</v>
      </c>
      <c r="Q61" s="37">
        <f t="shared" si="36"/>
        <v>1500</v>
      </c>
      <c r="R61" s="37">
        <f t="shared" si="37"/>
        <v>1500</v>
      </c>
      <c r="S61" s="37">
        <f t="shared" si="38"/>
        <v>1500</v>
      </c>
      <c r="T61" s="37">
        <f t="shared" si="39"/>
        <v>1500</v>
      </c>
      <c r="U61" s="37">
        <f t="shared" si="40"/>
        <v>28500</v>
      </c>
      <c r="W61" s="38">
        <v>3000</v>
      </c>
      <c r="X61" s="39">
        <v>46761</v>
      </c>
      <c r="Y61" s="40" t="s">
        <v>51</v>
      </c>
      <c r="Z61" s="40" t="s">
        <v>55</v>
      </c>
      <c r="AA61" s="40" t="s">
        <v>45</v>
      </c>
      <c r="AB61" s="41">
        <v>0</v>
      </c>
      <c r="AD61" s="42" t="str">
        <f>C61&amp;A61</f>
        <v>ALUGUEIS DE EQUIPAMENTOSOper</v>
      </c>
      <c r="AE61" s="42" t="str">
        <f>IFERROR(VLOOKUP(C61,[34]Planilha1!$B:$C,2,0),"Não se Aplica")</f>
        <v>Sim</v>
      </c>
      <c r="AF61" s="42" t="str">
        <f>VLOOKUP(AD61,[34]Planilha1!$H:$J,3,0)</f>
        <v>Sim</v>
      </c>
      <c r="AG61" s="43">
        <f t="shared" si="27"/>
        <v>25863.75</v>
      </c>
    </row>
    <row r="62" spans="1:33" x14ac:dyDescent="0.3">
      <c r="A62" s="1" t="s">
        <v>836</v>
      </c>
      <c r="B62" s="34" t="s">
        <v>20</v>
      </c>
      <c r="C62" s="35" t="s">
        <v>38</v>
      </c>
      <c r="D62" s="34" t="s">
        <v>171</v>
      </c>
      <c r="E62" s="36" t="s">
        <v>168</v>
      </c>
      <c r="F62" s="34" t="s">
        <v>36</v>
      </c>
      <c r="G62" s="34" t="s">
        <v>22</v>
      </c>
      <c r="H62" s="34" t="s">
        <v>156</v>
      </c>
      <c r="I62" s="37">
        <f t="shared" si="28"/>
        <v>14500</v>
      </c>
      <c r="J62" s="37">
        <f t="shared" si="29"/>
        <v>14500</v>
      </c>
      <c r="K62" s="37">
        <f t="shared" si="30"/>
        <v>14500</v>
      </c>
      <c r="L62" s="37">
        <f t="shared" si="31"/>
        <v>14500</v>
      </c>
      <c r="M62" s="37">
        <f t="shared" si="32"/>
        <v>14500</v>
      </c>
      <c r="N62" s="37">
        <f t="shared" si="33"/>
        <v>14500</v>
      </c>
      <c r="O62" s="37">
        <f t="shared" si="34"/>
        <v>14500</v>
      </c>
      <c r="P62" s="37">
        <f>IF($Y62="agosto",$O62*(1+$AB62),$O62)</f>
        <v>14500</v>
      </c>
      <c r="Q62" s="37">
        <f t="shared" si="36"/>
        <v>14500</v>
      </c>
      <c r="R62" s="37">
        <f t="shared" si="37"/>
        <v>14500</v>
      </c>
      <c r="S62" s="37">
        <f t="shared" si="38"/>
        <v>14500</v>
      </c>
      <c r="T62" s="37">
        <f t="shared" si="39"/>
        <v>14500</v>
      </c>
      <c r="U62" s="37">
        <f t="shared" si="40"/>
        <v>174000</v>
      </c>
      <c r="W62" s="51">
        <v>14500</v>
      </c>
      <c r="X62" s="39">
        <v>46761</v>
      </c>
      <c r="Y62" s="40" t="s">
        <v>51</v>
      </c>
      <c r="Z62" s="40" t="s">
        <v>55</v>
      </c>
      <c r="AA62" s="40" t="s">
        <v>45</v>
      </c>
      <c r="AB62" s="41">
        <v>0</v>
      </c>
      <c r="AD62" s="42" t="str">
        <f>C62&amp;A62</f>
        <v>ALUGUEIS DE EQUIPAMENTOSOper</v>
      </c>
      <c r="AE62" s="42" t="str">
        <f>IFERROR(VLOOKUP(C62,[34]Planilha1!$B:$C,2,0),"Não se Aplica")</f>
        <v>Sim</v>
      </c>
      <c r="AF62" s="42" t="str">
        <f>VLOOKUP(AD62,[34]Planilha1!$H:$J,3,0)</f>
        <v>Sim</v>
      </c>
      <c r="AG62" s="43">
        <f t="shared" si="27"/>
        <v>157905</v>
      </c>
    </row>
    <row r="63" spans="1:33" x14ac:dyDescent="0.3">
      <c r="A63" s="1" t="s">
        <v>836</v>
      </c>
      <c r="B63" s="34" t="s">
        <v>20</v>
      </c>
      <c r="C63" s="35" t="s">
        <v>38</v>
      </c>
      <c r="D63" s="34" t="s">
        <v>172</v>
      </c>
      <c r="E63" s="36" t="s">
        <v>168</v>
      </c>
      <c r="F63" s="34" t="s">
        <v>36</v>
      </c>
      <c r="G63" s="34" t="s">
        <v>32</v>
      </c>
      <c r="H63" s="34" t="s">
        <v>156</v>
      </c>
      <c r="I63" s="37">
        <f t="shared" si="28"/>
        <v>8352</v>
      </c>
      <c r="J63" s="37">
        <f t="shared" si="29"/>
        <v>8352</v>
      </c>
      <c r="K63" s="37">
        <f t="shared" si="30"/>
        <v>8352</v>
      </c>
      <c r="L63" s="37">
        <f t="shared" si="31"/>
        <v>8352</v>
      </c>
      <c r="M63" s="37">
        <f t="shared" si="32"/>
        <v>8352</v>
      </c>
      <c r="N63" s="37">
        <f t="shared" si="33"/>
        <v>8352</v>
      </c>
      <c r="O63" s="37">
        <f t="shared" si="34"/>
        <v>8352</v>
      </c>
      <c r="P63" s="37">
        <f>IF($Y63="agosto",$O63*(1+$AB63),$O63)</f>
        <v>8352</v>
      </c>
      <c r="Q63" s="37">
        <f t="shared" si="36"/>
        <v>8352</v>
      </c>
      <c r="R63" s="37">
        <f t="shared" si="37"/>
        <v>8352</v>
      </c>
      <c r="S63" s="37">
        <f t="shared" si="38"/>
        <v>8352</v>
      </c>
      <c r="T63" s="37">
        <f t="shared" si="39"/>
        <v>8352</v>
      </c>
      <c r="U63" s="37">
        <f t="shared" si="40"/>
        <v>100224</v>
      </c>
      <c r="W63" s="51">
        <v>8352</v>
      </c>
      <c r="X63" s="39">
        <v>46598</v>
      </c>
      <c r="Y63" s="40" t="s">
        <v>164</v>
      </c>
      <c r="Z63" s="40" t="s">
        <v>55</v>
      </c>
      <c r="AA63" s="40" t="s">
        <v>45</v>
      </c>
      <c r="AB63" s="41">
        <v>0</v>
      </c>
      <c r="AD63" s="42" t="str">
        <f>C63&amp;A63</f>
        <v>ALUGUEIS DE EQUIPAMENTOSOper</v>
      </c>
      <c r="AE63" s="42" t="str">
        <f>IFERROR(VLOOKUP(C63,[34]Planilha1!$B:$C,2,0),"Não se Aplica")</f>
        <v>Sim</v>
      </c>
      <c r="AF63" s="42" t="str">
        <f>VLOOKUP(AD63,[34]Planilha1!$H:$J,3,0)</f>
        <v>Sim</v>
      </c>
      <c r="AG63" s="43">
        <f t="shared" si="27"/>
        <v>90953.279999999999</v>
      </c>
    </row>
    <row r="64" spans="1:33" x14ac:dyDescent="0.3">
      <c r="A64" s="1" t="s">
        <v>836</v>
      </c>
      <c r="B64" s="34" t="s">
        <v>20</v>
      </c>
      <c r="C64" s="35" t="s">
        <v>38</v>
      </c>
      <c r="D64" s="34" t="s">
        <v>173</v>
      </c>
      <c r="E64" s="36" t="s">
        <v>174</v>
      </c>
      <c r="F64" s="34" t="s">
        <v>36</v>
      </c>
      <c r="G64" s="34" t="s">
        <v>32</v>
      </c>
      <c r="H64" s="34" t="s">
        <v>156</v>
      </c>
      <c r="I64" s="37">
        <f t="shared" si="28"/>
        <v>7297.5</v>
      </c>
      <c r="J64" s="37">
        <f t="shared" si="29"/>
        <v>7297.5</v>
      </c>
      <c r="K64" s="37">
        <f t="shared" si="30"/>
        <v>7297.5</v>
      </c>
      <c r="L64" s="37">
        <f t="shared" si="31"/>
        <v>7297.5</v>
      </c>
      <c r="M64" s="37">
        <v>0</v>
      </c>
      <c r="N64" s="37">
        <v>0</v>
      </c>
      <c r="O64" s="37">
        <v>0</v>
      </c>
      <c r="P64" s="37">
        <v>0</v>
      </c>
      <c r="Q64" s="37">
        <v>0</v>
      </c>
      <c r="R64" s="37">
        <f t="shared" si="37"/>
        <v>0</v>
      </c>
      <c r="S64" s="37">
        <f t="shared" si="38"/>
        <v>0</v>
      </c>
      <c r="T64" s="37">
        <f t="shared" si="39"/>
        <v>0</v>
      </c>
      <c r="U64" s="37">
        <f t="shared" si="40"/>
        <v>29190</v>
      </c>
      <c r="W64" s="51">
        <v>7297.5</v>
      </c>
      <c r="X64" s="39">
        <v>46233</v>
      </c>
      <c r="Y64" s="40" t="s">
        <v>175</v>
      </c>
      <c r="Z64" s="40" t="s">
        <v>55</v>
      </c>
      <c r="AA64" s="40" t="s">
        <v>45</v>
      </c>
      <c r="AB64" s="41">
        <v>0</v>
      </c>
      <c r="AD64" s="42" t="str">
        <f>C64&amp;A64</f>
        <v>ALUGUEIS DE EQUIPAMENTOSOper</v>
      </c>
      <c r="AE64" s="42" t="str">
        <f>IFERROR(VLOOKUP(C64,[34]Planilha1!$B:$C,2,0),"Não se Aplica")</f>
        <v>Sim</v>
      </c>
      <c r="AF64" s="42" t="str">
        <f>VLOOKUP(AD64,[34]Planilha1!$H:$J,3,0)</f>
        <v>Sim</v>
      </c>
      <c r="AG64" s="43">
        <f t="shared" si="27"/>
        <v>26489.924999999999</v>
      </c>
    </row>
    <row r="65" spans="1:33" x14ac:dyDescent="0.3">
      <c r="A65" s="1" t="s">
        <v>836</v>
      </c>
      <c r="B65" s="34" t="s">
        <v>20</v>
      </c>
      <c r="C65" s="35" t="s">
        <v>72</v>
      </c>
      <c r="D65" s="34" t="s">
        <v>176</v>
      </c>
      <c r="E65" s="36" t="s">
        <v>177</v>
      </c>
      <c r="F65" s="34" t="s">
        <v>36</v>
      </c>
      <c r="G65" s="34" t="s">
        <v>32</v>
      </c>
      <c r="H65" s="34" t="s">
        <v>156</v>
      </c>
      <c r="I65" s="37">
        <f t="shared" si="28"/>
        <v>360</v>
      </c>
      <c r="J65" s="37">
        <f t="shared" si="29"/>
        <v>360</v>
      </c>
      <c r="K65" s="37">
        <f t="shared" si="30"/>
        <v>360</v>
      </c>
      <c r="L65" s="37">
        <f t="shared" si="31"/>
        <v>360</v>
      </c>
      <c r="M65" s="37">
        <f t="shared" ref="M65:M70" si="41">IF($Y65="maio",$L65*(1+$AB65),$L65)</f>
        <v>360</v>
      </c>
      <c r="N65" s="37">
        <f t="shared" ref="N65:N116" si="42">IF($Y65="junho",$M65*(1+$AB65),$M65)</f>
        <v>360</v>
      </c>
      <c r="O65" s="37">
        <f t="shared" ref="O65:O116" si="43">IF($Y65="julho",$N65*(1+$AB65),$N65)</f>
        <v>360</v>
      </c>
      <c r="P65" s="37">
        <f t="shared" ref="P65:P116" si="44">IF($Y65="agosto",$O65*(1+$AB65),$O65)</f>
        <v>360</v>
      </c>
      <c r="Q65" s="37">
        <f t="shared" ref="Q65:Q116" si="45">IF($Y65="setembro",$P65*(1+$AB65),$P65)</f>
        <v>360</v>
      </c>
      <c r="R65" s="37">
        <f t="shared" si="37"/>
        <v>370.8</v>
      </c>
      <c r="S65" s="37">
        <f t="shared" si="38"/>
        <v>370.8</v>
      </c>
      <c r="T65" s="37">
        <f t="shared" si="39"/>
        <v>370.8</v>
      </c>
      <c r="U65" s="37">
        <f t="shared" si="40"/>
        <v>4352.4000000000005</v>
      </c>
      <c r="W65" s="51">
        <v>360</v>
      </c>
      <c r="X65" s="39">
        <v>46314</v>
      </c>
      <c r="Y65" s="40" t="s">
        <v>54</v>
      </c>
      <c r="Z65" s="40" t="s">
        <v>55</v>
      </c>
      <c r="AA65" s="40" t="s">
        <v>45</v>
      </c>
      <c r="AB65" s="41">
        <v>0.03</v>
      </c>
      <c r="AD65" s="42" t="str">
        <f>C65&amp;A65</f>
        <v>MANUT. EQUP. INFORMATICAOper</v>
      </c>
      <c r="AE65" s="42" t="str">
        <f>IFERROR(VLOOKUP(C65,[34]Planilha1!$B:$C,2,0),"Não se Aplica")</f>
        <v>Sim</v>
      </c>
      <c r="AF65" s="42" t="str">
        <f>VLOOKUP(AD65,[34]Planilha1!$H:$J,3,0)</f>
        <v>Sim</v>
      </c>
      <c r="AG65" s="43">
        <f t="shared" si="27"/>
        <v>3949.8030000000003</v>
      </c>
    </row>
    <row r="66" spans="1:33" x14ac:dyDescent="0.3">
      <c r="A66" s="1" t="s">
        <v>836</v>
      </c>
      <c r="B66" s="34" t="s">
        <v>20</v>
      </c>
      <c r="C66" s="35" t="s">
        <v>72</v>
      </c>
      <c r="D66" s="34" t="s">
        <v>176</v>
      </c>
      <c r="E66" s="36" t="s">
        <v>177</v>
      </c>
      <c r="F66" s="34" t="s">
        <v>36</v>
      </c>
      <c r="G66" s="34" t="s">
        <v>22</v>
      </c>
      <c r="H66" s="34" t="s">
        <v>156</v>
      </c>
      <c r="I66" s="37">
        <f t="shared" si="28"/>
        <v>954.42</v>
      </c>
      <c r="J66" s="37">
        <f t="shared" si="29"/>
        <v>954.42</v>
      </c>
      <c r="K66" s="37">
        <f t="shared" si="30"/>
        <v>954.42</v>
      </c>
      <c r="L66" s="37">
        <f t="shared" si="31"/>
        <v>954.42</v>
      </c>
      <c r="M66" s="37">
        <f t="shared" si="41"/>
        <v>954.42</v>
      </c>
      <c r="N66" s="37">
        <f t="shared" si="42"/>
        <v>954.42</v>
      </c>
      <c r="O66" s="37">
        <f t="shared" si="43"/>
        <v>954.42</v>
      </c>
      <c r="P66" s="37">
        <f t="shared" si="44"/>
        <v>954.42</v>
      </c>
      <c r="Q66" s="37">
        <f t="shared" si="45"/>
        <v>954.42</v>
      </c>
      <c r="R66" s="37">
        <f t="shared" si="37"/>
        <v>954.42</v>
      </c>
      <c r="S66" s="37">
        <f t="shared" si="38"/>
        <v>954.42</v>
      </c>
      <c r="T66" s="37">
        <f t="shared" si="39"/>
        <v>954.42</v>
      </c>
      <c r="U66" s="37">
        <f t="shared" si="40"/>
        <v>11453.039999999999</v>
      </c>
      <c r="W66" s="51">
        <v>954.42</v>
      </c>
      <c r="X66" s="39">
        <v>46621</v>
      </c>
      <c r="Y66" s="40" t="s">
        <v>65</v>
      </c>
      <c r="Z66" s="40" t="s">
        <v>55</v>
      </c>
      <c r="AA66" s="40" t="s">
        <v>45</v>
      </c>
      <c r="AB66" s="41">
        <v>0</v>
      </c>
      <c r="AD66" s="42" t="str">
        <f>C66&amp;A66</f>
        <v>MANUT. EQUP. INFORMATICAOper</v>
      </c>
      <c r="AE66" s="42" t="str">
        <f>IFERROR(VLOOKUP(C66,[34]Planilha1!$B:$C,2,0),"Não se Aplica")</f>
        <v>Sim</v>
      </c>
      <c r="AF66" s="42" t="str">
        <f>VLOOKUP(AD66,[34]Planilha1!$H:$J,3,0)</f>
        <v>Sim</v>
      </c>
      <c r="AG66" s="43">
        <f t="shared" si="27"/>
        <v>10393.6338</v>
      </c>
    </row>
    <row r="67" spans="1:33" x14ac:dyDescent="0.3">
      <c r="A67" s="1" t="s">
        <v>836</v>
      </c>
      <c r="B67" s="34" t="s">
        <v>20</v>
      </c>
      <c r="C67" s="35" t="s">
        <v>38</v>
      </c>
      <c r="D67" s="34" t="s">
        <v>178</v>
      </c>
      <c r="E67" s="36" t="s">
        <v>179</v>
      </c>
      <c r="F67" s="34" t="s">
        <v>36</v>
      </c>
      <c r="G67" s="34" t="s">
        <v>27</v>
      </c>
      <c r="H67" s="34" t="s">
        <v>156</v>
      </c>
      <c r="I67" s="37">
        <f t="shared" si="28"/>
        <v>1783.11</v>
      </c>
      <c r="J67" s="37">
        <f t="shared" si="29"/>
        <v>1783.11</v>
      </c>
      <c r="K67" s="46">
        <v>1463</v>
      </c>
      <c r="L67" s="37">
        <f t="shared" si="31"/>
        <v>1463</v>
      </c>
      <c r="M67" s="37">
        <f t="shared" si="41"/>
        <v>1463</v>
      </c>
      <c r="N67" s="37">
        <f t="shared" si="42"/>
        <v>1463</v>
      </c>
      <c r="O67" s="37">
        <f t="shared" si="43"/>
        <v>1463</v>
      </c>
      <c r="P67" s="37">
        <f t="shared" si="44"/>
        <v>1463</v>
      </c>
      <c r="Q67" s="37">
        <f t="shared" si="45"/>
        <v>1463</v>
      </c>
      <c r="R67" s="37">
        <f t="shared" si="37"/>
        <v>1463</v>
      </c>
      <c r="S67" s="37">
        <f t="shared" si="38"/>
        <v>1463</v>
      </c>
      <c r="T67" s="37">
        <f t="shared" si="39"/>
        <v>1463</v>
      </c>
      <c r="U67" s="37">
        <f t="shared" si="40"/>
        <v>18196.22</v>
      </c>
      <c r="W67" s="38">
        <v>1783.11</v>
      </c>
      <c r="X67" s="39"/>
      <c r="Y67" s="40" t="s">
        <v>54</v>
      </c>
      <c r="Z67" s="40"/>
      <c r="AA67" s="40" t="s">
        <v>45</v>
      </c>
      <c r="AB67" s="41">
        <v>0</v>
      </c>
      <c r="AD67" s="42" t="str">
        <f>C67&amp;A67</f>
        <v>ALUGUEIS DE EQUIPAMENTOSOper</v>
      </c>
      <c r="AE67" s="42" t="str">
        <f>IFERROR(VLOOKUP(C67,[34]Planilha1!$B:$C,2,0),"Não se Aplica")</f>
        <v>Sim</v>
      </c>
      <c r="AF67" s="42" t="str">
        <f>VLOOKUP(AD67,[34]Planilha1!$H:$J,3,0)</f>
        <v>Sim</v>
      </c>
      <c r="AG67" s="43">
        <f t="shared" si="27"/>
        <v>16513.069650000001</v>
      </c>
    </row>
    <row r="68" spans="1:33" x14ac:dyDescent="0.3">
      <c r="A68" s="1" t="s">
        <v>836</v>
      </c>
      <c r="B68" s="34" t="s">
        <v>20</v>
      </c>
      <c r="C68" s="35" t="s">
        <v>72</v>
      </c>
      <c r="D68" s="34" t="s">
        <v>176</v>
      </c>
      <c r="E68" s="36" t="s">
        <v>177</v>
      </c>
      <c r="F68" s="34" t="s">
        <v>36</v>
      </c>
      <c r="G68" s="34" t="s">
        <v>22</v>
      </c>
      <c r="H68" s="34" t="s">
        <v>156</v>
      </c>
      <c r="I68" s="37">
        <f t="shared" si="28"/>
        <v>445</v>
      </c>
      <c r="J68" s="37">
        <f t="shared" si="29"/>
        <v>445</v>
      </c>
      <c r="K68" s="37">
        <f t="shared" ref="K68:K117" si="46">IF($Y68="março",$J68*(1+$AB68),$J68)</f>
        <v>445</v>
      </c>
      <c r="L68" s="37">
        <f t="shared" si="31"/>
        <v>445</v>
      </c>
      <c r="M68" s="37">
        <f t="shared" si="41"/>
        <v>445</v>
      </c>
      <c r="N68" s="37">
        <f t="shared" si="42"/>
        <v>445</v>
      </c>
      <c r="O68" s="37">
        <f t="shared" si="43"/>
        <v>445</v>
      </c>
      <c r="P68" s="37">
        <f t="shared" si="44"/>
        <v>445</v>
      </c>
      <c r="Q68" s="37">
        <f t="shared" si="45"/>
        <v>445</v>
      </c>
      <c r="R68" s="37">
        <f t="shared" si="37"/>
        <v>445</v>
      </c>
      <c r="S68" s="37">
        <f t="shared" si="38"/>
        <v>445</v>
      </c>
      <c r="T68" s="37">
        <f t="shared" si="39"/>
        <v>445</v>
      </c>
      <c r="U68" s="37">
        <f t="shared" si="40"/>
        <v>5340</v>
      </c>
      <c r="W68" s="38">
        <v>445</v>
      </c>
      <c r="X68" s="39"/>
      <c r="Y68" s="40"/>
      <c r="Z68" s="40"/>
      <c r="AA68" s="40" t="s">
        <v>45</v>
      </c>
      <c r="AB68" s="41">
        <v>0</v>
      </c>
      <c r="AD68" s="42" t="str">
        <f>C68&amp;A68</f>
        <v>MANUT. EQUP. INFORMATICAOper</v>
      </c>
      <c r="AE68" s="42" t="str">
        <f>IFERROR(VLOOKUP(C68,[34]Planilha1!$B:$C,2,0),"Não se Aplica")</f>
        <v>Sim</v>
      </c>
      <c r="AF68" s="42" t="str">
        <f>VLOOKUP(AD68,[34]Planilha1!$H:$J,3,0)</f>
        <v>Sim</v>
      </c>
      <c r="AG68" s="43">
        <f t="shared" si="27"/>
        <v>4846.05</v>
      </c>
    </row>
    <row r="69" spans="1:33" x14ac:dyDescent="0.3">
      <c r="A69" s="1" t="s">
        <v>836</v>
      </c>
      <c r="B69" s="34" t="s">
        <v>20</v>
      </c>
      <c r="C69" s="35" t="s">
        <v>38</v>
      </c>
      <c r="D69" s="34" t="s">
        <v>180</v>
      </c>
      <c r="E69" s="36" t="s">
        <v>179</v>
      </c>
      <c r="F69" s="34" t="s">
        <v>36</v>
      </c>
      <c r="G69" s="34" t="s">
        <v>22</v>
      </c>
      <c r="H69" s="34" t="s">
        <v>156</v>
      </c>
      <c r="I69" s="37">
        <f t="shared" si="28"/>
        <v>4613.3999999999996</v>
      </c>
      <c r="J69" s="37">
        <f t="shared" si="29"/>
        <v>4613.3999999999996</v>
      </c>
      <c r="K69" s="37">
        <f t="shared" si="46"/>
        <v>4613.3999999999996</v>
      </c>
      <c r="L69" s="37">
        <f t="shared" si="31"/>
        <v>4613.3999999999996</v>
      </c>
      <c r="M69" s="37">
        <f t="shared" si="41"/>
        <v>4613.3999999999996</v>
      </c>
      <c r="N69" s="37">
        <f t="shared" si="42"/>
        <v>4613.3999999999996</v>
      </c>
      <c r="O69" s="37">
        <f t="shared" si="43"/>
        <v>4613.3999999999996</v>
      </c>
      <c r="P69" s="37">
        <f t="shared" si="44"/>
        <v>4613.3999999999996</v>
      </c>
      <c r="Q69" s="37">
        <f t="shared" si="45"/>
        <v>4613.3999999999996</v>
      </c>
      <c r="R69" s="37">
        <f t="shared" si="37"/>
        <v>4613.3999999999996</v>
      </c>
      <c r="S69" s="37">
        <f t="shared" si="38"/>
        <v>4613.3999999999996</v>
      </c>
      <c r="T69" s="37">
        <f t="shared" si="39"/>
        <v>4613.3999999999996</v>
      </c>
      <c r="U69" s="37">
        <f t="shared" si="40"/>
        <v>55360.80000000001</v>
      </c>
      <c r="W69" s="38">
        <v>4613.3999999999996</v>
      </c>
      <c r="X69" s="39"/>
      <c r="Y69" s="40" t="s">
        <v>54</v>
      </c>
      <c r="Z69" s="40"/>
      <c r="AA69" s="40" t="s">
        <v>45</v>
      </c>
      <c r="AB69" s="41">
        <v>0</v>
      </c>
      <c r="AD69" s="42" t="str">
        <f>C69&amp;A69</f>
        <v>ALUGUEIS DE EQUIPAMENTOSOper</v>
      </c>
      <c r="AE69" s="42" t="str">
        <f>IFERROR(VLOOKUP(C69,[34]Planilha1!$B:$C,2,0),"Não se Aplica")</f>
        <v>Sim</v>
      </c>
      <c r="AF69" s="42" t="str">
        <f>VLOOKUP(AD69,[34]Planilha1!$H:$J,3,0)</f>
        <v>Sim</v>
      </c>
      <c r="AG69" s="43">
        <f t="shared" si="27"/>
        <v>50239.926000000007</v>
      </c>
    </row>
    <row r="70" spans="1:33" x14ac:dyDescent="0.3">
      <c r="A70" s="1" t="s">
        <v>836</v>
      </c>
      <c r="B70" s="34" t="s">
        <v>20</v>
      </c>
      <c r="C70" s="35" t="s">
        <v>72</v>
      </c>
      <c r="D70" s="34" t="s">
        <v>176</v>
      </c>
      <c r="E70" s="36" t="s">
        <v>177</v>
      </c>
      <c r="F70" s="34" t="s">
        <v>36</v>
      </c>
      <c r="G70" s="34" t="s">
        <v>32</v>
      </c>
      <c r="H70" s="34" t="s">
        <v>156</v>
      </c>
      <c r="I70" s="37">
        <f t="shared" si="28"/>
        <v>318.14</v>
      </c>
      <c r="J70" s="37">
        <f t="shared" si="29"/>
        <v>318.14</v>
      </c>
      <c r="K70" s="37">
        <f t="shared" si="46"/>
        <v>318.14</v>
      </c>
      <c r="L70" s="37">
        <f t="shared" si="31"/>
        <v>318.14</v>
      </c>
      <c r="M70" s="37">
        <f t="shared" si="41"/>
        <v>318.14</v>
      </c>
      <c r="N70" s="37">
        <f t="shared" si="42"/>
        <v>318.14</v>
      </c>
      <c r="O70" s="37">
        <f t="shared" si="43"/>
        <v>318.14</v>
      </c>
      <c r="P70" s="37">
        <f t="shared" si="44"/>
        <v>318.14</v>
      </c>
      <c r="Q70" s="37">
        <f t="shared" si="45"/>
        <v>318.14</v>
      </c>
      <c r="R70" s="37">
        <f t="shared" si="37"/>
        <v>318.14</v>
      </c>
      <c r="S70" s="37">
        <f t="shared" si="38"/>
        <v>318.14</v>
      </c>
      <c r="T70" s="37">
        <f t="shared" si="39"/>
        <v>318.14</v>
      </c>
      <c r="U70" s="37">
        <f t="shared" si="40"/>
        <v>3817.6799999999989</v>
      </c>
      <c r="W70" s="38">
        <v>318.14</v>
      </c>
      <c r="X70" s="39">
        <v>46621</v>
      </c>
      <c r="Y70" s="40" t="s">
        <v>65</v>
      </c>
      <c r="Z70" s="40" t="s">
        <v>55</v>
      </c>
      <c r="AA70" s="40" t="s">
        <v>45</v>
      </c>
      <c r="AB70" s="41">
        <v>0</v>
      </c>
      <c r="AD70" s="42" t="str">
        <f>C70&amp;A70</f>
        <v>MANUT. EQUP. INFORMATICAOper</v>
      </c>
      <c r="AE70" s="42" t="str">
        <f>IFERROR(VLOOKUP(C70,[34]Planilha1!$B:$C,2,0),"Não se Aplica")</f>
        <v>Sim</v>
      </c>
      <c r="AF70" s="42" t="str">
        <f>VLOOKUP(AD70,[34]Planilha1!$H:$J,3,0)</f>
        <v>Sim</v>
      </c>
      <c r="AG70" s="43">
        <f t="shared" si="27"/>
        <v>3464.5445999999988</v>
      </c>
    </row>
    <row r="71" spans="1:33" x14ac:dyDescent="0.3">
      <c r="A71" s="1" t="s">
        <v>836</v>
      </c>
      <c r="B71" s="34" t="s">
        <v>20</v>
      </c>
      <c r="C71" s="35" t="s">
        <v>38</v>
      </c>
      <c r="D71" s="34" t="s">
        <v>181</v>
      </c>
      <c r="E71" s="36" t="s">
        <v>179</v>
      </c>
      <c r="F71" s="34" t="s">
        <v>36</v>
      </c>
      <c r="G71" s="34" t="s">
        <v>32</v>
      </c>
      <c r="H71" s="34" t="s">
        <v>156</v>
      </c>
      <c r="I71" s="37">
        <f t="shared" si="28"/>
        <v>7474.5</v>
      </c>
      <c r="J71" s="37">
        <f t="shared" si="29"/>
        <v>7474.5</v>
      </c>
      <c r="K71" s="37">
        <f t="shared" si="46"/>
        <v>7474.5</v>
      </c>
      <c r="L71" s="37">
        <f t="shared" si="31"/>
        <v>7474.5</v>
      </c>
      <c r="M71" s="46">
        <v>6515</v>
      </c>
      <c r="N71" s="37">
        <f t="shared" si="42"/>
        <v>6515</v>
      </c>
      <c r="O71" s="37">
        <f t="shared" si="43"/>
        <v>6515</v>
      </c>
      <c r="P71" s="37">
        <f t="shared" si="44"/>
        <v>6515</v>
      </c>
      <c r="Q71" s="37">
        <f t="shared" si="45"/>
        <v>6515</v>
      </c>
      <c r="R71" s="37">
        <f t="shared" si="37"/>
        <v>6515</v>
      </c>
      <c r="S71" s="37">
        <f t="shared" si="38"/>
        <v>6515</v>
      </c>
      <c r="T71" s="37">
        <f t="shared" si="39"/>
        <v>6515</v>
      </c>
      <c r="U71" s="37">
        <f t="shared" si="40"/>
        <v>82018</v>
      </c>
      <c r="W71" s="38">
        <v>7474.5</v>
      </c>
      <c r="X71" s="39"/>
      <c r="Y71" s="40" t="s">
        <v>54</v>
      </c>
      <c r="Z71" s="40"/>
      <c r="AA71" s="40" t="s">
        <v>45</v>
      </c>
      <c r="AB71" s="41">
        <v>0</v>
      </c>
      <c r="AD71" s="42" t="str">
        <f>C71&amp;A71</f>
        <v>ALUGUEIS DE EQUIPAMENTOSOper</v>
      </c>
      <c r="AE71" s="42" t="str">
        <f>IFERROR(VLOOKUP(C71,[34]Planilha1!$B:$C,2,0),"Não se Aplica")</f>
        <v>Sim</v>
      </c>
      <c r="AF71" s="42" t="str">
        <f>VLOOKUP(AD71,[34]Planilha1!$H:$J,3,0)</f>
        <v>Sim</v>
      </c>
      <c r="AG71" s="43">
        <f t="shared" si="27"/>
        <v>74431.334999999992</v>
      </c>
    </row>
    <row r="72" spans="1:33" x14ac:dyDescent="0.3">
      <c r="A72" s="1" t="s">
        <v>836</v>
      </c>
      <c r="B72" s="34" t="s">
        <v>20</v>
      </c>
      <c r="C72" s="35" t="s">
        <v>72</v>
      </c>
      <c r="D72" s="34" t="s">
        <v>176</v>
      </c>
      <c r="E72" s="36" t="s">
        <v>182</v>
      </c>
      <c r="F72" s="34" t="s">
        <v>36</v>
      </c>
      <c r="G72" s="34" t="s">
        <v>27</v>
      </c>
      <c r="H72" s="34" t="s">
        <v>156</v>
      </c>
      <c r="I72" s="37">
        <f t="shared" si="28"/>
        <v>960</v>
      </c>
      <c r="J72" s="37">
        <f t="shared" si="29"/>
        <v>960</v>
      </c>
      <c r="K72" s="37">
        <f t="shared" si="46"/>
        <v>960</v>
      </c>
      <c r="L72" s="37">
        <f t="shared" si="31"/>
        <v>960</v>
      </c>
      <c r="M72" s="37">
        <f t="shared" ref="M72:M121" si="47">IF($Y72="maio",$L72*(1+$AB72),$L72)</f>
        <v>960</v>
      </c>
      <c r="N72" s="37">
        <f t="shared" si="42"/>
        <v>960</v>
      </c>
      <c r="O72" s="37">
        <f t="shared" si="43"/>
        <v>960</v>
      </c>
      <c r="P72" s="37">
        <f t="shared" si="44"/>
        <v>960</v>
      </c>
      <c r="Q72" s="37">
        <f t="shared" si="45"/>
        <v>960</v>
      </c>
      <c r="R72" s="37">
        <f t="shared" si="37"/>
        <v>960</v>
      </c>
      <c r="S72" s="37">
        <f t="shared" si="38"/>
        <v>960</v>
      </c>
      <c r="T72" s="37">
        <f t="shared" si="39"/>
        <v>960</v>
      </c>
      <c r="U72" s="37">
        <f t="shared" si="40"/>
        <v>11520</v>
      </c>
      <c r="W72" s="38">
        <v>960</v>
      </c>
      <c r="X72" s="39"/>
      <c r="Y72" s="40"/>
      <c r="Z72" s="40"/>
      <c r="AA72" s="40" t="s">
        <v>45</v>
      </c>
      <c r="AB72" s="41">
        <v>0</v>
      </c>
      <c r="AD72" s="42" t="str">
        <f>C72&amp;A72</f>
        <v>MANUT. EQUP. INFORMATICAOper</v>
      </c>
      <c r="AE72" s="42" t="str">
        <f>IFERROR(VLOOKUP(C72,[34]Planilha1!$B:$C,2,0),"Não se Aplica")</f>
        <v>Sim</v>
      </c>
      <c r="AF72" s="42" t="str">
        <f>VLOOKUP(AD72,[34]Planilha1!$H:$J,3,0)</f>
        <v>Sim</v>
      </c>
      <c r="AG72" s="43">
        <f t="shared" si="27"/>
        <v>10454.4</v>
      </c>
    </row>
    <row r="73" spans="1:33" x14ac:dyDescent="0.3">
      <c r="A73" s="1" t="s">
        <v>836</v>
      </c>
      <c r="B73" s="34" t="s">
        <v>28</v>
      </c>
      <c r="C73" s="35" t="s">
        <v>38</v>
      </c>
      <c r="D73" s="34"/>
      <c r="E73" s="36" t="s">
        <v>183</v>
      </c>
      <c r="F73" s="34" t="s">
        <v>37</v>
      </c>
      <c r="G73" s="34" t="s">
        <v>32</v>
      </c>
      <c r="H73" s="34" t="s">
        <v>184</v>
      </c>
      <c r="I73" s="37">
        <f t="shared" si="28"/>
        <v>136.58000000000001</v>
      </c>
      <c r="J73" s="37">
        <f t="shared" si="29"/>
        <v>136.58000000000001</v>
      </c>
      <c r="K73" s="37">
        <f t="shared" si="46"/>
        <v>136.58000000000001</v>
      </c>
      <c r="L73" s="37">
        <f t="shared" si="31"/>
        <v>136.58000000000001</v>
      </c>
      <c r="M73" s="37">
        <f t="shared" si="47"/>
        <v>136.58000000000001</v>
      </c>
      <c r="N73" s="37">
        <f t="shared" si="42"/>
        <v>136.58000000000001</v>
      </c>
      <c r="O73" s="37">
        <f t="shared" si="43"/>
        <v>136.58000000000001</v>
      </c>
      <c r="P73" s="37">
        <f t="shared" si="44"/>
        <v>136.58000000000001</v>
      </c>
      <c r="Q73" s="37">
        <f t="shared" si="45"/>
        <v>136.58000000000001</v>
      </c>
      <c r="R73" s="37">
        <f t="shared" si="37"/>
        <v>136.58000000000001</v>
      </c>
      <c r="S73" s="37">
        <f t="shared" si="38"/>
        <v>136.58000000000001</v>
      </c>
      <c r="T73" s="37">
        <f t="shared" si="39"/>
        <v>136.58000000000001</v>
      </c>
      <c r="U73" s="37">
        <f t="shared" si="40"/>
        <v>1638.9599999999998</v>
      </c>
      <c r="W73" s="38">
        <v>136.58000000000001</v>
      </c>
      <c r="X73" s="39"/>
      <c r="Y73" s="40" t="s">
        <v>103</v>
      </c>
      <c r="Z73" s="40"/>
      <c r="AA73" s="40" t="s">
        <v>45</v>
      </c>
      <c r="AB73" s="41">
        <v>0</v>
      </c>
      <c r="AD73" s="42" t="str">
        <f>C73&amp;A73</f>
        <v>ALUGUEIS DE EQUIPAMENTOSOper</v>
      </c>
      <c r="AE73" s="42" t="str">
        <f>IFERROR(VLOOKUP(C73,[34]Planilha1!$B:$C,2,0),"Não se Aplica")</f>
        <v>Sim</v>
      </c>
      <c r="AF73" s="42" t="str">
        <f>VLOOKUP(AD73,[34]Planilha1!$H:$J,3,0)</f>
        <v>Sim</v>
      </c>
      <c r="AG73" s="43">
        <f t="shared" si="27"/>
        <v>1487.3561999999997</v>
      </c>
    </row>
    <row r="74" spans="1:33" x14ac:dyDescent="0.3">
      <c r="A74" s="1" t="s">
        <v>836</v>
      </c>
      <c r="B74" s="34" t="s">
        <v>28</v>
      </c>
      <c r="C74" s="35" t="s">
        <v>46</v>
      </c>
      <c r="D74" s="34"/>
      <c r="E74" s="36" t="s">
        <v>183</v>
      </c>
      <c r="F74" s="34" t="s">
        <v>37</v>
      </c>
      <c r="G74" s="34" t="s">
        <v>32</v>
      </c>
      <c r="H74" s="34" t="s">
        <v>184</v>
      </c>
      <c r="I74" s="37">
        <f t="shared" si="28"/>
        <v>546.30999999999995</v>
      </c>
      <c r="J74" s="37">
        <f t="shared" si="29"/>
        <v>546.30999999999995</v>
      </c>
      <c r="K74" s="37">
        <f t="shared" si="46"/>
        <v>546.30999999999995</v>
      </c>
      <c r="L74" s="37">
        <f t="shared" si="31"/>
        <v>546.30999999999995</v>
      </c>
      <c r="M74" s="37">
        <f t="shared" si="47"/>
        <v>546.30999999999995</v>
      </c>
      <c r="N74" s="37">
        <f t="shared" si="42"/>
        <v>546.30999999999995</v>
      </c>
      <c r="O74" s="37">
        <f t="shared" si="43"/>
        <v>546.30999999999995</v>
      </c>
      <c r="P74" s="37">
        <f t="shared" si="44"/>
        <v>546.30999999999995</v>
      </c>
      <c r="Q74" s="37">
        <f t="shared" si="45"/>
        <v>546.30999999999995</v>
      </c>
      <c r="R74" s="37">
        <f t="shared" si="37"/>
        <v>546.30999999999995</v>
      </c>
      <c r="S74" s="37">
        <f t="shared" si="38"/>
        <v>546.30999999999995</v>
      </c>
      <c r="T74" s="37">
        <f t="shared" si="39"/>
        <v>546.30999999999995</v>
      </c>
      <c r="U74" s="37">
        <f t="shared" si="40"/>
        <v>6555.7199999999975</v>
      </c>
      <c r="W74" s="38">
        <v>546.30999999999995</v>
      </c>
      <c r="X74" s="39"/>
      <c r="Y74" s="40" t="s">
        <v>103</v>
      </c>
      <c r="Z74" s="40"/>
      <c r="AA74" s="40" t="s">
        <v>45</v>
      </c>
      <c r="AB74" s="41">
        <v>0</v>
      </c>
      <c r="AD74" s="42" t="str">
        <f>C74&amp;A74</f>
        <v>MANUTEN. SISTEMAS  INFORMATICAOper</v>
      </c>
      <c r="AE74" s="42" t="str">
        <f>IFERROR(VLOOKUP(C74,[34]Planilha1!$B:$C,2,0),"Não se Aplica")</f>
        <v>Sim</v>
      </c>
      <c r="AF74" s="42" t="str">
        <f>VLOOKUP(AD74,[34]Planilha1!$H:$J,3,0)</f>
        <v>Sim</v>
      </c>
      <c r="AG74" s="43">
        <f t="shared" si="27"/>
        <v>5949.3158999999978</v>
      </c>
    </row>
    <row r="75" spans="1:33" x14ac:dyDescent="0.3">
      <c r="A75" s="1" t="s">
        <v>836</v>
      </c>
      <c r="B75" s="34" t="s">
        <v>28</v>
      </c>
      <c r="C75" s="35" t="s">
        <v>185</v>
      </c>
      <c r="D75" s="34" t="s">
        <v>186</v>
      </c>
      <c r="E75" s="36" t="s">
        <v>187</v>
      </c>
      <c r="F75" s="34" t="s">
        <v>37</v>
      </c>
      <c r="G75" s="34" t="s">
        <v>32</v>
      </c>
      <c r="H75" s="34" t="s">
        <v>184</v>
      </c>
      <c r="I75" s="37">
        <f t="shared" si="28"/>
        <v>2262.48</v>
      </c>
      <c r="J75" s="37">
        <f t="shared" si="29"/>
        <v>2262.48</v>
      </c>
      <c r="K75" s="37">
        <f t="shared" si="46"/>
        <v>2262.48</v>
      </c>
      <c r="L75" s="37">
        <f t="shared" si="31"/>
        <v>2262.48</v>
      </c>
      <c r="M75" s="37">
        <f t="shared" si="47"/>
        <v>2262.48</v>
      </c>
      <c r="N75" s="37">
        <f t="shared" si="42"/>
        <v>2262.48</v>
      </c>
      <c r="O75" s="37">
        <f t="shared" si="43"/>
        <v>2262.48</v>
      </c>
      <c r="P75" s="37">
        <f t="shared" si="44"/>
        <v>2262.48</v>
      </c>
      <c r="Q75" s="37">
        <f t="shared" si="45"/>
        <v>2262.48</v>
      </c>
      <c r="R75" s="37">
        <f t="shared" si="37"/>
        <v>2262.48</v>
      </c>
      <c r="S75" s="37">
        <f t="shared" si="38"/>
        <v>2262.48</v>
      </c>
      <c r="T75" s="37">
        <f t="shared" si="39"/>
        <v>2262.48</v>
      </c>
      <c r="U75" s="37">
        <f t="shared" si="40"/>
        <v>27149.759999999998</v>
      </c>
      <c r="W75" s="38">
        <v>2262.48</v>
      </c>
      <c r="X75" s="39"/>
      <c r="Y75" s="40"/>
      <c r="Z75" s="40"/>
      <c r="AA75" s="40" t="s">
        <v>45</v>
      </c>
      <c r="AB75" s="41">
        <v>0</v>
      </c>
      <c r="AD75" s="42" t="str">
        <f>C75&amp;A75</f>
        <v>HONORARIOS PROF. PJOper</v>
      </c>
      <c r="AE75" s="42" t="str">
        <f>IFERROR(VLOOKUP(C75,[34]Planilha1!$B:$C,2,0),"Não se Aplica")</f>
        <v>Sim</v>
      </c>
      <c r="AF75" s="42" t="str">
        <f>VLOOKUP(AD75,[34]Planilha1!$H:$J,3,0)</f>
        <v>Não</v>
      </c>
      <c r="AG75" s="43">
        <f t="shared" si="27"/>
        <v>27149.759999999998</v>
      </c>
    </row>
    <row r="76" spans="1:33" x14ac:dyDescent="0.3">
      <c r="A76" s="1" t="s">
        <v>836</v>
      </c>
      <c r="B76" s="34" t="s">
        <v>28</v>
      </c>
      <c r="C76" s="35" t="s">
        <v>38</v>
      </c>
      <c r="D76" s="34" t="s">
        <v>188</v>
      </c>
      <c r="E76" s="36" t="s">
        <v>189</v>
      </c>
      <c r="F76" s="34" t="s">
        <v>37</v>
      </c>
      <c r="G76" s="34" t="s">
        <v>31</v>
      </c>
      <c r="H76" s="34" t="s">
        <v>184</v>
      </c>
      <c r="I76" s="37">
        <f t="shared" si="28"/>
        <v>540</v>
      </c>
      <c r="J76" s="37">
        <f t="shared" si="29"/>
        <v>540</v>
      </c>
      <c r="K76" s="37">
        <f t="shared" si="46"/>
        <v>540</v>
      </c>
      <c r="L76" s="37">
        <f t="shared" si="31"/>
        <v>540</v>
      </c>
      <c r="M76" s="37">
        <f t="shared" si="47"/>
        <v>540</v>
      </c>
      <c r="N76" s="37">
        <f t="shared" si="42"/>
        <v>540</v>
      </c>
      <c r="O76" s="37">
        <f t="shared" si="43"/>
        <v>540</v>
      </c>
      <c r="P76" s="37">
        <f t="shared" si="44"/>
        <v>540</v>
      </c>
      <c r="Q76" s="37">
        <f t="shared" si="45"/>
        <v>556.20000000000005</v>
      </c>
      <c r="R76" s="37">
        <f t="shared" si="37"/>
        <v>556.20000000000005</v>
      </c>
      <c r="S76" s="37">
        <f t="shared" si="38"/>
        <v>556.20000000000005</v>
      </c>
      <c r="T76" s="37">
        <f t="shared" si="39"/>
        <v>556.20000000000005</v>
      </c>
      <c r="U76" s="37">
        <f t="shared" si="40"/>
        <v>6544.7999999999993</v>
      </c>
      <c r="W76" s="38">
        <v>540</v>
      </c>
      <c r="X76" s="39">
        <v>45620</v>
      </c>
      <c r="Y76" s="40" t="s">
        <v>129</v>
      </c>
      <c r="Z76" s="40"/>
      <c r="AA76" s="40" t="s">
        <v>45</v>
      </c>
      <c r="AB76" s="41">
        <v>0.03</v>
      </c>
      <c r="AD76" s="42" t="str">
        <f>C76&amp;A76</f>
        <v>ALUGUEIS DE EQUIPAMENTOSOper</v>
      </c>
      <c r="AE76" s="42" t="str">
        <f>IFERROR(VLOOKUP(C76,[34]Planilha1!$B:$C,2,0),"Não se Aplica")</f>
        <v>Sim</v>
      </c>
      <c r="AF76" s="42" t="str">
        <f>VLOOKUP(AD76,[34]Planilha1!$H:$J,3,0)</f>
        <v>Sim</v>
      </c>
      <c r="AG76" s="43">
        <f t="shared" si="27"/>
        <v>5939.405999999999</v>
      </c>
    </row>
    <row r="77" spans="1:33" x14ac:dyDescent="0.3">
      <c r="A77" s="1" t="s">
        <v>836</v>
      </c>
      <c r="B77" s="34" t="s">
        <v>28</v>
      </c>
      <c r="C77" s="35" t="s">
        <v>38</v>
      </c>
      <c r="D77" s="34" t="s">
        <v>190</v>
      </c>
      <c r="E77" s="36" t="s">
        <v>191</v>
      </c>
      <c r="F77" s="34" t="s">
        <v>37</v>
      </c>
      <c r="G77" s="34" t="s">
        <v>30</v>
      </c>
      <c r="H77" s="34" t="s">
        <v>184</v>
      </c>
      <c r="I77" s="37">
        <f t="shared" si="28"/>
        <v>2820.04</v>
      </c>
      <c r="J77" s="37">
        <f t="shared" si="29"/>
        <v>2820.04</v>
      </c>
      <c r="K77" s="37">
        <f t="shared" si="46"/>
        <v>2820.04</v>
      </c>
      <c r="L77" s="37">
        <f t="shared" si="31"/>
        <v>2904.6412</v>
      </c>
      <c r="M77" s="37">
        <f t="shared" si="47"/>
        <v>2904.6412</v>
      </c>
      <c r="N77" s="37">
        <f t="shared" si="42"/>
        <v>2904.6412</v>
      </c>
      <c r="O77" s="37">
        <f t="shared" si="43"/>
        <v>2904.6412</v>
      </c>
      <c r="P77" s="37">
        <f t="shared" si="44"/>
        <v>2904.6412</v>
      </c>
      <c r="Q77" s="37">
        <f t="shared" si="45"/>
        <v>2904.6412</v>
      </c>
      <c r="R77" s="37">
        <f t="shared" si="37"/>
        <v>2904.6412</v>
      </c>
      <c r="S77" s="37">
        <f t="shared" si="38"/>
        <v>2904.6412</v>
      </c>
      <c r="T77" s="37">
        <f t="shared" si="39"/>
        <v>2904.6412</v>
      </c>
      <c r="U77" s="37">
        <f t="shared" si="40"/>
        <v>34601.890799999986</v>
      </c>
      <c r="W77" s="51">
        <v>2820.04</v>
      </c>
      <c r="X77" s="39">
        <v>45928</v>
      </c>
      <c r="Y77" s="40" t="s">
        <v>103</v>
      </c>
      <c r="Z77" s="40"/>
      <c r="AA77" s="40" t="s">
        <v>45</v>
      </c>
      <c r="AB77" s="41">
        <v>0.03</v>
      </c>
      <c r="AD77" s="42" t="str">
        <f>C77&amp;A77</f>
        <v>ALUGUEIS DE EQUIPAMENTOSOper</v>
      </c>
      <c r="AE77" s="42" t="str">
        <f>IFERROR(VLOOKUP(C77,[34]Planilha1!$B:$C,2,0),"Não se Aplica")</f>
        <v>Sim</v>
      </c>
      <c r="AF77" s="42" t="str">
        <f>VLOOKUP(AD77,[34]Planilha1!$H:$J,3,0)</f>
        <v>Sim</v>
      </c>
      <c r="AG77" s="43">
        <f t="shared" si="27"/>
        <v>31401.215900999985</v>
      </c>
    </row>
    <row r="78" spans="1:33" x14ac:dyDescent="0.3">
      <c r="A78" s="1" t="s">
        <v>836</v>
      </c>
      <c r="B78" s="34" t="s">
        <v>28</v>
      </c>
      <c r="C78" s="35" t="s">
        <v>38</v>
      </c>
      <c r="D78" s="34" t="s">
        <v>192</v>
      </c>
      <c r="E78" s="36" t="s">
        <v>193</v>
      </c>
      <c r="F78" s="34" t="s">
        <v>37</v>
      </c>
      <c r="G78" s="34" t="s">
        <v>32</v>
      </c>
      <c r="H78" s="34" t="s">
        <v>184</v>
      </c>
      <c r="I78" s="37">
        <f t="shared" si="28"/>
        <v>5400</v>
      </c>
      <c r="J78" s="37">
        <f t="shared" si="29"/>
        <v>5400</v>
      </c>
      <c r="K78" s="37">
        <f t="shared" si="46"/>
        <v>5400</v>
      </c>
      <c r="L78" s="37">
        <f t="shared" si="31"/>
        <v>5400</v>
      </c>
      <c r="M78" s="37">
        <f t="shared" si="47"/>
        <v>5400</v>
      </c>
      <c r="N78" s="37">
        <f t="shared" si="42"/>
        <v>5400</v>
      </c>
      <c r="O78" s="37">
        <f t="shared" si="43"/>
        <v>5400</v>
      </c>
      <c r="P78" s="37">
        <f t="shared" si="44"/>
        <v>5400</v>
      </c>
      <c r="Q78" s="37">
        <f t="shared" si="45"/>
        <v>5400</v>
      </c>
      <c r="R78" s="37">
        <f t="shared" si="37"/>
        <v>5400</v>
      </c>
      <c r="S78" s="37">
        <f t="shared" si="38"/>
        <v>5400</v>
      </c>
      <c r="T78" s="37">
        <f t="shared" si="39"/>
        <v>5400</v>
      </c>
      <c r="U78" s="37">
        <f t="shared" si="40"/>
        <v>64800</v>
      </c>
      <c r="W78" s="51">
        <v>5400</v>
      </c>
      <c r="X78" s="39"/>
      <c r="Y78" s="40"/>
      <c r="Z78" s="40"/>
      <c r="AA78" s="40" t="s">
        <v>45</v>
      </c>
      <c r="AB78" s="41">
        <v>0</v>
      </c>
      <c r="AD78" s="42" t="str">
        <f>C78&amp;A78</f>
        <v>ALUGUEIS DE EQUIPAMENTOSOper</v>
      </c>
      <c r="AE78" s="42" t="str">
        <f>IFERROR(VLOOKUP(C78,[34]Planilha1!$B:$C,2,0),"Não se Aplica")</f>
        <v>Sim</v>
      </c>
      <c r="AF78" s="42" t="str">
        <f>VLOOKUP(AD78,[34]Planilha1!$H:$J,3,0)</f>
        <v>Sim</v>
      </c>
      <c r="AG78" s="43">
        <f t="shared" si="27"/>
        <v>58806</v>
      </c>
    </row>
    <row r="79" spans="1:33" x14ac:dyDescent="0.3">
      <c r="A79" s="1" t="s">
        <v>836</v>
      </c>
      <c r="B79" s="34" t="s">
        <v>28</v>
      </c>
      <c r="C79" s="35" t="s">
        <v>38</v>
      </c>
      <c r="D79" s="34" t="s">
        <v>194</v>
      </c>
      <c r="E79" s="36" t="s">
        <v>179</v>
      </c>
      <c r="F79" s="34" t="s">
        <v>37</v>
      </c>
      <c r="G79" s="34" t="s">
        <v>29</v>
      </c>
      <c r="H79" s="34" t="s">
        <v>184</v>
      </c>
      <c r="I79" s="37">
        <f t="shared" si="28"/>
        <v>274.86</v>
      </c>
      <c r="J79" s="37">
        <f t="shared" si="29"/>
        <v>274.86</v>
      </c>
      <c r="K79" s="37">
        <f t="shared" si="46"/>
        <v>274.86</v>
      </c>
      <c r="L79" s="37">
        <f t="shared" si="31"/>
        <v>274.86</v>
      </c>
      <c r="M79" s="37">
        <f t="shared" si="47"/>
        <v>274.86</v>
      </c>
      <c r="N79" s="37">
        <f t="shared" si="42"/>
        <v>274.86</v>
      </c>
      <c r="O79" s="37">
        <f t="shared" si="43"/>
        <v>274.86</v>
      </c>
      <c r="P79" s="37">
        <f t="shared" si="44"/>
        <v>274.86</v>
      </c>
      <c r="Q79" s="37">
        <f t="shared" si="45"/>
        <v>274.86</v>
      </c>
      <c r="R79" s="37">
        <f t="shared" si="37"/>
        <v>274.86</v>
      </c>
      <c r="S79" s="37">
        <f t="shared" si="38"/>
        <v>274.86</v>
      </c>
      <c r="T79" s="37">
        <f t="shared" si="39"/>
        <v>274.86</v>
      </c>
      <c r="U79" s="37">
        <f t="shared" si="40"/>
        <v>3298.3200000000011</v>
      </c>
      <c r="W79" s="51">
        <v>274.86</v>
      </c>
      <c r="X79" s="39"/>
      <c r="Y79" s="40" t="s">
        <v>65</v>
      </c>
      <c r="Z79" s="40"/>
      <c r="AA79" s="40" t="s">
        <v>56</v>
      </c>
      <c r="AB79" s="41">
        <v>0</v>
      </c>
      <c r="AD79" s="42" t="str">
        <f>C79&amp;A79</f>
        <v>ALUGUEIS DE EQUIPAMENTOSOper</v>
      </c>
      <c r="AE79" s="42" t="str">
        <f>IFERROR(VLOOKUP(C79,[34]Planilha1!$B:$C,2,0),"Não se Aplica")</f>
        <v>Sim</v>
      </c>
      <c r="AF79" s="42" t="str">
        <f>VLOOKUP(AD79,[34]Planilha1!$H:$J,3,0)</f>
        <v>Sim</v>
      </c>
      <c r="AG79" s="43">
        <f t="shared" si="27"/>
        <v>2993.2254000000007</v>
      </c>
    </row>
    <row r="80" spans="1:33" x14ac:dyDescent="0.3">
      <c r="A80" s="1" t="s">
        <v>836</v>
      </c>
      <c r="B80" s="34" t="s">
        <v>28</v>
      </c>
      <c r="C80" s="35" t="s">
        <v>38</v>
      </c>
      <c r="D80" s="34" t="s">
        <v>195</v>
      </c>
      <c r="E80" s="36" t="s">
        <v>179</v>
      </c>
      <c r="F80" s="34" t="s">
        <v>37</v>
      </c>
      <c r="G80" s="34" t="s">
        <v>100</v>
      </c>
      <c r="H80" s="34" t="s">
        <v>184</v>
      </c>
      <c r="I80" s="37">
        <f t="shared" si="28"/>
        <v>353.67</v>
      </c>
      <c r="J80" s="37">
        <f t="shared" si="29"/>
        <v>353.67</v>
      </c>
      <c r="K80" s="37">
        <f t="shared" si="46"/>
        <v>353.67</v>
      </c>
      <c r="L80" s="37">
        <f t="shared" si="31"/>
        <v>353.67</v>
      </c>
      <c r="M80" s="37">
        <f t="shared" si="47"/>
        <v>353.67</v>
      </c>
      <c r="N80" s="37">
        <f t="shared" si="42"/>
        <v>353.67</v>
      </c>
      <c r="O80" s="37">
        <f t="shared" si="43"/>
        <v>353.67</v>
      </c>
      <c r="P80" s="37">
        <f t="shared" si="44"/>
        <v>353.67</v>
      </c>
      <c r="Q80" s="37">
        <f t="shared" si="45"/>
        <v>353.67</v>
      </c>
      <c r="R80" s="37">
        <f t="shared" si="37"/>
        <v>353.67</v>
      </c>
      <c r="S80" s="37">
        <f t="shared" si="38"/>
        <v>353.67</v>
      </c>
      <c r="T80" s="37">
        <f t="shared" si="39"/>
        <v>353.67</v>
      </c>
      <c r="U80" s="37">
        <f t="shared" si="40"/>
        <v>4244.04</v>
      </c>
      <c r="W80" s="51">
        <v>353.67</v>
      </c>
      <c r="X80" s="39"/>
      <c r="Y80" s="40" t="s">
        <v>65</v>
      </c>
      <c r="Z80" s="40"/>
      <c r="AA80" s="40" t="s">
        <v>56</v>
      </c>
      <c r="AB80" s="41">
        <v>0</v>
      </c>
      <c r="AD80" s="42" t="str">
        <f>C80&amp;A80</f>
        <v>ALUGUEIS DE EQUIPAMENTOSOper</v>
      </c>
      <c r="AE80" s="42" t="str">
        <f>IFERROR(VLOOKUP(C80,[34]Planilha1!$B:$C,2,0),"Não se Aplica")</f>
        <v>Sim</v>
      </c>
      <c r="AF80" s="42" t="str">
        <f>VLOOKUP(AD80,[34]Planilha1!$H:$J,3,0)</f>
        <v>Sim</v>
      </c>
      <c r="AG80" s="43">
        <f t="shared" si="27"/>
        <v>3851.4663</v>
      </c>
    </row>
    <row r="81" spans="1:33" x14ac:dyDescent="0.3">
      <c r="A81" s="1" t="s">
        <v>836</v>
      </c>
      <c r="B81" s="34" t="s">
        <v>28</v>
      </c>
      <c r="C81" s="35" t="s">
        <v>38</v>
      </c>
      <c r="D81" s="34" t="s">
        <v>196</v>
      </c>
      <c r="E81" s="36" t="s">
        <v>179</v>
      </c>
      <c r="F81" s="34" t="s">
        <v>37</v>
      </c>
      <c r="G81" s="34" t="s">
        <v>90</v>
      </c>
      <c r="H81" s="34" t="s">
        <v>184</v>
      </c>
      <c r="I81" s="37">
        <f t="shared" si="28"/>
        <v>449.65</v>
      </c>
      <c r="J81" s="37">
        <f t="shared" si="29"/>
        <v>449.65</v>
      </c>
      <c r="K81" s="37">
        <f t="shared" si="46"/>
        <v>449.65</v>
      </c>
      <c r="L81" s="37">
        <f t="shared" si="31"/>
        <v>449.65</v>
      </c>
      <c r="M81" s="37">
        <f t="shared" si="47"/>
        <v>449.65</v>
      </c>
      <c r="N81" s="37">
        <f t="shared" si="42"/>
        <v>449.65</v>
      </c>
      <c r="O81" s="37">
        <f t="shared" si="43"/>
        <v>449.65</v>
      </c>
      <c r="P81" s="37">
        <f t="shared" si="44"/>
        <v>449.65</v>
      </c>
      <c r="Q81" s="37">
        <f t="shared" si="45"/>
        <v>449.65</v>
      </c>
      <c r="R81" s="37">
        <f t="shared" si="37"/>
        <v>449.65</v>
      </c>
      <c r="S81" s="37">
        <f t="shared" si="38"/>
        <v>449.65</v>
      </c>
      <c r="T81" s="37">
        <f t="shared" si="39"/>
        <v>449.65</v>
      </c>
      <c r="U81" s="37">
        <f t="shared" si="40"/>
        <v>5395.7999999999993</v>
      </c>
      <c r="W81" s="51">
        <v>449.65</v>
      </c>
      <c r="X81" s="39"/>
      <c r="Y81" s="40" t="s">
        <v>65</v>
      </c>
      <c r="Z81" s="40"/>
      <c r="AA81" s="40" t="s">
        <v>56</v>
      </c>
      <c r="AB81" s="41">
        <v>0</v>
      </c>
      <c r="AD81" s="42" t="str">
        <f>C81&amp;A81</f>
        <v>ALUGUEIS DE EQUIPAMENTOSOper</v>
      </c>
      <c r="AE81" s="42" t="str">
        <f>IFERROR(VLOOKUP(C81,[34]Planilha1!$B:$C,2,0),"Não se Aplica")</f>
        <v>Sim</v>
      </c>
      <c r="AF81" s="42" t="str">
        <f>VLOOKUP(AD81,[34]Planilha1!$H:$J,3,0)</f>
        <v>Sim</v>
      </c>
      <c r="AG81" s="43">
        <f t="shared" si="27"/>
        <v>4896.6884999999993</v>
      </c>
    </row>
    <row r="82" spans="1:33" x14ac:dyDescent="0.3">
      <c r="A82" s="1" t="s">
        <v>836</v>
      </c>
      <c r="B82" s="34" t="s">
        <v>28</v>
      </c>
      <c r="C82" s="35" t="s">
        <v>38</v>
      </c>
      <c r="D82" s="34" t="s">
        <v>197</v>
      </c>
      <c r="E82" s="36" t="s">
        <v>179</v>
      </c>
      <c r="F82" s="34" t="s">
        <v>37</v>
      </c>
      <c r="G82" s="34" t="s">
        <v>33</v>
      </c>
      <c r="H82" s="34" t="s">
        <v>184</v>
      </c>
      <c r="I82" s="37">
        <f t="shared" si="28"/>
        <v>549.72</v>
      </c>
      <c r="J82" s="37">
        <f t="shared" si="29"/>
        <v>549.72</v>
      </c>
      <c r="K82" s="37">
        <f t="shared" si="46"/>
        <v>549.72</v>
      </c>
      <c r="L82" s="37">
        <f t="shared" si="31"/>
        <v>549.72</v>
      </c>
      <c r="M82" s="37">
        <f t="shared" si="47"/>
        <v>549.72</v>
      </c>
      <c r="N82" s="37">
        <f t="shared" si="42"/>
        <v>549.72</v>
      </c>
      <c r="O82" s="37">
        <f t="shared" si="43"/>
        <v>549.72</v>
      </c>
      <c r="P82" s="37">
        <f t="shared" si="44"/>
        <v>549.72</v>
      </c>
      <c r="Q82" s="37">
        <f t="shared" si="45"/>
        <v>549.72</v>
      </c>
      <c r="R82" s="37">
        <f t="shared" si="37"/>
        <v>549.72</v>
      </c>
      <c r="S82" s="37">
        <f t="shared" si="38"/>
        <v>549.72</v>
      </c>
      <c r="T82" s="37">
        <f t="shared" si="39"/>
        <v>549.72</v>
      </c>
      <c r="U82" s="37">
        <f t="shared" si="40"/>
        <v>6596.6400000000021</v>
      </c>
      <c r="W82" s="38">
        <v>549.72</v>
      </c>
      <c r="X82" s="39"/>
      <c r="Y82" s="40" t="s">
        <v>65</v>
      </c>
      <c r="Z82" s="40"/>
      <c r="AA82" s="40" t="s">
        <v>56</v>
      </c>
      <c r="AB82" s="41">
        <v>0</v>
      </c>
      <c r="AD82" s="42" t="str">
        <f>C82&amp;A82</f>
        <v>ALUGUEIS DE EQUIPAMENTOSOper</v>
      </c>
      <c r="AE82" s="42" t="str">
        <f>IFERROR(VLOOKUP(C82,[34]Planilha1!$B:$C,2,0),"Não se Aplica")</f>
        <v>Sim</v>
      </c>
      <c r="AF82" s="42" t="str">
        <f>VLOOKUP(AD82,[34]Planilha1!$H:$J,3,0)</f>
        <v>Sim</v>
      </c>
      <c r="AG82" s="43">
        <f t="shared" si="27"/>
        <v>5986.4508000000014</v>
      </c>
    </row>
    <row r="83" spans="1:33" x14ac:dyDescent="0.3">
      <c r="A83" s="1" t="s">
        <v>836</v>
      </c>
      <c r="B83" s="34" t="s">
        <v>28</v>
      </c>
      <c r="C83" s="35" t="s">
        <v>38</v>
      </c>
      <c r="D83" s="34" t="s">
        <v>198</v>
      </c>
      <c r="E83" s="36" t="s">
        <v>179</v>
      </c>
      <c r="F83" s="34" t="s">
        <v>37</v>
      </c>
      <c r="G83" s="34" t="s">
        <v>27</v>
      </c>
      <c r="H83" s="34" t="s">
        <v>184</v>
      </c>
      <c r="I83" s="37">
        <f t="shared" si="28"/>
        <v>569.87</v>
      </c>
      <c r="J83" s="37">
        <f t="shared" si="29"/>
        <v>569.87</v>
      </c>
      <c r="K83" s="37">
        <f t="shared" si="46"/>
        <v>569.87</v>
      </c>
      <c r="L83" s="37">
        <f t="shared" si="31"/>
        <v>569.87</v>
      </c>
      <c r="M83" s="37">
        <f t="shared" si="47"/>
        <v>569.87</v>
      </c>
      <c r="N83" s="37">
        <f t="shared" si="42"/>
        <v>569.87</v>
      </c>
      <c r="O83" s="37">
        <f t="shared" si="43"/>
        <v>569.87</v>
      </c>
      <c r="P83" s="37">
        <f t="shared" si="44"/>
        <v>569.87</v>
      </c>
      <c r="Q83" s="37">
        <f t="shared" si="45"/>
        <v>569.87</v>
      </c>
      <c r="R83" s="37">
        <f t="shared" si="37"/>
        <v>569.87</v>
      </c>
      <c r="S83" s="37">
        <f t="shared" si="38"/>
        <v>569.87</v>
      </c>
      <c r="T83" s="37">
        <f t="shared" si="39"/>
        <v>569.87</v>
      </c>
      <c r="U83" s="37">
        <f t="shared" si="40"/>
        <v>6838.44</v>
      </c>
      <c r="W83" s="51">
        <v>569.87</v>
      </c>
      <c r="X83" s="39"/>
      <c r="Y83" s="40" t="s">
        <v>65</v>
      </c>
      <c r="Z83" s="40"/>
      <c r="AA83" s="40" t="s">
        <v>56</v>
      </c>
      <c r="AB83" s="41">
        <v>0</v>
      </c>
      <c r="AD83" s="42" t="str">
        <f>C83&amp;A83</f>
        <v>ALUGUEIS DE EQUIPAMENTOSOper</v>
      </c>
      <c r="AE83" s="42" t="str">
        <f>IFERROR(VLOOKUP(C83,[34]Planilha1!$B:$C,2,0),"Não se Aplica")</f>
        <v>Sim</v>
      </c>
      <c r="AF83" s="42" t="str">
        <f>VLOOKUP(AD83,[34]Planilha1!$H:$J,3,0)</f>
        <v>Sim</v>
      </c>
      <c r="AG83" s="43">
        <f t="shared" si="27"/>
        <v>6205.8842999999997</v>
      </c>
    </row>
    <row r="84" spans="1:33" x14ac:dyDescent="0.3">
      <c r="A84" s="1" t="s">
        <v>836</v>
      </c>
      <c r="B84" s="34" t="s">
        <v>28</v>
      </c>
      <c r="C84" s="35" t="s">
        <v>38</v>
      </c>
      <c r="D84" s="34" t="s">
        <v>199</v>
      </c>
      <c r="E84" s="36" t="s">
        <v>179</v>
      </c>
      <c r="F84" s="34" t="s">
        <v>37</v>
      </c>
      <c r="G84" s="34" t="s">
        <v>22</v>
      </c>
      <c r="H84" s="34" t="s">
        <v>184</v>
      </c>
      <c r="I84" s="37">
        <f t="shared" si="28"/>
        <v>1185.1400000000001</v>
      </c>
      <c r="J84" s="37">
        <f t="shared" si="29"/>
        <v>1185.1400000000001</v>
      </c>
      <c r="K84" s="37">
        <f t="shared" si="46"/>
        <v>1185.1400000000001</v>
      </c>
      <c r="L84" s="37">
        <f t="shared" si="31"/>
        <v>1185.1400000000001</v>
      </c>
      <c r="M84" s="37">
        <f t="shared" si="47"/>
        <v>1185.1400000000001</v>
      </c>
      <c r="N84" s="37">
        <f t="shared" si="42"/>
        <v>1185.1400000000001</v>
      </c>
      <c r="O84" s="37">
        <f t="shared" si="43"/>
        <v>1185.1400000000001</v>
      </c>
      <c r="P84" s="37">
        <f t="shared" si="44"/>
        <v>1185.1400000000001</v>
      </c>
      <c r="Q84" s="37">
        <f t="shared" si="45"/>
        <v>1185.1400000000001</v>
      </c>
      <c r="R84" s="37">
        <f t="shared" si="37"/>
        <v>1185.1400000000001</v>
      </c>
      <c r="S84" s="37">
        <f t="shared" si="38"/>
        <v>1185.1400000000001</v>
      </c>
      <c r="T84" s="37">
        <f t="shared" si="39"/>
        <v>1185.1400000000001</v>
      </c>
      <c r="U84" s="37">
        <f t="shared" si="40"/>
        <v>14221.679999999998</v>
      </c>
      <c r="W84" s="51">
        <v>1185.1400000000001</v>
      </c>
      <c r="X84" s="39"/>
      <c r="Y84" s="40" t="s">
        <v>65</v>
      </c>
      <c r="Z84" s="40"/>
      <c r="AA84" s="40" t="s">
        <v>56</v>
      </c>
      <c r="AB84" s="41">
        <v>0</v>
      </c>
      <c r="AD84" s="42" t="str">
        <f>C84&amp;A84</f>
        <v>ALUGUEIS DE EQUIPAMENTOSOper</v>
      </c>
      <c r="AE84" s="42" t="str">
        <f>IFERROR(VLOOKUP(C84,[34]Planilha1!$B:$C,2,0),"Não se Aplica")</f>
        <v>Sim</v>
      </c>
      <c r="AF84" s="42" t="str">
        <f>VLOOKUP(AD84,[34]Planilha1!$H:$J,3,0)</f>
        <v>Sim</v>
      </c>
      <c r="AG84" s="43">
        <f t="shared" si="27"/>
        <v>12906.174599999998</v>
      </c>
    </row>
    <row r="85" spans="1:33" x14ac:dyDescent="0.3">
      <c r="A85" s="1" t="s">
        <v>836</v>
      </c>
      <c r="B85" s="34" t="s">
        <v>28</v>
      </c>
      <c r="C85" s="35" t="s">
        <v>38</v>
      </c>
      <c r="D85" s="34" t="s">
        <v>200</v>
      </c>
      <c r="E85" s="36" t="s">
        <v>179</v>
      </c>
      <c r="F85" s="34" t="s">
        <v>37</v>
      </c>
      <c r="G85" s="34" t="s">
        <v>32</v>
      </c>
      <c r="H85" s="34" t="s">
        <v>184</v>
      </c>
      <c r="I85" s="37">
        <f t="shared" si="28"/>
        <v>4025.63</v>
      </c>
      <c r="J85" s="37">
        <f t="shared" si="29"/>
        <v>4025.63</v>
      </c>
      <c r="K85" s="37">
        <f t="shared" si="46"/>
        <v>4025.63</v>
      </c>
      <c r="L85" s="37">
        <f t="shared" si="31"/>
        <v>4025.63</v>
      </c>
      <c r="M85" s="37">
        <f t="shared" si="47"/>
        <v>4025.63</v>
      </c>
      <c r="N85" s="37">
        <f t="shared" si="42"/>
        <v>4025.63</v>
      </c>
      <c r="O85" s="37">
        <f t="shared" si="43"/>
        <v>4025.63</v>
      </c>
      <c r="P85" s="37">
        <f t="shared" si="44"/>
        <v>4025.63</v>
      </c>
      <c r="Q85" s="37">
        <f t="shared" si="45"/>
        <v>4025.63</v>
      </c>
      <c r="R85" s="37">
        <f t="shared" si="37"/>
        <v>4025.63</v>
      </c>
      <c r="S85" s="37">
        <f t="shared" si="38"/>
        <v>4025.63</v>
      </c>
      <c r="T85" s="37">
        <f t="shared" si="39"/>
        <v>4025.63</v>
      </c>
      <c r="U85" s="37">
        <f t="shared" si="40"/>
        <v>48307.56</v>
      </c>
      <c r="W85" s="51">
        <v>4025.63</v>
      </c>
      <c r="X85" s="39"/>
      <c r="Y85" s="40" t="s">
        <v>65</v>
      </c>
      <c r="Z85" s="40"/>
      <c r="AA85" s="40" t="s">
        <v>56</v>
      </c>
      <c r="AB85" s="41">
        <v>0</v>
      </c>
      <c r="AD85" s="42" t="str">
        <f>C85&amp;A85</f>
        <v>ALUGUEIS DE EQUIPAMENTOSOper</v>
      </c>
      <c r="AE85" s="42" t="str">
        <f>IFERROR(VLOOKUP(C85,[34]Planilha1!$B:$C,2,0),"Não se Aplica")</f>
        <v>Sim</v>
      </c>
      <c r="AF85" s="42" t="str">
        <f>VLOOKUP(AD85,[34]Planilha1!$H:$J,3,0)</f>
        <v>Sim</v>
      </c>
      <c r="AG85" s="43">
        <f t="shared" si="27"/>
        <v>43839.110699999997</v>
      </c>
    </row>
    <row r="86" spans="1:33" x14ac:dyDescent="0.3">
      <c r="A86" s="1" t="s">
        <v>836</v>
      </c>
      <c r="B86" s="34" t="s">
        <v>28</v>
      </c>
      <c r="C86" s="35" t="s">
        <v>38</v>
      </c>
      <c r="D86" s="34" t="s">
        <v>201</v>
      </c>
      <c r="E86" s="36" t="s">
        <v>174</v>
      </c>
      <c r="F86" s="34" t="s">
        <v>37</v>
      </c>
      <c r="G86" s="34" t="s">
        <v>31</v>
      </c>
      <c r="H86" s="34" t="s">
        <v>184</v>
      </c>
      <c r="I86" s="37">
        <f t="shared" si="28"/>
        <v>7800</v>
      </c>
      <c r="J86" s="37">
        <f t="shared" si="29"/>
        <v>7800</v>
      </c>
      <c r="K86" s="37">
        <f t="shared" si="46"/>
        <v>7800</v>
      </c>
      <c r="L86" s="37">
        <f t="shared" si="31"/>
        <v>7800</v>
      </c>
      <c r="M86" s="37">
        <f t="shared" si="47"/>
        <v>7800</v>
      </c>
      <c r="N86" s="37">
        <f t="shared" si="42"/>
        <v>7800</v>
      </c>
      <c r="O86" s="37">
        <f t="shared" si="43"/>
        <v>7800</v>
      </c>
      <c r="P86" s="37">
        <f t="shared" si="44"/>
        <v>7800</v>
      </c>
      <c r="Q86" s="37">
        <f t="shared" si="45"/>
        <v>7800</v>
      </c>
      <c r="R86" s="37">
        <f t="shared" si="37"/>
        <v>7800</v>
      </c>
      <c r="S86" s="37">
        <f t="shared" si="38"/>
        <v>7800</v>
      </c>
      <c r="T86" s="37">
        <f t="shared" si="39"/>
        <v>7800</v>
      </c>
      <c r="U86" s="37">
        <f t="shared" si="40"/>
        <v>93600</v>
      </c>
      <c r="W86" s="51">
        <v>7800</v>
      </c>
      <c r="X86" s="39"/>
      <c r="Y86" s="40" t="s">
        <v>51</v>
      </c>
      <c r="Z86" s="40" t="s">
        <v>55</v>
      </c>
      <c r="AA86" s="40" t="s">
        <v>45</v>
      </c>
      <c r="AB86" s="41">
        <v>0</v>
      </c>
      <c r="AD86" s="42" t="str">
        <f>C86&amp;A86</f>
        <v>ALUGUEIS DE EQUIPAMENTOSOper</v>
      </c>
      <c r="AE86" s="42" t="str">
        <f>IFERROR(VLOOKUP(C86,[34]Planilha1!$B:$C,2,0),"Não se Aplica")</f>
        <v>Sim</v>
      </c>
      <c r="AF86" s="42" t="str">
        <f>VLOOKUP(AD86,[34]Planilha1!$H:$J,3,0)</f>
        <v>Sim</v>
      </c>
      <c r="AG86" s="43">
        <f t="shared" si="27"/>
        <v>84942</v>
      </c>
    </row>
    <row r="87" spans="1:33" x14ac:dyDescent="0.3">
      <c r="A87" s="1" t="s">
        <v>836</v>
      </c>
      <c r="B87" s="34" t="s">
        <v>28</v>
      </c>
      <c r="C87" s="35" t="s">
        <v>38</v>
      </c>
      <c r="D87" s="34" t="s">
        <v>200</v>
      </c>
      <c r="E87" s="36" t="s">
        <v>174</v>
      </c>
      <c r="F87" s="34" t="s">
        <v>37</v>
      </c>
      <c r="G87" s="34" t="s">
        <v>32</v>
      </c>
      <c r="H87" s="34" t="s">
        <v>184</v>
      </c>
      <c r="I87" s="37">
        <f t="shared" si="28"/>
        <v>4200</v>
      </c>
      <c r="J87" s="37">
        <f t="shared" si="29"/>
        <v>4200</v>
      </c>
      <c r="K87" s="37">
        <f t="shared" si="46"/>
        <v>4200</v>
      </c>
      <c r="L87" s="37">
        <f t="shared" si="31"/>
        <v>4200</v>
      </c>
      <c r="M87" s="37">
        <f t="shared" si="47"/>
        <v>4200</v>
      </c>
      <c r="N87" s="37">
        <f t="shared" si="42"/>
        <v>4200</v>
      </c>
      <c r="O87" s="37">
        <f t="shared" si="43"/>
        <v>4200</v>
      </c>
      <c r="P87" s="37">
        <f t="shared" si="44"/>
        <v>4200</v>
      </c>
      <c r="Q87" s="37">
        <f t="shared" si="45"/>
        <v>4200</v>
      </c>
      <c r="R87" s="37">
        <f t="shared" si="37"/>
        <v>4200</v>
      </c>
      <c r="S87" s="37">
        <f t="shared" si="38"/>
        <v>4200</v>
      </c>
      <c r="T87" s="37">
        <f t="shared" si="39"/>
        <v>4200</v>
      </c>
      <c r="U87" s="37">
        <f t="shared" si="40"/>
        <v>50400</v>
      </c>
      <c r="W87" s="51">
        <v>4200</v>
      </c>
      <c r="X87" s="39"/>
      <c r="Y87" s="40" t="s">
        <v>129</v>
      </c>
      <c r="Z87" s="40"/>
      <c r="AA87" s="40" t="s">
        <v>56</v>
      </c>
      <c r="AB87" s="41">
        <v>0</v>
      </c>
      <c r="AD87" s="42" t="str">
        <f>C87&amp;A87</f>
        <v>ALUGUEIS DE EQUIPAMENTOSOper</v>
      </c>
      <c r="AE87" s="42" t="str">
        <f>IFERROR(VLOOKUP(C87,[34]Planilha1!$B:$C,2,0),"Não se Aplica")</f>
        <v>Sim</v>
      </c>
      <c r="AF87" s="42" t="str">
        <f>VLOOKUP(AD87,[34]Planilha1!$H:$J,3,0)</f>
        <v>Sim</v>
      </c>
      <c r="AG87" s="43">
        <f t="shared" si="27"/>
        <v>45738</v>
      </c>
    </row>
    <row r="88" spans="1:33" x14ac:dyDescent="0.3">
      <c r="A88" s="1" t="s">
        <v>836</v>
      </c>
      <c r="B88" s="34" t="s">
        <v>28</v>
      </c>
      <c r="C88" s="35" t="s">
        <v>57</v>
      </c>
      <c r="D88" s="34" t="s">
        <v>202</v>
      </c>
      <c r="E88" s="36" t="s">
        <v>203</v>
      </c>
      <c r="F88" s="34" t="s">
        <v>41</v>
      </c>
      <c r="G88" s="34" t="s">
        <v>32</v>
      </c>
      <c r="H88" s="34" t="s">
        <v>42</v>
      </c>
      <c r="I88" s="37">
        <f t="shared" si="28"/>
        <v>4917.83</v>
      </c>
      <c r="J88" s="37">
        <f t="shared" si="29"/>
        <v>4917.83</v>
      </c>
      <c r="K88" s="37">
        <f t="shared" si="46"/>
        <v>4917.83</v>
      </c>
      <c r="L88" s="37">
        <f t="shared" si="31"/>
        <v>5065.3649000000005</v>
      </c>
      <c r="M88" s="37">
        <f t="shared" si="47"/>
        <v>5065.3649000000005</v>
      </c>
      <c r="N88" s="37">
        <f t="shared" si="42"/>
        <v>5065.3649000000005</v>
      </c>
      <c r="O88" s="37">
        <f t="shared" si="43"/>
        <v>5065.3649000000005</v>
      </c>
      <c r="P88" s="37">
        <f t="shared" si="44"/>
        <v>5065.3649000000005</v>
      </c>
      <c r="Q88" s="37">
        <f t="shared" si="45"/>
        <v>5065.3649000000005</v>
      </c>
      <c r="R88" s="37">
        <f t="shared" si="37"/>
        <v>5065.3649000000005</v>
      </c>
      <c r="S88" s="37">
        <f t="shared" si="38"/>
        <v>5065.3649000000005</v>
      </c>
      <c r="T88" s="37">
        <f t="shared" si="39"/>
        <v>5065.3649000000005</v>
      </c>
      <c r="U88" s="37">
        <f t="shared" si="40"/>
        <v>60341.774100000002</v>
      </c>
      <c r="W88" s="38">
        <v>4917.83</v>
      </c>
      <c r="X88" s="39">
        <v>46171</v>
      </c>
      <c r="Y88" s="40" t="s">
        <v>103</v>
      </c>
      <c r="Z88" s="40" t="s">
        <v>44</v>
      </c>
      <c r="AA88" s="40" t="s">
        <v>45</v>
      </c>
      <c r="AB88" s="41">
        <v>0.03</v>
      </c>
      <c r="AD88" s="42" t="str">
        <f>C88&amp;A88</f>
        <v>AUDITORIA/CONSULTORIAOper</v>
      </c>
      <c r="AE88" s="42" t="str">
        <f>IFERROR(VLOOKUP(C88,[34]Planilha1!$B:$C,2,0),"Não se Aplica")</f>
        <v>Sim</v>
      </c>
      <c r="AF88" s="42" t="str">
        <f>VLOOKUP(AD88,[34]Planilha1!$H:$J,3,0)</f>
        <v>Não</v>
      </c>
      <c r="AG88" s="43">
        <f t="shared" si="27"/>
        <v>60341.774100000002</v>
      </c>
    </row>
    <row r="89" spans="1:33" x14ac:dyDescent="0.3">
      <c r="A89" s="1" t="s">
        <v>836</v>
      </c>
      <c r="B89" s="34" t="s">
        <v>28</v>
      </c>
      <c r="C89" s="35" t="s">
        <v>117</v>
      </c>
      <c r="D89" s="34" t="s">
        <v>204</v>
      </c>
      <c r="E89" s="36" t="s">
        <v>205</v>
      </c>
      <c r="F89" s="34" t="s">
        <v>41</v>
      </c>
      <c r="G89" s="34" t="s">
        <v>32</v>
      </c>
      <c r="H89" s="34" t="s">
        <v>42</v>
      </c>
      <c r="I89" s="37">
        <f t="shared" si="28"/>
        <v>1119</v>
      </c>
      <c r="J89" s="37">
        <f t="shared" si="29"/>
        <v>1119</v>
      </c>
      <c r="K89" s="37">
        <f t="shared" si="46"/>
        <v>1119</v>
      </c>
      <c r="L89" s="37">
        <f t="shared" si="31"/>
        <v>1119</v>
      </c>
      <c r="M89" s="37">
        <f t="shared" si="47"/>
        <v>1119</v>
      </c>
      <c r="N89" s="37">
        <f t="shared" si="42"/>
        <v>1119</v>
      </c>
      <c r="O89" s="37">
        <f t="shared" si="43"/>
        <v>1119</v>
      </c>
      <c r="P89" s="37">
        <f t="shared" si="44"/>
        <v>1119</v>
      </c>
      <c r="Q89" s="37">
        <f t="shared" si="45"/>
        <v>1152.57</v>
      </c>
      <c r="R89" s="37">
        <f t="shared" si="37"/>
        <v>1152.57</v>
      </c>
      <c r="S89" s="37">
        <f t="shared" si="38"/>
        <v>1152.57</v>
      </c>
      <c r="T89" s="37">
        <f t="shared" si="39"/>
        <v>1152.57</v>
      </c>
      <c r="U89" s="37">
        <f t="shared" si="40"/>
        <v>13562.279999999999</v>
      </c>
      <c r="W89" s="38">
        <v>1119</v>
      </c>
      <c r="X89" s="39">
        <v>45946</v>
      </c>
      <c r="Y89" s="40" t="s">
        <v>129</v>
      </c>
      <c r="Z89" s="40"/>
      <c r="AA89" s="40" t="s">
        <v>45</v>
      </c>
      <c r="AB89" s="41">
        <v>0.03</v>
      </c>
      <c r="AD89" s="42" t="str">
        <f>C89&amp;A89</f>
        <v>ASSESSORIA ADMINISTRATIVAOper</v>
      </c>
      <c r="AE89" s="42" t="str">
        <f>IFERROR(VLOOKUP(C89,[34]Planilha1!$B:$C,2,0),"Não se Aplica")</f>
        <v>Sim</v>
      </c>
      <c r="AF89" s="42" t="str">
        <f>VLOOKUP(AD89,[34]Planilha1!$H:$J,3,0)</f>
        <v>Não</v>
      </c>
      <c r="AG89" s="43">
        <f t="shared" si="27"/>
        <v>13562.279999999999</v>
      </c>
    </row>
    <row r="90" spans="1:33" x14ac:dyDescent="0.3">
      <c r="A90" s="1" t="s">
        <v>836</v>
      </c>
      <c r="B90" s="34" t="s">
        <v>20</v>
      </c>
      <c r="C90" s="35" t="s">
        <v>117</v>
      </c>
      <c r="D90" s="34" t="s">
        <v>204</v>
      </c>
      <c r="E90" s="36" t="s">
        <v>205</v>
      </c>
      <c r="F90" s="34" t="s">
        <v>41</v>
      </c>
      <c r="G90" s="34" t="s">
        <v>32</v>
      </c>
      <c r="H90" s="34" t="s">
        <v>42</v>
      </c>
      <c r="I90" s="37">
        <f t="shared" si="28"/>
        <v>652</v>
      </c>
      <c r="J90" s="37">
        <f t="shared" si="29"/>
        <v>652</v>
      </c>
      <c r="K90" s="37">
        <f t="shared" si="46"/>
        <v>652</v>
      </c>
      <c r="L90" s="37">
        <f t="shared" si="31"/>
        <v>652</v>
      </c>
      <c r="M90" s="37">
        <f t="shared" si="47"/>
        <v>652</v>
      </c>
      <c r="N90" s="37">
        <f t="shared" si="42"/>
        <v>652</v>
      </c>
      <c r="O90" s="37">
        <f t="shared" si="43"/>
        <v>652</v>
      </c>
      <c r="P90" s="37">
        <f t="shared" si="44"/>
        <v>652</v>
      </c>
      <c r="Q90" s="37">
        <f t="shared" si="45"/>
        <v>671.56000000000006</v>
      </c>
      <c r="R90" s="37">
        <f t="shared" si="37"/>
        <v>671.56000000000006</v>
      </c>
      <c r="S90" s="37">
        <f t="shared" si="38"/>
        <v>671.56000000000006</v>
      </c>
      <c r="T90" s="37">
        <f t="shared" si="39"/>
        <v>671.56000000000006</v>
      </c>
      <c r="U90" s="37">
        <f t="shared" si="40"/>
        <v>7902.2400000000016</v>
      </c>
      <c r="W90" s="38">
        <v>652</v>
      </c>
      <c r="X90" s="39">
        <v>45946</v>
      </c>
      <c r="Y90" s="40" t="s">
        <v>129</v>
      </c>
      <c r="Z90" s="40"/>
      <c r="AA90" s="40" t="s">
        <v>45</v>
      </c>
      <c r="AB90" s="41">
        <v>0.03</v>
      </c>
      <c r="AD90" s="42" t="str">
        <f>C90&amp;A90</f>
        <v>ASSESSORIA ADMINISTRATIVAOper</v>
      </c>
      <c r="AE90" s="42" t="str">
        <f>IFERROR(VLOOKUP(C90,[34]Planilha1!$B:$C,2,0),"Não se Aplica")</f>
        <v>Sim</v>
      </c>
      <c r="AF90" s="42" t="str">
        <f>VLOOKUP(AD90,[34]Planilha1!$H:$J,3,0)</f>
        <v>Não</v>
      </c>
      <c r="AG90" s="43">
        <f t="shared" si="27"/>
        <v>7902.2400000000016</v>
      </c>
    </row>
    <row r="91" spans="1:33" x14ac:dyDescent="0.3">
      <c r="A91" s="1" t="s">
        <v>836</v>
      </c>
      <c r="B91" s="34" t="s">
        <v>20</v>
      </c>
      <c r="C91" s="35" t="s">
        <v>46</v>
      </c>
      <c r="D91" s="34" t="s">
        <v>206</v>
      </c>
      <c r="E91" s="36" t="s">
        <v>207</v>
      </c>
      <c r="F91" s="34" t="s">
        <v>41</v>
      </c>
      <c r="G91" s="34" t="s">
        <v>32</v>
      </c>
      <c r="H91" s="34" t="s">
        <v>42</v>
      </c>
      <c r="I91" s="37">
        <f t="shared" si="28"/>
        <v>7078.55</v>
      </c>
      <c r="J91" s="37">
        <f t="shared" si="29"/>
        <v>7078.55</v>
      </c>
      <c r="K91" s="37">
        <f t="shared" si="46"/>
        <v>7078.55</v>
      </c>
      <c r="L91" s="37">
        <f t="shared" si="31"/>
        <v>7078.55</v>
      </c>
      <c r="M91" s="37">
        <f t="shared" si="47"/>
        <v>7078.55</v>
      </c>
      <c r="N91" s="37">
        <f t="shared" si="42"/>
        <v>7078.55</v>
      </c>
      <c r="O91" s="37">
        <f t="shared" si="43"/>
        <v>7078.55</v>
      </c>
      <c r="P91" s="37">
        <f t="shared" si="44"/>
        <v>7290.9065000000001</v>
      </c>
      <c r="Q91" s="37">
        <f t="shared" si="45"/>
        <v>7290.9065000000001</v>
      </c>
      <c r="R91" s="37">
        <f t="shared" si="37"/>
        <v>7290.9065000000001</v>
      </c>
      <c r="S91" s="37">
        <f t="shared" si="38"/>
        <v>7290.9065000000001</v>
      </c>
      <c r="T91" s="37">
        <f t="shared" si="39"/>
        <v>7290.9065000000001</v>
      </c>
      <c r="U91" s="37">
        <f t="shared" si="40"/>
        <v>86004.382499999992</v>
      </c>
      <c r="W91" s="38">
        <v>7078.55</v>
      </c>
      <c r="X91" s="39">
        <v>45918</v>
      </c>
      <c r="Y91" s="40" t="s">
        <v>65</v>
      </c>
      <c r="Z91" s="40"/>
      <c r="AA91" s="40" t="s">
        <v>45</v>
      </c>
      <c r="AB91" s="41">
        <v>0.03</v>
      </c>
      <c r="AD91" s="42" t="str">
        <f>C91&amp;A91</f>
        <v>MANUTEN. SISTEMAS  INFORMATICAOper</v>
      </c>
      <c r="AE91" s="42" t="str">
        <f>IFERROR(VLOOKUP(C91,[34]Planilha1!$B:$C,2,0),"Não se Aplica")</f>
        <v>Sim</v>
      </c>
      <c r="AF91" s="42" t="str">
        <f>VLOOKUP(AD91,[34]Planilha1!$H:$J,3,0)</f>
        <v>Sim</v>
      </c>
      <c r="AG91" s="43">
        <f t="shared" si="27"/>
        <v>78048.977118749986</v>
      </c>
    </row>
    <row r="92" spans="1:33" x14ac:dyDescent="0.3">
      <c r="A92" s="1" t="s">
        <v>836</v>
      </c>
      <c r="B92" s="34" t="s">
        <v>28</v>
      </c>
      <c r="C92" s="35" t="s">
        <v>46</v>
      </c>
      <c r="D92" s="34" t="s">
        <v>206</v>
      </c>
      <c r="E92" s="36" t="s">
        <v>207</v>
      </c>
      <c r="F92" s="34" t="s">
        <v>41</v>
      </c>
      <c r="G92" s="34" t="s">
        <v>32</v>
      </c>
      <c r="H92" s="34" t="s">
        <v>42</v>
      </c>
      <c r="I92" s="37">
        <f t="shared" si="28"/>
        <v>4222.76</v>
      </c>
      <c r="J92" s="37">
        <f t="shared" si="29"/>
        <v>4222.76</v>
      </c>
      <c r="K92" s="37">
        <f t="shared" si="46"/>
        <v>4222.76</v>
      </c>
      <c r="L92" s="37">
        <f t="shared" si="31"/>
        <v>4222.76</v>
      </c>
      <c r="M92" s="37">
        <f t="shared" si="47"/>
        <v>4222.76</v>
      </c>
      <c r="N92" s="37">
        <f t="shared" si="42"/>
        <v>4222.76</v>
      </c>
      <c r="O92" s="37">
        <f t="shared" si="43"/>
        <v>4222.76</v>
      </c>
      <c r="P92" s="37">
        <f t="shared" si="44"/>
        <v>4349.4428000000007</v>
      </c>
      <c r="Q92" s="37">
        <f t="shared" si="45"/>
        <v>4349.4428000000007</v>
      </c>
      <c r="R92" s="37">
        <f t="shared" si="37"/>
        <v>4349.4428000000007</v>
      </c>
      <c r="S92" s="37">
        <f t="shared" si="38"/>
        <v>4349.4428000000007</v>
      </c>
      <c r="T92" s="37">
        <f t="shared" si="39"/>
        <v>4349.4428000000007</v>
      </c>
      <c r="U92" s="37">
        <f t="shared" si="40"/>
        <v>51306.534000000029</v>
      </c>
      <c r="W92" s="38">
        <v>4222.76</v>
      </c>
      <c r="X92" s="39">
        <v>45918</v>
      </c>
      <c r="Y92" s="40" t="s">
        <v>65</v>
      </c>
      <c r="Z92" s="40"/>
      <c r="AA92" s="40" t="s">
        <v>45</v>
      </c>
      <c r="AB92" s="41">
        <v>0.03</v>
      </c>
      <c r="AD92" s="42" t="str">
        <f>C92&amp;A92</f>
        <v>MANUTEN. SISTEMAS  INFORMATICAOper</v>
      </c>
      <c r="AE92" s="42" t="str">
        <f>IFERROR(VLOOKUP(C92,[34]Planilha1!$B:$C,2,0),"Não se Aplica")</f>
        <v>Sim</v>
      </c>
      <c r="AF92" s="42" t="str">
        <f>VLOOKUP(AD92,[34]Planilha1!$H:$J,3,0)</f>
        <v>Sim</v>
      </c>
      <c r="AG92" s="43">
        <f t="shared" si="27"/>
        <v>46560.679605000027</v>
      </c>
    </row>
    <row r="93" spans="1:33" x14ac:dyDescent="0.3">
      <c r="A93" s="1" t="s">
        <v>836</v>
      </c>
      <c r="B93" s="34" t="s">
        <v>28</v>
      </c>
      <c r="C93" s="35" t="s">
        <v>87</v>
      </c>
      <c r="D93" s="34" t="s">
        <v>208</v>
      </c>
      <c r="E93" s="36" t="s">
        <v>209</v>
      </c>
      <c r="F93" s="34" t="s">
        <v>41</v>
      </c>
      <c r="G93" s="34" t="s">
        <v>29</v>
      </c>
      <c r="H93" s="34" t="s">
        <v>42</v>
      </c>
      <c r="I93" s="37">
        <f t="shared" si="28"/>
        <v>304.8</v>
      </c>
      <c r="J93" s="37">
        <f t="shared" si="29"/>
        <v>313.94400000000002</v>
      </c>
      <c r="K93" s="37">
        <f t="shared" si="46"/>
        <v>313.94400000000002</v>
      </c>
      <c r="L93" s="37">
        <f t="shared" si="31"/>
        <v>313.94400000000002</v>
      </c>
      <c r="M93" s="37">
        <f t="shared" si="47"/>
        <v>313.94400000000002</v>
      </c>
      <c r="N93" s="37">
        <f t="shared" si="42"/>
        <v>313.94400000000002</v>
      </c>
      <c r="O93" s="37">
        <f t="shared" si="43"/>
        <v>313.94400000000002</v>
      </c>
      <c r="P93" s="37">
        <f t="shared" si="44"/>
        <v>313.94400000000002</v>
      </c>
      <c r="Q93" s="37">
        <f t="shared" si="45"/>
        <v>313.94400000000002</v>
      </c>
      <c r="R93" s="37">
        <f t="shared" si="37"/>
        <v>313.94400000000002</v>
      </c>
      <c r="S93" s="37">
        <f t="shared" si="38"/>
        <v>313.94400000000002</v>
      </c>
      <c r="T93" s="37">
        <f t="shared" si="39"/>
        <v>313.94400000000002</v>
      </c>
      <c r="U93" s="37">
        <f t="shared" si="40"/>
        <v>3758.1839999999997</v>
      </c>
      <c r="W93" s="58">
        <v>304.8</v>
      </c>
      <c r="X93" s="39">
        <v>46457</v>
      </c>
      <c r="Y93" s="40" t="s">
        <v>82</v>
      </c>
      <c r="Z93" s="40" t="s">
        <v>55</v>
      </c>
      <c r="AA93" s="40" t="s">
        <v>45</v>
      </c>
      <c r="AB93" s="41">
        <v>0.03</v>
      </c>
      <c r="AD93" s="42" t="str">
        <f>C93&amp;A93</f>
        <v>LIMPEZAOper</v>
      </c>
      <c r="AE93" s="42" t="str">
        <f>IFERROR(VLOOKUP(C93,[34]Planilha1!$B:$C,2,0),"Não se Aplica")</f>
        <v>Sim</v>
      </c>
      <c r="AF93" s="42" t="str">
        <f>VLOOKUP(AD93,[34]Planilha1!$H:$J,3,0)</f>
        <v>Sim</v>
      </c>
      <c r="AG93" s="43">
        <f t="shared" si="27"/>
        <v>3410.5519799999997</v>
      </c>
    </row>
    <row r="94" spans="1:33" x14ac:dyDescent="0.3">
      <c r="A94" s="1" t="s">
        <v>836</v>
      </c>
      <c r="B94" s="34" t="s">
        <v>28</v>
      </c>
      <c r="C94" s="35" t="s">
        <v>87</v>
      </c>
      <c r="D94" s="34" t="s">
        <v>208</v>
      </c>
      <c r="E94" s="36" t="s">
        <v>209</v>
      </c>
      <c r="F94" s="34" t="s">
        <v>41</v>
      </c>
      <c r="G94" s="34" t="s">
        <v>22</v>
      </c>
      <c r="H94" s="34" t="s">
        <v>42</v>
      </c>
      <c r="I94" s="37">
        <f t="shared" si="28"/>
        <v>353.43</v>
      </c>
      <c r="J94" s="37">
        <f t="shared" si="29"/>
        <v>364.03290000000004</v>
      </c>
      <c r="K94" s="37">
        <f t="shared" si="46"/>
        <v>364.03290000000004</v>
      </c>
      <c r="L94" s="37">
        <f t="shared" si="31"/>
        <v>364.03290000000004</v>
      </c>
      <c r="M94" s="37">
        <f t="shared" si="47"/>
        <v>364.03290000000004</v>
      </c>
      <c r="N94" s="37">
        <f t="shared" si="42"/>
        <v>364.03290000000004</v>
      </c>
      <c r="O94" s="37">
        <f t="shared" si="43"/>
        <v>364.03290000000004</v>
      </c>
      <c r="P94" s="37">
        <f t="shared" si="44"/>
        <v>364.03290000000004</v>
      </c>
      <c r="Q94" s="37">
        <f t="shared" si="45"/>
        <v>364.03290000000004</v>
      </c>
      <c r="R94" s="37">
        <f t="shared" si="37"/>
        <v>364.03290000000004</v>
      </c>
      <c r="S94" s="37">
        <f t="shared" si="38"/>
        <v>364.03290000000004</v>
      </c>
      <c r="T94" s="37">
        <f t="shared" si="39"/>
        <v>364.03290000000004</v>
      </c>
      <c r="U94" s="37">
        <f t="shared" si="40"/>
        <v>4357.7919000000011</v>
      </c>
      <c r="W94" s="58">
        <v>353.43</v>
      </c>
      <c r="X94" s="39">
        <v>46457</v>
      </c>
      <c r="Y94" s="40" t="s">
        <v>82</v>
      </c>
      <c r="Z94" s="40" t="s">
        <v>55</v>
      </c>
      <c r="AA94" s="40" t="s">
        <v>45</v>
      </c>
      <c r="AB94" s="41">
        <v>0.03</v>
      </c>
      <c r="AD94" s="42" t="str">
        <f>C94&amp;A94</f>
        <v>LIMPEZAOper</v>
      </c>
      <c r="AE94" s="42" t="str">
        <f>IFERROR(VLOOKUP(C94,[34]Planilha1!$B:$C,2,0),"Não se Aplica")</f>
        <v>Sim</v>
      </c>
      <c r="AF94" s="42" t="str">
        <f>VLOOKUP(AD94,[34]Planilha1!$H:$J,3,0)</f>
        <v>Sim</v>
      </c>
      <c r="AG94" s="43">
        <f t="shared" si="27"/>
        <v>3954.6961492500009</v>
      </c>
    </row>
    <row r="95" spans="1:33" x14ac:dyDescent="0.3">
      <c r="A95" s="1" t="s">
        <v>836</v>
      </c>
      <c r="B95" s="34" t="s">
        <v>28</v>
      </c>
      <c r="C95" s="35" t="s">
        <v>87</v>
      </c>
      <c r="D95" s="34" t="s">
        <v>208</v>
      </c>
      <c r="E95" s="36" t="s">
        <v>209</v>
      </c>
      <c r="F95" s="34" t="s">
        <v>41</v>
      </c>
      <c r="G95" s="34" t="s">
        <v>31</v>
      </c>
      <c r="H95" s="34" t="s">
        <v>42</v>
      </c>
      <c r="I95" s="37">
        <f t="shared" si="28"/>
        <v>367.25</v>
      </c>
      <c r="J95" s="37">
        <f t="shared" si="29"/>
        <v>378.26749999999998</v>
      </c>
      <c r="K95" s="37">
        <f t="shared" si="46"/>
        <v>378.26749999999998</v>
      </c>
      <c r="L95" s="37">
        <f t="shared" si="31"/>
        <v>378.26749999999998</v>
      </c>
      <c r="M95" s="37">
        <f t="shared" si="47"/>
        <v>378.26749999999998</v>
      </c>
      <c r="N95" s="37">
        <f t="shared" si="42"/>
        <v>378.26749999999998</v>
      </c>
      <c r="O95" s="37">
        <f t="shared" si="43"/>
        <v>378.26749999999998</v>
      </c>
      <c r="P95" s="37">
        <f t="shared" si="44"/>
        <v>378.26749999999998</v>
      </c>
      <c r="Q95" s="37">
        <f t="shared" si="45"/>
        <v>378.26749999999998</v>
      </c>
      <c r="R95" s="37">
        <f t="shared" si="37"/>
        <v>378.26749999999998</v>
      </c>
      <c r="S95" s="37">
        <f t="shared" si="38"/>
        <v>378.26749999999998</v>
      </c>
      <c r="T95" s="37">
        <f t="shared" si="39"/>
        <v>378.26749999999998</v>
      </c>
      <c r="U95" s="37">
        <f t="shared" si="40"/>
        <v>4528.1924999999992</v>
      </c>
      <c r="W95" s="59">
        <v>367.25</v>
      </c>
      <c r="X95" s="39">
        <v>46457</v>
      </c>
      <c r="Y95" s="40" t="s">
        <v>82</v>
      </c>
      <c r="Z95" s="40" t="s">
        <v>55</v>
      </c>
      <c r="AA95" s="40" t="s">
        <v>45</v>
      </c>
      <c r="AB95" s="41">
        <v>0.03</v>
      </c>
      <c r="AD95" s="42" t="str">
        <f>C95&amp;A95</f>
        <v>LIMPEZAOper</v>
      </c>
      <c r="AE95" s="42" t="str">
        <f>IFERROR(VLOOKUP(C95,[34]Planilha1!$B:$C,2,0),"Não se Aplica")</f>
        <v>Sim</v>
      </c>
      <c r="AF95" s="42" t="str">
        <f>VLOOKUP(AD95,[34]Planilha1!$H:$J,3,0)</f>
        <v>Sim</v>
      </c>
      <c r="AG95" s="43">
        <f t="shared" ref="AG95:AG145" si="48">IF(AF95="Sim", U95 * 0.9075, U95)</f>
        <v>4109.3346937499991</v>
      </c>
    </row>
    <row r="96" spans="1:33" x14ac:dyDescent="0.3">
      <c r="A96" s="1" t="s">
        <v>836</v>
      </c>
      <c r="B96" s="34" t="s">
        <v>28</v>
      </c>
      <c r="C96" s="35" t="s">
        <v>87</v>
      </c>
      <c r="D96" s="34" t="s">
        <v>208</v>
      </c>
      <c r="E96" s="36" t="s">
        <v>209</v>
      </c>
      <c r="F96" s="34" t="s">
        <v>41</v>
      </c>
      <c r="G96" s="34" t="s">
        <v>30</v>
      </c>
      <c r="H96" s="34" t="s">
        <v>42</v>
      </c>
      <c r="I96" s="37">
        <f t="shared" si="28"/>
        <v>441.77</v>
      </c>
      <c r="J96" s="37">
        <f t="shared" si="29"/>
        <v>455.0231</v>
      </c>
      <c r="K96" s="37">
        <f t="shared" si="46"/>
        <v>455.0231</v>
      </c>
      <c r="L96" s="37">
        <f t="shared" si="31"/>
        <v>455.0231</v>
      </c>
      <c r="M96" s="37">
        <f t="shared" si="47"/>
        <v>455.0231</v>
      </c>
      <c r="N96" s="37">
        <f t="shared" si="42"/>
        <v>455.0231</v>
      </c>
      <c r="O96" s="37">
        <f t="shared" si="43"/>
        <v>455.0231</v>
      </c>
      <c r="P96" s="37">
        <f t="shared" si="44"/>
        <v>455.0231</v>
      </c>
      <c r="Q96" s="37">
        <f t="shared" si="45"/>
        <v>455.0231</v>
      </c>
      <c r="R96" s="37">
        <f t="shared" si="37"/>
        <v>455.0231</v>
      </c>
      <c r="S96" s="37">
        <f t="shared" si="38"/>
        <v>455.0231</v>
      </c>
      <c r="T96" s="37">
        <f t="shared" si="39"/>
        <v>455.0231</v>
      </c>
      <c r="U96" s="37">
        <f t="shared" si="40"/>
        <v>5447.0241000000005</v>
      </c>
      <c r="W96" s="59">
        <v>441.77</v>
      </c>
      <c r="X96" s="39">
        <v>46457</v>
      </c>
      <c r="Y96" s="40" t="s">
        <v>82</v>
      </c>
      <c r="Z96" s="40" t="s">
        <v>55</v>
      </c>
      <c r="AA96" s="40" t="s">
        <v>45</v>
      </c>
      <c r="AB96" s="41">
        <v>0.03</v>
      </c>
      <c r="AD96" s="42" t="str">
        <f>C96&amp;A96</f>
        <v>LIMPEZAOper</v>
      </c>
      <c r="AE96" s="42" t="str">
        <f>IFERROR(VLOOKUP(C96,[34]Planilha1!$B:$C,2,0),"Não se Aplica")</f>
        <v>Sim</v>
      </c>
      <c r="AF96" s="42" t="str">
        <f>VLOOKUP(AD96,[34]Planilha1!$H:$J,3,0)</f>
        <v>Sim</v>
      </c>
      <c r="AG96" s="43">
        <f t="shared" si="48"/>
        <v>4943.17437075</v>
      </c>
    </row>
    <row r="97" spans="1:33" x14ac:dyDescent="0.3">
      <c r="A97" s="1" t="s">
        <v>836</v>
      </c>
      <c r="B97" s="34" t="s">
        <v>28</v>
      </c>
      <c r="C97" s="35" t="s">
        <v>87</v>
      </c>
      <c r="D97" s="34" t="s">
        <v>208</v>
      </c>
      <c r="E97" s="36" t="s">
        <v>209</v>
      </c>
      <c r="F97" s="34" t="s">
        <v>41</v>
      </c>
      <c r="G97" s="34" t="s">
        <v>90</v>
      </c>
      <c r="H97" s="34" t="s">
        <v>42</v>
      </c>
      <c r="I97" s="37">
        <f t="shared" si="28"/>
        <v>613.66999999999996</v>
      </c>
      <c r="J97" s="37">
        <f t="shared" si="29"/>
        <v>632.08010000000002</v>
      </c>
      <c r="K97" s="37">
        <f t="shared" si="46"/>
        <v>632.08010000000002</v>
      </c>
      <c r="L97" s="37">
        <f t="shared" si="31"/>
        <v>632.08010000000002</v>
      </c>
      <c r="M97" s="37">
        <f t="shared" si="47"/>
        <v>632.08010000000002</v>
      </c>
      <c r="N97" s="37">
        <f t="shared" si="42"/>
        <v>632.08010000000002</v>
      </c>
      <c r="O97" s="37">
        <f t="shared" si="43"/>
        <v>632.08010000000002</v>
      </c>
      <c r="P97" s="37">
        <f t="shared" si="44"/>
        <v>632.08010000000002</v>
      </c>
      <c r="Q97" s="37">
        <f t="shared" si="45"/>
        <v>632.08010000000002</v>
      </c>
      <c r="R97" s="37">
        <f t="shared" si="37"/>
        <v>632.08010000000002</v>
      </c>
      <c r="S97" s="37">
        <f t="shared" si="38"/>
        <v>632.08010000000002</v>
      </c>
      <c r="T97" s="37">
        <f t="shared" si="39"/>
        <v>632.08010000000002</v>
      </c>
      <c r="U97" s="37">
        <f t="shared" si="40"/>
        <v>7566.5511000000006</v>
      </c>
      <c r="W97" s="59">
        <v>613.66999999999996</v>
      </c>
      <c r="X97" s="39">
        <v>46457</v>
      </c>
      <c r="Y97" s="40" t="s">
        <v>82</v>
      </c>
      <c r="Z97" s="40" t="s">
        <v>55</v>
      </c>
      <c r="AA97" s="40" t="s">
        <v>45</v>
      </c>
      <c r="AB97" s="41">
        <v>0.03</v>
      </c>
      <c r="AD97" s="42" t="str">
        <f>C97&amp;A97</f>
        <v>LIMPEZAOper</v>
      </c>
      <c r="AE97" s="42" t="str">
        <f>IFERROR(VLOOKUP(C97,[34]Planilha1!$B:$C,2,0),"Não se Aplica")</f>
        <v>Sim</v>
      </c>
      <c r="AF97" s="42" t="str">
        <f>VLOOKUP(AD97,[34]Planilha1!$H:$J,3,0)</f>
        <v>Sim</v>
      </c>
      <c r="AG97" s="43">
        <f t="shared" si="48"/>
        <v>6866.6451232500003</v>
      </c>
    </row>
    <row r="98" spans="1:33" x14ac:dyDescent="0.3">
      <c r="A98" s="1" t="s">
        <v>836</v>
      </c>
      <c r="B98" s="34" t="s">
        <v>28</v>
      </c>
      <c r="C98" s="35" t="s">
        <v>87</v>
      </c>
      <c r="D98" s="34" t="s">
        <v>208</v>
      </c>
      <c r="E98" s="36" t="s">
        <v>209</v>
      </c>
      <c r="F98" s="34" t="s">
        <v>41</v>
      </c>
      <c r="G98" s="34" t="s">
        <v>100</v>
      </c>
      <c r="H98" s="34" t="s">
        <v>42</v>
      </c>
      <c r="I98" s="37">
        <f t="shared" si="28"/>
        <v>716.66</v>
      </c>
      <c r="J98" s="37">
        <f t="shared" si="29"/>
        <v>738.15980000000002</v>
      </c>
      <c r="K98" s="37">
        <f t="shared" si="46"/>
        <v>738.15980000000002</v>
      </c>
      <c r="L98" s="37">
        <f t="shared" si="31"/>
        <v>738.15980000000002</v>
      </c>
      <c r="M98" s="37">
        <f t="shared" si="47"/>
        <v>738.15980000000002</v>
      </c>
      <c r="N98" s="37">
        <f t="shared" si="42"/>
        <v>738.15980000000002</v>
      </c>
      <c r="O98" s="37">
        <f t="shared" si="43"/>
        <v>738.15980000000002</v>
      </c>
      <c r="P98" s="37">
        <f t="shared" si="44"/>
        <v>738.15980000000002</v>
      </c>
      <c r="Q98" s="37">
        <f t="shared" si="45"/>
        <v>738.15980000000002</v>
      </c>
      <c r="R98" s="37">
        <f t="shared" si="37"/>
        <v>738.15980000000002</v>
      </c>
      <c r="S98" s="37">
        <f t="shared" si="38"/>
        <v>738.15980000000002</v>
      </c>
      <c r="T98" s="37">
        <f t="shared" si="39"/>
        <v>738.15980000000002</v>
      </c>
      <c r="U98" s="37">
        <f t="shared" si="40"/>
        <v>8836.4178000000011</v>
      </c>
      <c r="W98" s="58">
        <v>716.66</v>
      </c>
      <c r="X98" s="39">
        <v>46457</v>
      </c>
      <c r="Y98" s="40" t="s">
        <v>82</v>
      </c>
      <c r="Z98" s="40" t="s">
        <v>55</v>
      </c>
      <c r="AA98" s="40" t="s">
        <v>45</v>
      </c>
      <c r="AB98" s="41">
        <v>0.03</v>
      </c>
      <c r="AD98" s="42" t="str">
        <f>C98&amp;A98</f>
        <v>LIMPEZAOper</v>
      </c>
      <c r="AE98" s="42" t="str">
        <f>IFERROR(VLOOKUP(C98,[34]Planilha1!$B:$C,2,0),"Não se Aplica")</f>
        <v>Sim</v>
      </c>
      <c r="AF98" s="42" t="str">
        <f>VLOOKUP(AD98,[34]Planilha1!$H:$J,3,0)</f>
        <v>Sim</v>
      </c>
      <c r="AG98" s="43">
        <f t="shared" si="48"/>
        <v>8019.049153500001</v>
      </c>
    </row>
    <row r="99" spans="1:33" x14ac:dyDescent="0.3">
      <c r="A99" s="1" t="s">
        <v>836</v>
      </c>
      <c r="B99" s="34" t="s">
        <v>28</v>
      </c>
      <c r="C99" s="35" t="s">
        <v>87</v>
      </c>
      <c r="D99" s="34" t="s">
        <v>208</v>
      </c>
      <c r="E99" s="36" t="s">
        <v>209</v>
      </c>
      <c r="F99" s="34" t="s">
        <v>41</v>
      </c>
      <c r="G99" s="34" t="s">
        <v>27</v>
      </c>
      <c r="H99" s="34" t="s">
        <v>42</v>
      </c>
      <c r="I99" s="37">
        <f t="shared" ref="I99:I123" si="49">IF($Y99="janeiro",$W99*(1+$AB99),$W99)</f>
        <v>775.56</v>
      </c>
      <c r="J99" s="37">
        <f t="shared" ref="J99:J123" si="50">IF($Y99="fevereiro",$I99*(1+$AB99),$I99)</f>
        <v>798.82679999999993</v>
      </c>
      <c r="K99" s="37">
        <f t="shared" si="46"/>
        <v>798.82679999999993</v>
      </c>
      <c r="L99" s="37">
        <f t="shared" ref="L99:L123" si="51">IF($Y99="abril",$K99*(1+$AB99),$K99)</f>
        <v>798.82679999999993</v>
      </c>
      <c r="M99" s="37">
        <f t="shared" si="47"/>
        <v>798.82679999999993</v>
      </c>
      <c r="N99" s="37">
        <f t="shared" si="42"/>
        <v>798.82679999999993</v>
      </c>
      <c r="O99" s="37">
        <f t="shared" si="43"/>
        <v>798.82679999999993</v>
      </c>
      <c r="P99" s="37">
        <f t="shared" si="44"/>
        <v>798.82679999999993</v>
      </c>
      <c r="Q99" s="37">
        <f t="shared" si="45"/>
        <v>798.82679999999993</v>
      </c>
      <c r="R99" s="37">
        <f t="shared" ref="R99:R123" si="52">IF($Y99="outubro",$Q99*(1+$AB99),$Q99)</f>
        <v>798.82679999999993</v>
      </c>
      <c r="S99" s="37">
        <f t="shared" ref="S99:S123" si="53">IF($Y99="novembro",$R99*(1+$AB99),$R99)</f>
        <v>798.82679999999993</v>
      </c>
      <c r="T99" s="37">
        <f t="shared" ref="T99:T123" si="54">IF($Y99="dezembro",$S99*(1+$AB99),$S99)</f>
        <v>798.82679999999993</v>
      </c>
      <c r="U99" s="37">
        <f t="shared" si="40"/>
        <v>9562.6548000000003</v>
      </c>
      <c r="W99" s="58">
        <v>775.56</v>
      </c>
      <c r="X99" s="39">
        <v>46457</v>
      </c>
      <c r="Y99" s="40" t="s">
        <v>82</v>
      </c>
      <c r="Z99" s="40" t="s">
        <v>55</v>
      </c>
      <c r="AA99" s="40" t="s">
        <v>45</v>
      </c>
      <c r="AB99" s="41">
        <v>0.03</v>
      </c>
      <c r="AD99" s="42" t="str">
        <f>C99&amp;A99</f>
        <v>LIMPEZAOper</v>
      </c>
      <c r="AE99" s="42" t="str">
        <f>IFERROR(VLOOKUP(C99,[34]Planilha1!$B:$C,2,0),"Não se Aplica")</f>
        <v>Sim</v>
      </c>
      <c r="AF99" s="42" t="str">
        <f>VLOOKUP(AD99,[34]Planilha1!$H:$J,3,0)</f>
        <v>Sim</v>
      </c>
      <c r="AG99" s="43">
        <f t="shared" si="48"/>
        <v>8678.1092310000004</v>
      </c>
    </row>
    <row r="100" spans="1:33" x14ac:dyDescent="0.3">
      <c r="A100" s="1" t="s">
        <v>836</v>
      </c>
      <c r="B100" s="34" t="s">
        <v>28</v>
      </c>
      <c r="C100" s="35" t="s">
        <v>87</v>
      </c>
      <c r="D100" s="34" t="s">
        <v>208</v>
      </c>
      <c r="E100" s="36" t="s">
        <v>209</v>
      </c>
      <c r="F100" s="34" t="s">
        <v>41</v>
      </c>
      <c r="G100" s="34" t="s">
        <v>33</v>
      </c>
      <c r="H100" s="34" t="s">
        <v>42</v>
      </c>
      <c r="I100" s="37">
        <f t="shared" si="49"/>
        <v>932.63</v>
      </c>
      <c r="J100" s="37">
        <f t="shared" si="50"/>
        <v>960.60890000000006</v>
      </c>
      <c r="K100" s="37">
        <f t="shared" si="46"/>
        <v>960.60890000000006</v>
      </c>
      <c r="L100" s="37">
        <f t="shared" si="51"/>
        <v>960.60890000000006</v>
      </c>
      <c r="M100" s="37">
        <f t="shared" si="47"/>
        <v>960.60890000000006</v>
      </c>
      <c r="N100" s="37">
        <f t="shared" si="42"/>
        <v>960.60890000000006</v>
      </c>
      <c r="O100" s="37">
        <f t="shared" si="43"/>
        <v>960.60890000000006</v>
      </c>
      <c r="P100" s="37">
        <f t="shared" si="44"/>
        <v>960.60890000000006</v>
      </c>
      <c r="Q100" s="37">
        <f t="shared" si="45"/>
        <v>960.60890000000006</v>
      </c>
      <c r="R100" s="37">
        <f t="shared" si="52"/>
        <v>960.60890000000006</v>
      </c>
      <c r="S100" s="37">
        <f t="shared" si="53"/>
        <v>960.60890000000006</v>
      </c>
      <c r="T100" s="37">
        <f t="shared" si="54"/>
        <v>960.60890000000006</v>
      </c>
      <c r="U100" s="37">
        <f t="shared" ref="U100:U150" si="55">SUM(I100:T100)</f>
        <v>11499.327899999998</v>
      </c>
      <c r="W100" s="58">
        <v>932.63</v>
      </c>
      <c r="X100" s="39">
        <v>46457</v>
      </c>
      <c r="Y100" s="40" t="s">
        <v>82</v>
      </c>
      <c r="Z100" s="40" t="s">
        <v>55</v>
      </c>
      <c r="AA100" s="40" t="s">
        <v>45</v>
      </c>
      <c r="AB100" s="41">
        <v>0.03</v>
      </c>
      <c r="AD100" s="42" t="str">
        <f>C100&amp;A100</f>
        <v>LIMPEZAOper</v>
      </c>
      <c r="AE100" s="42" t="str">
        <f>IFERROR(VLOOKUP(C100,[34]Planilha1!$B:$C,2,0),"Não se Aplica")</f>
        <v>Sim</v>
      </c>
      <c r="AF100" s="42" t="str">
        <f>VLOOKUP(AD100,[34]Planilha1!$H:$J,3,0)</f>
        <v>Sim</v>
      </c>
      <c r="AG100" s="43">
        <f t="shared" si="48"/>
        <v>10435.640069249997</v>
      </c>
    </row>
    <row r="101" spans="1:33" x14ac:dyDescent="0.3">
      <c r="A101" s="1" t="s">
        <v>836</v>
      </c>
      <c r="B101" s="34" t="s">
        <v>20</v>
      </c>
      <c r="C101" s="35" t="s">
        <v>87</v>
      </c>
      <c r="D101" s="34" t="s">
        <v>208</v>
      </c>
      <c r="E101" s="36" t="s">
        <v>209</v>
      </c>
      <c r="F101" s="34" t="s">
        <v>41</v>
      </c>
      <c r="G101" s="34" t="s">
        <v>31</v>
      </c>
      <c r="H101" s="34" t="s">
        <v>42</v>
      </c>
      <c r="I101" s="37">
        <f t="shared" si="49"/>
        <v>367.25</v>
      </c>
      <c r="J101" s="37">
        <f t="shared" si="50"/>
        <v>378.26749999999998</v>
      </c>
      <c r="K101" s="37">
        <f t="shared" si="46"/>
        <v>378.26749999999998</v>
      </c>
      <c r="L101" s="37">
        <f t="shared" si="51"/>
        <v>378.26749999999998</v>
      </c>
      <c r="M101" s="37">
        <f t="shared" si="47"/>
        <v>378.26749999999998</v>
      </c>
      <c r="N101" s="37">
        <f t="shared" si="42"/>
        <v>378.26749999999998</v>
      </c>
      <c r="O101" s="37">
        <f t="shared" si="43"/>
        <v>378.26749999999998</v>
      </c>
      <c r="P101" s="37">
        <f t="shared" si="44"/>
        <v>378.26749999999998</v>
      </c>
      <c r="Q101" s="37">
        <f t="shared" si="45"/>
        <v>378.26749999999998</v>
      </c>
      <c r="R101" s="37">
        <f t="shared" si="52"/>
        <v>378.26749999999998</v>
      </c>
      <c r="S101" s="37">
        <f t="shared" si="53"/>
        <v>378.26749999999998</v>
      </c>
      <c r="T101" s="37">
        <f t="shared" si="54"/>
        <v>378.26749999999998</v>
      </c>
      <c r="U101" s="37">
        <f t="shared" si="55"/>
        <v>4528.1924999999992</v>
      </c>
      <c r="W101" s="58">
        <v>367.25</v>
      </c>
      <c r="X101" s="39">
        <v>46457</v>
      </c>
      <c r="Y101" s="40" t="s">
        <v>82</v>
      </c>
      <c r="Z101" s="40" t="s">
        <v>55</v>
      </c>
      <c r="AA101" s="40" t="s">
        <v>45</v>
      </c>
      <c r="AB101" s="41">
        <v>0.03</v>
      </c>
      <c r="AD101" s="42" t="str">
        <f>C101&amp;A101</f>
        <v>LIMPEZAOper</v>
      </c>
      <c r="AE101" s="42" t="str">
        <f>IFERROR(VLOOKUP(C101,[34]Planilha1!$B:$C,2,0),"Não se Aplica")</f>
        <v>Sim</v>
      </c>
      <c r="AF101" s="42" t="str">
        <f>VLOOKUP(AD101,[34]Planilha1!$H:$J,3,0)</f>
        <v>Sim</v>
      </c>
      <c r="AG101" s="43">
        <f t="shared" si="48"/>
        <v>4109.3346937499991</v>
      </c>
    </row>
    <row r="102" spans="1:33" x14ac:dyDescent="0.3">
      <c r="A102" s="1" t="s">
        <v>836</v>
      </c>
      <c r="B102" s="34" t="s">
        <v>20</v>
      </c>
      <c r="C102" s="35" t="s">
        <v>87</v>
      </c>
      <c r="D102" s="34" t="s">
        <v>208</v>
      </c>
      <c r="E102" s="36" t="s">
        <v>209</v>
      </c>
      <c r="F102" s="34" t="s">
        <v>41</v>
      </c>
      <c r="G102" s="34" t="s">
        <v>22</v>
      </c>
      <c r="H102" s="34" t="s">
        <v>42</v>
      </c>
      <c r="I102" s="37">
        <f t="shared" si="49"/>
        <v>395.89</v>
      </c>
      <c r="J102" s="37">
        <f t="shared" si="50"/>
        <v>407.76670000000001</v>
      </c>
      <c r="K102" s="37">
        <f t="shared" si="46"/>
        <v>407.76670000000001</v>
      </c>
      <c r="L102" s="37">
        <f t="shared" si="51"/>
        <v>407.76670000000001</v>
      </c>
      <c r="M102" s="37">
        <f t="shared" si="47"/>
        <v>407.76670000000001</v>
      </c>
      <c r="N102" s="37">
        <f t="shared" si="42"/>
        <v>407.76670000000001</v>
      </c>
      <c r="O102" s="37">
        <f t="shared" si="43"/>
        <v>407.76670000000001</v>
      </c>
      <c r="P102" s="37">
        <f t="shared" si="44"/>
        <v>407.76670000000001</v>
      </c>
      <c r="Q102" s="37">
        <f t="shared" si="45"/>
        <v>407.76670000000001</v>
      </c>
      <c r="R102" s="37">
        <f t="shared" si="52"/>
        <v>407.76670000000001</v>
      </c>
      <c r="S102" s="37">
        <f t="shared" si="53"/>
        <v>407.76670000000001</v>
      </c>
      <c r="T102" s="37">
        <f t="shared" si="54"/>
        <v>407.76670000000001</v>
      </c>
      <c r="U102" s="37">
        <f t="shared" si="55"/>
        <v>4881.3237000000008</v>
      </c>
      <c r="W102" s="58">
        <v>395.89</v>
      </c>
      <c r="X102" s="39">
        <v>46457</v>
      </c>
      <c r="Y102" s="40" t="s">
        <v>82</v>
      </c>
      <c r="Z102" s="40" t="s">
        <v>55</v>
      </c>
      <c r="AA102" s="40" t="s">
        <v>45</v>
      </c>
      <c r="AB102" s="41">
        <v>0.03</v>
      </c>
      <c r="AD102" s="42" t="str">
        <f>C102&amp;A102</f>
        <v>LIMPEZAOper</v>
      </c>
      <c r="AE102" s="42" t="str">
        <f>IFERROR(VLOOKUP(C102,[34]Planilha1!$B:$C,2,0),"Não se Aplica")</f>
        <v>Sim</v>
      </c>
      <c r="AF102" s="42" t="str">
        <f>VLOOKUP(AD102,[34]Planilha1!$H:$J,3,0)</f>
        <v>Sim</v>
      </c>
      <c r="AG102" s="43">
        <f t="shared" si="48"/>
        <v>4429.8012577500003</v>
      </c>
    </row>
    <row r="103" spans="1:33" x14ac:dyDescent="0.3">
      <c r="A103" s="1" t="s">
        <v>836</v>
      </c>
      <c r="B103" s="34" t="s">
        <v>20</v>
      </c>
      <c r="C103" s="35" t="s">
        <v>87</v>
      </c>
      <c r="D103" s="34" t="s">
        <v>208</v>
      </c>
      <c r="E103" s="36" t="s">
        <v>209</v>
      </c>
      <c r="F103" s="34" t="s">
        <v>41</v>
      </c>
      <c r="G103" s="34" t="s">
        <v>27</v>
      </c>
      <c r="H103" s="34" t="s">
        <v>42</v>
      </c>
      <c r="I103" s="37">
        <f t="shared" si="49"/>
        <v>932.63</v>
      </c>
      <c r="J103" s="37">
        <f t="shared" si="50"/>
        <v>960.60890000000006</v>
      </c>
      <c r="K103" s="37">
        <f t="shared" si="46"/>
        <v>960.60890000000006</v>
      </c>
      <c r="L103" s="37">
        <f t="shared" si="51"/>
        <v>960.60890000000006</v>
      </c>
      <c r="M103" s="37">
        <f t="shared" si="47"/>
        <v>960.60890000000006</v>
      </c>
      <c r="N103" s="37">
        <f t="shared" si="42"/>
        <v>960.60890000000006</v>
      </c>
      <c r="O103" s="37">
        <f t="shared" si="43"/>
        <v>960.60890000000006</v>
      </c>
      <c r="P103" s="37">
        <f t="shared" si="44"/>
        <v>960.60890000000006</v>
      </c>
      <c r="Q103" s="37">
        <f t="shared" si="45"/>
        <v>960.60890000000006</v>
      </c>
      <c r="R103" s="37">
        <f t="shared" si="52"/>
        <v>960.60890000000006</v>
      </c>
      <c r="S103" s="37">
        <f t="shared" si="53"/>
        <v>960.60890000000006</v>
      </c>
      <c r="T103" s="37">
        <f t="shared" si="54"/>
        <v>960.60890000000006</v>
      </c>
      <c r="U103" s="37">
        <f t="shared" si="55"/>
        <v>11499.327899999998</v>
      </c>
      <c r="W103" s="58">
        <v>932.63</v>
      </c>
      <c r="X103" s="39">
        <v>46457</v>
      </c>
      <c r="Y103" s="40" t="s">
        <v>82</v>
      </c>
      <c r="Z103" s="40" t="s">
        <v>55</v>
      </c>
      <c r="AA103" s="40" t="s">
        <v>45</v>
      </c>
      <c r="AB103" s="41">
        <v>0.03</v>
      </c>
      <c r="AD103" s="42" t="str">
        <f>C103&amp;A103</f>
        <v>LIMPEZAOper</v>
      </c>
      <c r="AE103" s="42" t="str">
        <f>IFERROR(VLOOKUP(C103,[34]Planilha1!$B:$C,2,0),"Não se Aplica")</f>
        <v>Sim</v>
      </c>
      <c r="AF103" s="42" t="str">
        <f>VLOOKUP(AD103,[34]Planilha1!$H:$J,3,0)</f>
        <v>Sim</v>
      </c>
      <c r="AG103" s="43">
        <f t="shared" si="48"/>
        <v>10435.640069249997</v>
      </c>
    </row>
    <row r="104" spans="1:33" x14ac:dyDescent="0.3">
      <c r="A104" s="1" t="s">
        <v>836</v>
      </c>
      <c r="B104" s="34" t="s">
        <v>28</v>
      </c>
      <c r="C104" s="35" t="s">
        <v>87</v>
      </c>
      <c r="D104" s="34" t="s">
        <v>208</v>
      </c>
      <c r="E104" s="36" t="s">
        <v>209</v>
      </c>
      <c r="F104" s="34" t="s">
        <v>41</v>
      </c>
      <c r="G104" s="34" t="s">
        <v>32</v>
      </c>
      <c r="H104" s="34" t="s">
        <v>42</v>
      </c>
      <c r="I104" s="37">
        <f t="shared" si="49"/>
        <v>1358.59</v>
      </c>
      <c r="J104" s="37">
        <f t="shared" si="50"/>
        <v>1399.3477</v>
      </c>
      <c r="K104" s="37">
        <f t="shared" si="46"/>
        <v>1399.3477</v>
      </c>
      <c r="L104" s="37">
        <f t="shared" si="51"/>
        <v>1399.3477</v>
      </c>
      <c r="M104" s="37">
        <f t="shared" si="47"/>
        <v>1399.3477</v>
      </c>
      <c r="N104" s="37">
        <f t="shared" si="42"/>
        <v>1399.3477</v>
      </c>
      <c r="O104" s="37">
        <f t="shared" si="43"/>
        <v>1399.3477</v>
      </c>
      <c r="P104" s="37">
        <f t="shared" si="44"/>
        <v>1399.3477</v>
      </c>
      <c r="Q104" s="37">
        <f t="shared" si="45"/>
        <v>1399.3477</v>
      </c>
      <c r="R104" s="37">
        <f t="shared" si="52"/>
        <v>1399.3477</v>
      </c>
      <c r="S104" s="37">
        <f t="shared" si="53"/>
        <v>1399.3477</v>
      </c>
      <c r="T104" s="37">
        <f t="shared" si="54"/>
        <v>1399.3477</v>
      </c>
      <c r="U104" s="37">
        <f t="shared" si="55"/>
        <v>16751.414700000001</v>
      </c>
      <c r="W104" s="58">
        <v>1358.59</v>
      </c>
      <c r="X104" s="39">
        <v>46457</v>
      </c>
      <c r="Y104" s="40" t="s">
        <v>82</v>
      </c>
      <c r="Z104" s="40" t="s">
        <v>55</v>
      </c>
      <c r="AA104" s="40" t="s">
        <v>45</v>
      </c>
      <c r="AB104" s="41">
        <v>0.03</v>
      </c>
      <c r="AD104" s="42" t="str">
        <f>C104&amp;A104</f>
        <v>LIMPEZAOper</v>
      </c>
      <c r="AE104" s="42" t="str">
        <f>IFERROR(VLOOKUP(C104,[34]Planilha1!$B:$C,2,0),"Não se Aplica")</f>
        <v>Sim</v>
      </c>
      <c r="AF104" s="42" t="str">
        <f>VLOOKUP(AD104,[34]Planilha1!$H:$J,3,0)</f>
        <v>Sim</v>
      </c>
      <c r="AG104" s="43">
        <f t="shared" si="48"/>
        <v>15201.90884025</v>
      </c>
    </row>
    <row r="105" spans="1:33" x14ac:dyDescent="0.3">
      <c r="A105" s="1" t="s">
        <v>836</v>
      </c>
      <c r="B105" s="34" t="s">
        <v>20</v>
      </c>
      <c r="C105" s="35" t="s">
        <v>87</v>
      </c>
      <c r="D105" s="34" t="s">
        <v>208</v>
      </c>
      <c r="E105" s="36" t="s">
        <v>209</v>
      </c>
      <c r="F105" s="34" t="s">
        <v>41</v>
      </c>
      <c r="G105" s="34" t="s">
        <v>32</v>
      </c>
      <c r="H105" s="34" t="s">
        <v>42</v>
      </c>
      <c r="I105" s="37">
        <f t="shared" si="49"/>
        <v>1633.82</v>
      </c>
      <c r="J105" s="37">
        <f t="shared" si="50"/>
        <v>1682.8345999999999</v>
      </c>
      <c r="K105" s="37">
        <f t="shared" si="46"/>
        <v>1682.8345999999999</v>
      </c>
      <c r="L105" s="37">
        <f t="shared" si="51"/>
        <v>1682.8345999999999</v>
      </c>
      <c r="M105" s="37">
        <f t="shared" si="47"/>
        <v>1682.8345999999999</v>
      </c>
      <c r="N105" s="37">
        <f t="shared" si="42"/>
        <v>1682.8345999999999</v>
      </c>
      <c r="O105" s="37">
        <f t="shared" si="43"/>
        <v>1682.8345999999999</v>
      </c>
      <c r="P105" s="37">
        <f t="shared" si="44"/>
        <v>1682.8345999999999</v>
      </c>
      <c r="Q105" s="37">
        <f t="shared" si="45"/>
        <v>1682.8345999999999</v>
      </c>
      <c r="R105" s="37">
        <f t="shared" si="52"/>
        <v>1682.8345999999999</v>
      </c>
      <c r="S105" s="37">
        <f t="shared" si="53"/>
        <v>1682.8345999999999</v>
      </c>
      <c r="T105" s="37">
        <f t="shared" si="54"/>
        <v>1682.8345999999999</v>
      </c>
      <c r="U105" s="37">
        <f t="shared" si="55"/>
        <v>20145.000599999996</v>
      </c>
      <c r="W105" s="58">
        <v>1633.82</v>
      </c>
      <c r="X105" s="39">
        <v>46457</v>
      </c>
      <c r="Y105" s="40" t="s">
        <v>82</v>
      </c>
      <c r="Z105" s="40" t="s">
        <v>55</v>
      </c>
      <c r="AA105" s="40" t="s">
        <v>45</v>
      </c>
      <c r="AB105" s="41">
        <v>0.03</v>
      </c>
      <c r="AD105" s="42" t="str">
        <f>C105&amp;A105</f>
        <v>LIMPEZAOper</v>
      </c>
      <c r="AE105" s="42" t="str">
        <f>IFERROR(VLOOKUP(C105,[34]Planilha1!$B:$C,2,0),"Não se Aplica")</f>
        <v>Sim</v>
      </c>
      <c r="AF105" s="42" t="str">
        <f>VLOOKUP(AD105,[34]Planilha1!$H:$J,3,0)</f>
        <v>Sim</v>
      </c>
      <c r="AG105" s="43">
        <f t="shared" si="48"/>
        <v>18281.588044499997</v>
      </c>
    </row>
    <row r="106" spans="1:33" x14ac:dyDescent="0.3">
      <c r="A106" s="1" t="s">
        <v>836</v>
      </c>
      <c r="B106" s="34" t="s">
        <v>20</v>
      </c>
      <c r="C106" s="35" t="s">
        <v>87</v>
      </c>
      <c r="D106" s="34" t="s">
        <v>208</v>
      </c>
      <c r="E106" s="36" t="s">
        <v>209</v>
      </c>
      <c r="F106" s="34" t="s">
        <v>41</v>
      </c>
      <c r="G106" s="34" t="s">
        <v>22</v>
      </c>
      <c r="H106" s="34" t="s">
        <v>42</v>
      </c>
      <c r="I106" s="37">
        <f t="shared" si="49"/>
        <v>1374.4</v>
      </c>
      <c r="J106" s="37">
        <f t="shared" si="50"/>
        <v>1415.6320000000001</v>
      </c>
      <c r="K106" s="37">
        <f t="shared" si="46"/>
        <v>1415.6320000000001</v>
      </c>
      <c r="L106" s="37">
        <f t="shared" si="51"/>
        <v>1415.6320000000001</v>
      </c>
      <c r="M106" s="37">
        <f t="shared" si="47"/>
        <v>1415.6320000000001</v>
      </c>
      <c r="N106" s="37">
        <f t="shared" si="42"/>
        <v>1415.6320000000001</v>
      </c>
      <c r="O106" s="37">
        <f t="shared" si="43"/>
        <v>1415.6320000000001</v>
      </c>
      <c r="P106" s="37">
        <f t="shared" si="44"/>
        <v>1415.6320000000001</v>
      </c>
      <c r="Q106" s="37">
        <f t="shared" si="45"/>
        <v>1415.6320000000001</v>
      </c>
      <c r="R106" s="37">
        <f t="shared" si="52"/>
        <v>1415.6320000000001</v>
      </c>
      <c r="S106" s="37">
        <f t="shared" si="53"/>
        <v>1415.6320000000001</v>
      </c>
      <c r="T106" s="37">
        <f t="shared" si="54"/>
        <v>1415.6320000000001</v>
      </c>
      <c r="U106" s="37">
        <f t="shared" si="55"/>
        <v>16946.351999999999</v>
      </c>
      <c r="W106" s="58">
        <v>1374.4</v>
      </c>
      <c r="X106" s="39">
        <v>46457</v>
      </c>
      <c r="Y106" s="40" t="s">
        <v>82</v>
      </c>
      <c r="Z106" s="40" t="s">
        <v>55</v>
      </c>
      <c r="AA106" s="40" t="s">
        <v>45</v>
      </c>
      <c r="AB106" s="41">
        <v>0.03</v>
      </c>
      <c r="AD106" s="42" t="str">
        <f>C106&amp;A106</f>
        <v>LIMPEZAOper</v>
      </c>
      <c r="AE106" s="42" t="str">
        <f>IFERROR(VLOOKUP(C106,[34]Planilha1!$B:$C,2,0),"Não se Aplica")</f>
        <v>Sim</v>
      </c>
      <c r="AF106" s="42" t="str">
        <f>VLOOKUP(AD106,[34]Planilha1!$H:$J,3,0)</f>
        <v>Sim</v>
      </c>
      <c r="AG106" s="43">
        <f t="shared" si="48"/>
        <v>15378.814439999998</v>
      </c>
    </row>
    <row r="107" spans="1:33" x14ac:dyDescent="0.3">
      <c r="A107" s="1" t="s">
        <v>836</v>
      </c>
      <c r="B107" s="34" t="s">
        <v>28</v>
      </c>
      <c r="C107" s="35" t="s">
        <v>210</v>
      </c>
      <c r="D107" s="34" t="s">
        <v>211</v>
      </c>
      <c r="E107" s="36" t="s">
        <v>212</v>
      </c>
      <c r="F107" s="34" t="s">
        <v>41</v>
      </c>
      <c r="G107" s="34" t="s">
        <v>90</v>
      </c>
      <c r="H107" s="34" t="s">
        <v>42</v>
      </c>
      <c r="I107" s="37">
        <f t="shared" si="49"/>
        <v>756</v>
      </c>
      <c r="J107" s="37">
        <f t="shared" si="50"/>
        <v>756</v>
      </c>
      <c r="K107" s="37">
        <f t="shared" si="46"/>
        <v>756</v>
      </c>
      <c r="L107" s="37">
        <f t="shared" si="51"/>
        <v>756</v>
      </c>
      <c r="M107" s="37">
        <f t="shared" si="47"/>
        <v>756</v>
      </c>
      <c r="N107" s="37">
        <f t="shared" si="42"/>
        <v>756</v>
      </c>
      <c r="O107" s="37">
        <f t="shared" si="43"/>
        <v>756</v>
      </c>
      <c r="P107" s="37">
        <f t="shared" si="44"/>
        <v>756</v>
      </c>
      <c r="Q107" s="37">
        <f t="shared" si="45"/>
        <v>778.68000000000006</v>
      </c>
      <c r="R107" s="37">
        <f t="shared" si="52"/>
        <v>778.68000000000006</v>
      </c>
      <c r="S107" s="37">
        <f t="shared" si="53"/>
        <v>778.68000000000006</v>
      </c>
      <c r="T107" s="37">
        <f t="shared" si="54"/>
        <v>778.68000000000006</v>
      </c>
      <c r="U107" s="37">
        <f t="shared" si="55"/>
        <v>9162.7200000000012</v>
      </c>
      <c r="W107" s="38">
        <v>756</v>
      </c>
      <c r="X107" s="39">
        <v>45922</v>
      </c>
      <c r="Y107" s="40" t="s">
        <v>129</v>
      </c>
      <c r="Z107" s="40" t="s">
        <v>55</v>
      </c>
      <c r="AA107" s="40" t="s">
        <v>45</v>
      </c>
      <c r="AB107" s="41">
        <v>0.03</v>
      </c>
      <c r="AD107" s="42" t="str">
        <f>C107&amp;A107</f>
        <v>CERTIFICACAO/QUALIDADEOper</v>
      </c>
      <c r="AE107" s="42" t="str">
        <f>IFERROR(VLOOKUP(C107,[34]Planilha1!$B:$C,2,0),"Não se Aplica")</f>
        <v>Sim</v>
      </c>
      <c r="AF107" s="42" t="str">
        <f>VLOOKUP(AD107,[34]Planilha1!$H:$J,3,0)</f>
        <v>Não</v>
      </c>
      <c r="AG107" s="43">
        <f t="shared" si="48"/>
        <v>9162.7200000000012</v>
      </c>
    </row>
    <row r="108" spans="1:33" x14ac:dyDescent="0.3">
      <c r="A108" s="1" t="s">
        <v>836</v>
      </c>
      <c r="B108" s="34" t="s">
        <v>28</v>
      </c>
      <c r="C108" s="35" t="s">
        <v>210</v>
      </c>
      <c r="D108" s="34" t="s">
        <v>213</v>
      </c>
      <c r="E108" s="36" t="s">
        <v>214</v>
      </c>
      <c r="F108" s="34" t="s">
        <v>41</v>
      </c>
      <c r="G108" s="34" t="s">
        <v>32</v>
      </c>
      <c r="H108" s="34" t="s">
        <v>42</v>
      </c>
      <c r="I108" s="37">
        <f t="shared" si="49"/>
        <v>2917</v>
      </c>
      <c r="J108" s="37">
        <f t="shared" si="50"/>
        <v>2917</v>
      </c>
      <c r="K108" s="37">
        <f t="shared" si="46"/>
        <v>2917</v>
      </c>
      <c r="L108" s="37">
        <f t="shared" si="51"/>
        <v>2917</v>
      </c>
      <c r="M108" s="37">
        <f t="shared" si="47"/>
        <v>2917</v>
      </c>
      <c r="N108" s="37">
        <f t="shared" si="42"/>
        <v>2917</v>
      </c>
      <c r="O108" s="37">
        <f t="shared" si="43"/>
        <v>2917</v>
      </c>
      <c r="P108" s="37">
        <f t="shared" si="44"/>
        <v>2917</v>
      </c>
      <c r="Q108" s="37">
        <f t="shared" si="45"/>
        <v>2917</v>
      </c>
      <c r="R108" s="37">
        <f t="shared" si="52"/>
        <v>3004.51</v>
      </c>
      <c r="S108" s="37">
        <f t="shared" si="53"/>
        <v>3004.51</v>
      </c>
      <c r="T108" s="37">
        <f t="shared" si="54"/>
        <v>3004.51</v>
      </c>
      <c r="U108" s="37">
        <f t="shared" si="55"/>
        <v>35266.530000000006</v>
      </c>
      <c r="W108" s="51">
        <v>2917</v>
      </c>
      <c r="X108" s="39">
        <v>45946</v>
      </c>
      <c r="Y108" s="40" t="s">
        <v>54</v>
      </c>
      <c r="Z108" s="40" t="s">
        <v>55</v>
      </c>
      <c r="AA108" s="40" t="s">
        <v>45</v>
      </c>
      <c r="AB108" s="41">
        <v>0.03</v>
      </c>
      <c r="AD108" s="42" t="str">
        <f>C108&amp;A108</f>
        <v>CERTIFICACAO/QUALIDADEOper</v>
      </c>
      <c r="AE108" s="42" t="str">
        <f>IFERROR(VLOOKUP(C108,[34]Planilha1!$B:$C,2,0),"Não se Aplica")</f>
        <v>Sim</v>
      </c>
      <c r="AF108" s="42" t="str">
        <f>VLOOKUP(AD108,[34]Planilha1!$H:$J,3,0)</f>
        <v>Não</v>
      </c>
      <c r="AG108" s="43">
        <f t="shared" si="48"/>
        <v>35266.530000000006</v>
      </c>
    </row>
    <row r="109" spans="1:33" x14ac:dyDescent="0.3">
      <c r="A109" s="1" t="s">
        <v>836</v>
      </c>
      <c r="B109" s="34" t="s">
        <v>20</v>
      </c>
      <c r="C109" s="35" t="s">
        <v>210</v>
      </c>
      <c r="D109" s="34" t="s">
        <v>215</v>
      </c>
      <c r="E109" s="36" t="s">
        <v>214</v>
      </c>
      <c r="F109" s="34" t="s">
        <v>41</v>
      </c>
      <c r="G109" s="34" t="s">
        <v>32</v>
      </c>
      <c r="H109" s="34" t="s">
        <v>42</v>
      </c>
      <c r="I109" s="37">
        <f t="shared" si="49"/>
        <v>2917</v>
      </c>
      <c r="J109" s="37">
        <f t="shared" si="50"/>
        <v>2917</v>
      </c>
      <c r="K109" s="37">
        <f t="shared" si="46"/>
        <v>2917</v>
      </c>
      <c r="L109" s="37">
        <f t="shared" si="51"/>
        <v>2917</v>
      </c>
      <c r="M109" s="37">
        <f t="shared" si="47"/>
        <v>2917</v>
      </c>
      <c r="N109" s="37">
        <f t="shared" si="42"/>
        <v>2917</v>
      </c>
      <c r="O109" s="37">
        <f t="shared" si="43"/>
        <v>2917</v>
      </c>
      <c r="P109" s="37">
        <f t="shared" si="44"/>
        <v>2917</v>
      </c>
      <c r="Q109" s="37">
        <f t="shared" si="45"/>
        <v>2917</v>
      </c>
      <c r="R109" s="37">
        <f t="shared" si="52"/>
        <v>3004.51</v>
      </c>
      <c r="S109" s="37">
        <f t="shared" si="53"/>
        <v>3004.51</v>
      </c>
      <c r="T109" s="37">
        <f t="shared" si="54"/>
        <v>3004.51</v>
      </c>
      <c r="U109" s="37">
        <f t="shared" si="55"/>
        <v>35266.530000000006</v>
      </c>
      <c r="W109" s="38">
        <v>2917</v>
      </c>
      <c r="X109" s="39">
        <v>45946</v>
      </c>
      <c r="Y109" s="40" t="s">
        <v>54</v>
      </c>
      <c r="Z109" s="40" t="s">
        <v>55</v>
      </c>
      <c r="AA109" s="40" t="s">
        <v>45</v>
      </c>
      <c r="AB109" s="41">
        <v>0.03</v>
      </c>
      <c r="AD109" s="42" t="str">
        <f>C109&amp;A109</f>
        <v>CERTIFICACAO/QUALIDADEOper</v>
      </c>
      <c r="AE109" s="42" t="str">
        <f>IFERROR(VLOOKUP(C109,[34]Planilha1!$B:$C,2,0),"Não se Aplica")</f>
        <v>Sim</v>
      </c>
      <c r="AF109" s="42" t="str">
        <f>VLOOKUP(AD109,[34]Planilha1!$H:$J,3,0)</f>
        <v>Não</v>
      </c>
      <c r="AG109" s="43">
        <f t="shared" si="48"/>
        <v>35266.530000000006</v>
      </c>
    </row>
    <row r="110" spans="1:33" x14ac:dyDescent="0.3">
      <c r="A110" s="1" t="s">
        <v>836</v>
      </c>
      <c r="B110" s="34" t="s">
        <v>20</v>
      </c>
      <c r="C110" s="35" t="s">
        <v>210</v>
      </c>
      <c r="D110" s="34" t="s">
        <v>216</v>
      </c>
      <c r="E110" s="36" t="s">
        <v>214</v>
      </c>
      <c r="F110" s="34" t="s">
        <v>41</v>
      </c>
      <c r="G110" s="34" t="s">
        <v>32</v>
      </c>
      <c r="H110" s="34" t="s">
        <v>42</v>
      </c>
      <c r="I110" s="37">
        <f t="shared" si="49"/>
        <v>3511</v>
      </c>
      <c r="J110" s="37">
        <f t="shared" si="50"/>
        <v>3511</v>
      </c>
      <c r="K110" s="37">
        <f t="shared" si="46"/>
        <v>3511</v>
      </c>
      <c r="L110" s="37">
        <f t="shared" si="51"/>
        <v>3511</v>
      </c>
      <c r="M110" s="37">
        <f t="shared" si="47"/>
        <v>3511</v>
      </c>
      <c r="N110" s="37">
        <f t="shared" si="42"/>
        <v>3511</v>
      </c>
      <c r="O110" s="37">
        <f t="shared" si="43"/>
        <v>3511</v>
      </c>
      <c r="P110" s="37">
        <f t="shared" si="44"/>
        <v>3511</v>
      </c>
      <c r="Q110" s="37">
        <f t="shared" si="45"/>
        <v>3511</v>
      </c>
      <c r="R110" s="37">
        <f t="shared" si="52"/>
        <v>3616.33</v>
      </c>
      <c r="S110" s="37">
        <f t="shared" si="53"/>
        <v>3616.33</v>
      </c>
      <c r="T110" s="37">
        <f t="shared" si="54"/>
        <v>3616.33</v>
      </c>
      <c r="U110" s="37">
        <f t="shared" si="55"/>
        <v>42447.990000000005</v>
      </c>
      <c r="W110" s="51">
        <v>3511</v>
      </c>
      <c r="X110" s="39">
        <v>45946</v>
      </c>
      <c r="Y110" s="40" t="s">
        <v>54</v>
      </c>
      <c r="Z110" s="40" t="s">
        <v>55</v>
      </c>
      <c r="AA110" s="40" t="s">
        <v>45</v>
      </c>
      <c r="AB110" s="41">
        <v>0.03</v>
      </c>
      <c r="AD110" s="42" t="str">
        <f>C110&amp;A110</f>
        <v>CERTIFICACAO/QUALIDADEOper</v>
      </c>
      <c r="AE110" s="42" t="str">
        <f>IFERROR(VLOOKUP(C110,[34]Planilha1!$B:$C,2,0),"Não se Aplica")</f>
        <v>Sim</v>
      </c>
      <c r="AF110" s="42" t="str">
        <f>VLOOKUP(AD110,[34]Planilha1!$H:$J,3,0)</f>
        <v>Não</v>
      </c>
      <c r="AG110" s="43">
        <f t="shared" si="48"/>
        <v>42447.990000000005</v>
      </c>
    </row>
    <row r="111" spans="1:33" x14ac:dyDescent="0.3">
      <c r="A111" s="1" t="s">
        <v>836</v>
      </c>
      <c r="B111" s="34" t="s">
        <v>20</v>
      </c>
      <c r="C111" s="35" t="s">
        <v>210</v>
      </c>
      <c r="D111" s="34" t="s">
        <v>217</v>
      </c>
      <c r="E111" s="34" t="s">
        <v>218</v>
      </c>
      <c r="F111" s="34" t="s">
        <v>41</v>
      </c>
      <c r="G111" s="34" t="s">
        <v>22</v>
      </c>
      <c r="H111" s="34" t="s">
        <v>42</v>
      </c>
      <c r="I111" s="37">
        <f t="shared" si="49"/>
        <v>805.83</v>
      </c>
      <c r="J111" s="37">
        <f t="shared" si="50"/>
        <v>805.83</v>
      </c>
      <c r="K111" s="37">
        <f t="shared" si="46"/>
        <v>805.83</v>
      </c>
      <c r="L111" s="37">
        <f t="shared" si="51"/>
        <v>805.83</v>
      </c>
      <c r="M111" s="37">
        <f t="shared" si="47"/>
        <v>805.83</v>
      </c>
      <c r="N111" s="37">
        <f t="shared" si="42"/>
        <v>805.83</v>
      </c>
      <c r="O111" s="37">
        <f t="shared" si="43"/>
        <v>805.83</v>
      </c>
      <c r="P111" s="37">
        <f t="shared" si="44"/>
        <v>805.83</v>
      </c>
      <c r="Q111" s="37">
        <f t="shared" si="45"/>
        <v>805.83</v>
      </c>
      <c r="R111" s="37">
        <f t="shared" si="52"/>
        <v>805.83</v>
      </c>
      <c r="S111" s="37">
        <f t="shared" si="53"/>
        <v>805.83</v>
      </c>
      <c r="T111" s="37">
        <f t="shared" si="54"/>
        <v>805.83</v>
      </c>
      <c r="U111" s="37">
        <f t="shared" si="55"/>
        <v>9669.9600000000009</v>
      </c>
      <c r="W111" s="51">
        <v>805.83</v>
      </c>
      <c r="X111" s="39"/>
      <c r="Y111" s="40"/>
      <c r="Z111" s="40"/>
      <c r="AA111" s="40" t="s">
        <v>45</v>
      </c>
      <c r="AB111" s="41">
        <v>0</v>
      </c>
      <c r="AD111" s="42" t="str">
        <f>C111&amp;A111</f>
        <v>CERTIFICACAO/QUALIDADEOper</v>
      </c>
      <c r="AE111" s="42" t="str">
        <f>IFERROR(VLOOKUP(C111,[34]Planilha1!$B:$C,2,0),"Não se Aplica")</f>
        <v>Sim</v>
      </c>
      <c r="AF111" s="42" t="str">
        <f>VLOOKUP(AD111,[34]Planilha1!$H:$J,3,0)</f>
        <v>Não</v>
      </c>
      <c r="AG111" s="43">
        <f t="shared" si="48"/>
        <v>9669.9600000000009</v>
      </c>
    </row>
    <row r="112" spans="1:33" x14ac:dyDescent="0.3">
      <c r="A112" s="1" t="s">
        <v>837</v>
      </c>
      <c r="B112" s="34" t="s">
        <v>20</v>
      </c>
      <c r="C112" s="35" t="s">
        <v>46</v>
      </c>
      <c r="D112" s="34" t="s">
        <v>220</v>
      </c>
      <c r="E112" s="36" t="s">
        <v>221</v>
      </c>
      <c r="F112" s="34" t="s">
        <v>21</v>
      </c>
      <c r="G112" s="34" t="s">
        <v>32</v>
      </c>
      <c r="H112" s="34" t="s">
        <v>219</v>
      </c>
      <c r="I112" s="37">
        <f t="shared" si="49"/>
        <v>2500</v>
      </c>
      <c r="J112" s="37">
        <f t="shared" si="50"/>
        <v>2500</v>
      </c>
      <c r="K112" s="37">
        <f t="shared" si="46"/>
        <v>2500</v>
      </c>
      <c r="L112" s="37">
        <f t="shared" si="51"/>
        <v>2500</v>
      </c>
      <c r="M112" s="37">
        <f t="shared" si="47"/>
        <v>2500</v>
      </c>
      <c r="N112" s="37">
        <f t="shared" si="42"/>
        <v>2500</v>
      </c>
      <c r="O112" s="37">
        <f t="shared" si="43"/>
        <v>2500</v>
      </c>
      <c r="P112" s="37">
        <f t="shared" si="44"/>
        <v>2500</v>
      </c>
      <c r="Q112" s="37">
        <f t="shared" si="45"/>
        <v>2500</v>
      </c>
      <c r="R112" s="37">
        <f t="shared" si="52"/>
        <v>2500</v>
      </c>
      <c r="S112" s="37">
        <f t="shared" si="53"/>
        <v>2500</v>
      </c>
      <c r="T112" s="37">
        <f t="shared" si="54"/>
        <v>2575</v>
      </c>
      <c r="U112" s="37">
        <f t="shared" si="55"/>
        <v>30075</v>
      </c>
      <c r="W112" s="51">
        <v>2500</v>
      </c>
      <c r="X112" s="39">
        <v>45280</v>
      </c>
      <c r="Y112" s="40" t="s">
        <v>222</v>
      </c>
      <c r="Z112" s="40"/>
      <c r="AA112" s="40" t="s">
        <v>45</v>
      </c>
      <c r="AB112" s="41">
        <v>0.03</v>
      </c>
      <c r="AD112" s="42" t="str">
        <f>C112&amp;A112</f>
        <v>MANUTEN. SISTEMAS  INFORMATICAAdm</v>
      </c>
      <c r="AE112" s="42" t="str">
        <f>IFERROR(VLOOKUP(C112,[34]Planilha1!$B:$C,2,0),"Não se Aplica")</f>
        <v>Sim</v>
      </c>
      <c r="AF112" s="42" t="str">
        <f>VLOOKUP(AD112,[34]Planilha1!$H:$J,3,0)</f>
        <v>Sim</v>
      </c>
      <c r="AG112" s="43">
        <f t="shared" si="48"/>
        <v>27293.0625</v>
      </c>
    </row>
    <row r="113" spans="1:33" x14ac:dyDescent="0.3">
      <c r="A113" s="1" t="s">
        <v>837</v>
      </c>
      <c r="B113" s="34" t="s">
        <v>28</v>
      </c>
      <c r="C113" s="35" t="s">
        <v>46</v>
      </c>
      <c r="D113" s="34" t="s">
        <v>220</v>
      </c>
      <c r="E113" s="36" t="s">
        <v>221</v>
      </c>
      <c r="F113" s="34" t="s">
        <v>21</v>
      </c>
      <c r="G113" s="34" t="s">
        <v>32</v>
      </c>
      <c r="H113" s="34" t="s">
        <v>219</v>
      </c>
      <c r="I113" s="37">
        <f t="shared" si="49"/>
        <v>2500</v>
      </c>
      <c r="J113" s="37">
        <f t="shared" si="50"/>
        <v>2500</v>
      </c>
      <c r="K113" s="37">
        <f t="shared" si="46"/>
        <v>2500</v>
      </c>
      <c r="L113" s="37">
        <f t="shared" si="51"/>
        <v>2500</v>
      </c>
      <c r="M113" s="37">
        <f t="shared" si="47"/>
        <v>2500</v>
      </c>
      <c r="N113" s="37">
        <f t="shared" si="42"/>
        <v>2500</v>
      </c>
      <c r="O113" s="37">
        <f t="shared" si="43"/>
        <v>2500</v>
      </c>
      <c r="P113" s="37">
        <f t="shared" si="44"/>
        <v>2500</v>
      </c>
      <c r="Q113" s="37">
        <f t="shared" si="45"/>
        <v>2500</v>
      </c>
      <c r="R113" s="37">
        <f t="shared" si="52"/>
        <v>2500</v>
      </c>
      <c r="S113" s="37">
        <f t="shared" si="53"/>
        <v>2500</v>
      </c>
      <c r="T113" s="37">
        <f t="shared" si="54"/>
        <v>2575</v>
      </c>
      <c r="U113" s="37">
        <f t="shared" si="55"/>
        <v>30075</v>
      </c>
      <c r="W113" s="51">
        <v>2500</v>
      </c>
      <c r="X113" s="39">
        <v>45280</v>
      </c>
      <c r="Y113" s="40" t="s">
        <v>222</v>
      </c>
      <c r="Z113" s="40"/>
      <c r="AA113" s="40" t="s">
        <v>45</v>
      </c>
      <c r="AB113" s="41">
        <v>0.03</v>
      </c>
      <c r="AD113" s="42" t="str">
        <f>C113&amp;A113</f>
        <v>MANUTEN. SISTEMAS  INFORMATICAAdm</v>
      </c>
      <c r="AE113" s="42" t="str">
        <f>IFERROR(VLOOKUP(C113,[34]Planilha1!$B:$C,2,0),"Não se Aplica")</f>
        <v>Sim</v>
      </c>
      <c r="AF113" s="42" t="str">
        <f>VLOOKUP(AD113,[34]Planilha1!$H:$J,3,0)</f>
        <v>Sim</v>
      </c>
      <c r="AG113" s="43">
        <f t="shared" si="48"/>
        <v>27293.0625</v>
      </c>
    </row>
    <row r="114" spans="1:33" x14ac:dyDescent="0.3">
      <c r="A114" s="1" t="s">
        <v>837</v>
      </c>
      <c r="B114" s="34" t="s">
        <v>20</v>
      </c>
      <c r="C114" s="35" t="s">
        <v>69</v>
      </c>
      <c r="D114" s="34" t="s">
        <v>223</v>
      </c>
      <c r="E114" s="36" t="s">
        <v>224</v>
      </c>
      <c r="F114" s="34" t="s">
        <v>21</v>
      </c>
      <c r="G114" s="34" t="s">
        <v>32</v>
      </c>
      <c r="H114" s="34" t="s">
        <v>219</v>
      </c>
      <c r="I114" s="37">
        <f t="shared" si="49"/>
        <v>2420.11</v>
      </c>
      <c r="J114" s="37">
        <f t="shared" si="50"/>
        <v>2492.7133000000003</v>
      </c>
      <c r="K114" s="37">
        <f t="shared" si="46"/>
        <v>2492.7133000000003</v>
      </c>
      <c r="L114" s="37">
        <f t="shared" si="51"/>
        <v>2492.7133000000003</v>
      </c>
      <c r="M114" s="37">
        <f t="shared" si="47"/>
        <v>2492.7133000000003</v>
      </c>
      <c r="N114" s="37">
        <f t="shared" si="42"/>
        <v>2492.7133000000003</v>
      </c>
      <c r="O114" s="37">
        <f t="shared" si="43"/>
        <v>2492.7133000000003</v>
      </c>
      <c r="P114" s="37">
        <f t="shared" si="44"/>
        <v>2492.7133000000003</v>
      </c>
      <c r="Q114" s="37">
        <f t="shared" si="45"/>
        <v>2492.7133000000003</v>
      </c>
      <c r="R114" s="37">
        <f t="shared" si="52"/>
        <v>2492.7133000000003</v>
      </c>
      <c r="S114" s="37">
        <f t="shared" si="53"/>
        <v>2492.7133000000003</v>
      </c>
      <c r="T114" s="37">
        <f t="shared" si="54"/>
        <v>2492.7133000000003</v>
      </c>
      <c r="U114" s="37">
        <f t="shared" si="55"/>
        <v>29839.956299999998</v>
      </c>
      <c r="W114" s="51">
        <v>2420.11</v>
      </c>
      <c r="X114" s="39">
        <v>45723</v>
      </c>
      <c r="Y114" s="40" t="s">
        <v>82</v>
      </c>
      <c r="Z114" s="40"/>
      <c r="AA114" s="40" t="s">
        <v>45</v>
      </c>
      <c r="AB114" s="41">
        <v>0.03</v>
      </c>
      <c r="AD114" s="42" t="str">
        <f>C114&amp;A114</f>
        <v>ASSESSORIA E SERVICO INFORMATICAAdm</v>
      </c>
      <c r="AE114" s="42" t="str">
        <f>IFERROR(VLOOKUP(C114,[34]Planilha1!$B:$C,2,0),"Não se Aplica")</f>
        <v>Sim</v>
      </c>
      <c r="AF114" s="42" t="str">
        <f>VLOOKUP(AD114,[34]Planilha1!$H:$J,3,0)</f>
        <v>Não</v>
      </c>
      <c r="AG114" s="43">
        <f t="shared" si="48"/>
        <v>29839.956299999998</v>
      </c>
    </row>
    <row r="115" spans="1:33" x14ac:dyDescent="0.3">
      <c r="A115" s="1" t="s">
        <v>837</v>
      </c>
      <c r="B115" s="34" t="s">
        <v>28</v>
      </c>
      <c r="C115" s="35" t="s">
        <v>69</v>
      </c>
      <c r="D115" s="34" t="s">
        <v>225</v>
      </c>
      <c r="E115" s="36" t="s">
        <v>224</v>
      </c>
      <c r="F115" s="34" t="s">
        <v>21</v>
      </c>
      <c r="G115" s="34" t="s">
        <v>32</v>
      </c>
      <c r="H115" s="34" t="s">
        <v>219</v>
      </c>
      <c r="I115" s="37">
        <f t="shared" si="49"/>
        <v>2042.1</v>
      </c>
      <c r="J115" s="37">
        <f t="shared" si="50"/>
        <v>2103.3629999999998</v>
      </c>
      <c r="K115" s="37">
        <f t="shared" si="46"/>
        <v>2103.3629999999998</v>
      </c>
      <c r="L115" s="37">
        <f t="shared" si="51"/>
        <v>2103.3629999999998</v>
      </c>
      <c r="M115" s="37">
        <f t="shared" si="47"/>
        <v>2103.3629999999998</v>
      </c>
      <c r="N115" s="37">
        <f t="shared" si="42"/>
        <v>2103.3629999999998</v>
      </c>
      <c r="O115" s="37">
        <f t="shared" si="43"/>
        <v>2103.3629999999998</v>
      </c>
      <c r="P115" s="37">
        <f t="shared" si="44"/>
        <v>2103.3629999999998</v>
      </c>
      <c r="Q115" s="37">
        <f t="shared" si="45"/>
        <v>2103.3629999999998</v>
      </c>
      <c r="R115" s="37">
        <f t="shared" si="52"/>
        <v>2103.3629999999998</v>
      </c>
      <c r="S115" s="37">
        <f t="shared" si="53"/>
        <v>2103.3629999999998</v>
      </c>
      <c r="T115" s="37">
        <f t="shared" si="54"/>
        <v>2103.3629999999998</v>
      </c>
      <c r="U115" s="37">
        <f t="shared" si="55"/>
        <v>25179.093000000001</v>
      </c>
      <c r="W115" s="51">
        <v>2042.1</v>
      </c>
      <c r="X115" s="39">
        <v>45723</v>
      </c>
      <c r="Y115" s="40" t="s">
        <v>82</v>
      </c>
      <c r="Z115" s="40"/>
      <c r="AA115" s="40" t="s">
        <v>45</v>
      </c>
      <c r="AB115" s="41">
        <v>0.03</v>
      </c>
      <c r="AD115" s="42" t="str">
        <f>C115&amp;A115</f>
        <v>ASSESSORIA E SERVICO INFORMATICAAdm</v>
      </c>
      <c r="AE115" s="42" t="str">
        <f>IFERROR(VLOOKUP(C115,[34]Planilha1!$B:$C,2,0),"Não se Aplica")</f>
        <v>Sim</v>
      </c>
      <c r="AF115" s="42" t="str">
        <f>VLOOKUP(AD115,[34]Planilha1!$H:$J,3,0)</f>
        <v>Não</v>
      </c>
      <c r="AG115" s="43">
        <f t="shared" si="48"/>
        <v>25179.093000000001</v>
      </c>
    </row>
    <row r="116" spans="1:33" x14ac:dyDescent="0.3">
      <c r="A116" s="1" t="s">
        <v>836</v>
      </c>
      <c r="B116" s="34" t="s">
        <v>20</v>
      </c>
      <c r="C116" s="35" t="s">
        <v>46</v>
      </c>
      <c r="D116" s="34" t="s">
        <v>227</v>
      </c>
      <c r="E116" s="36" t="s">
        <v>228</v>
      </c>
      <c r="F116" s="34" t="s">
        <v>23</v>
      </c>
      <c r="G116" s="34" t="s">
        <v>32</v>
      </c>
      <c r="H116" s="34" t="s">
        <v>219</v>
      </c>
      <c r="I116" s="37">
        <f t="shared" si="49"/>
        <v>41954</v>
      </c>
      <c r="J116" s="37">
        <f t="shared" si="50"/>
        <v>41954</v>
      </c>
      <c r="K116" s="37">
        <f t="shared" si="46"/>
        <v>41954</v>
      </c>
      <c r="L116" s="37">
        <f t="shared" si="51"/>
        <v>41954</v>
      </c>
      <c r="M116" s="37">
        <f t="shared" si="47"/>
        <v>41954</v>
      </c>
      <c r="N116" s="37">
        <f t="shared" si="42"/>
        <v>41954</v>
      </c>
      <c r="O116" s="37">
        <f t="shared" si="43"/>
        <v>41954</v>
      </c>
      <c r="P116" s="37">
        <f t="shared" si="44"/>
        <v>41954</v>
      </c>
      <c r="Q116" s="37">
        <f t="shared" si="45"/>
        <v>41954</v>
      </c>
      <c r="R116" s="37">
        <f t="shared" si="52"/>
        <v>41954</v>
      </c>
      <c r="S116" s="37">
        <f t="shared" si="53"/>
        <v>41954</v>
      </c>
      <c r="T116" s="37">
        <f t="shared" si="54"/>
        <v>41954</v>
      </c>
      <c r="U116" s="37">
        <f t="shared" si="55"/>
        <v>503448</v>
      </c>
      <c r="W116" s="38">
        <v>41954</v>
      </c>
      <c r="X116" s="39">
        <v>46105</v>
      </c>
      <c r="Y116" s="40" t="s">
        <v>82</v>
      </c>
      <c r="Z116" s="40" t="s">
        <v>55</v>
      </c>
      <c r="AA116" s="40" t="s">
        <v>45</v>
      </c>
      <c r="AB116" s="41">
        <v>0</v>
      </c>
      <c r="AD116" s="42" t="str">
        <f>C116&amp;A116</f>
        <v>MANUTEN. SISTEMAS  INFORMATICAOper</v>
      </c>
      <c r="AE116" s="42" t="str">
        <f>IFERROR(VLOOKUP(C116,[34]Planilha1!$B:$C,2,0),"Não se Aplica")</f>
        <v>Sim</v>
      </c>
      <c r="AF116" s="42" t="str">
        <f>VLOOKUP(AD116,[34]Planilha1!$H:$J,3,0)</f>
        <v>Sim</v>
      </c>
      <c r="AG116" s="43">
        <f t="shared" si="48"/>
        <v>456879.06</v>
      </c>
    </row>
    <row r="117" spans="1:33" x14ac:dyDescent="0.3">
      <c r="A117" s="1" t="s">
        <v>837</v>
      </c>
      <c r="B117" s="34" t="s">
        <v>20</v>
      </c>
      <c r="C117" s="35" t="s">
        <v>229</v>
      </c>
      <c r="D117" s="34" t="s">
        <v>230</v>
      </c>
      <c r="E117" s="36" t="s">
        <v>231</v>
      </c>
      <c r="F117" s="34" t="s">
        <v>21</v>
      </c>
      <c r="G117" s="34" t="s">
        <v>32</v>
      </c>
      <c r="H117" s="34" t="s">
        <v>219</v>
      </c>
      <c r="I117" s="37">
        <f t="shared" si="49"/>
        <v>287</v>
      </c>
      <c r="J117" s="37">
        <f t="shared" si="50"/>
        <v>287</v>
      </c>
      <c r="K117" s="37">
        <f t="shared" si="46"/>
        <v>287</v>
      </c>
      <c r="L117" s="37">
        <f t="shared" si="51"/>
        <v>287</v>
      </c>
      <c r="M117" s="37">
        <f t="shared" si="47"/>
        <v>287</v>
      </c>
      <c r="N117" s="37">
        <f t="shared" ref="N117:N123" si="56">IF($Y117="junho",$M117*(1+$AB117),$M117)</f>
        <v>287</v>
      </c>
      <c r="O117" s="37">
        <f t="shared" ref="O117:O123" si="57">IF($Y117="julho",$N117*(1+$AB117),$N117)</f>
        <v>287</v>
      </c>
      <c r="P117" s="37">
        <f t="shared" ref="P117:P123" si="58">IF($Y117="agosto",$O117*(1+$AB117),$O117)</f>
        <v>287</v>
      </c>
      <c r="Q117" s="37">
        <f t="shared" ref="Q117:Q123" si="59">IF($Y117="setembro",$P117*(1+$AB117),$P117)</f>
        <v>287</v>
      </c>
      <c r="R117" s="37">
        <f t="shared" si="52"/>
        <v>287</v>
      </c>
      <c r="S117" s="37">
        <f t="shared" si="53"/>
        <v>287</v>
      </c>
      <c r="T117" s="37">
        <f t="shared" si="54"/>
        <v>287</v>
      </c>
      <c r="U117" s="37">
        <f t="shared" si="55"/>
        <v>3444</v>
      </c>
      <c r="W117" s="51">
        <v>287</v>
      </c>
      <c r="X117" s="39"/>
      <c r="Y117" s="40"/>
      <c r="Z117" s="40"/>
      <c r="AA117" s="40" t="s">
        <v>45</v>
      </c>
      <c r="AB117" s="41">
        <v>0</v>
      </c>
      <c r="AD117" s="42" t="str">
        <f>C117&amp;A117</f>
        <v>ASSESSORIA RHAdm</v>
      </c>
      <c r="AE117" s="42" t="str">
        <f>IFERROR(VLOOKUP(C117,[34]Planilha1!$B:$C,2,0),"Não se Aplica")</f>
        <v>Sim</v>
      </c>
      <c r="AF117" s="42" t="str">
        <f>VLOOKUP(AD117,[34]Planilha1!$H:$J,3,0)</f>
        <v>Não</v>
      </c>
      <c r="AG117" s="43">
        <f t="shared" si="48"/>
        <v>3444</v>
      </c>
    </row>
    <row r="118" spans="1:33" x14ac:dyDescent="0.3">
      <c r="A118" s="1" t="s">
        <v>837</v>
      </c>
      <c r="B118" s="34" t="s">
        <v>28</v>
      </c>
      <c r="C118" s="35" t="s">
        <v>229</v>
      </c>
      <c r="D118" s="34" t="s">
        <v>230</v>
      </c>
      <c r="E118" s="36" t="s">
        <v>231</v>
      </c>
      <c r="F118" s="34" t="s">
        <v>21</v>
      </c>
      <c r="G118" s="34" t="s">
        <v>32</v>
      </c>
      <c r="H118" s="34" t="s">
        <v>219</v>
      </c>
      <c r="I118" s="37">
        <f t="shared" si="49"/>
        <v>237</v>
      </c>
      <c r="J118" s="37">
        <f t="shared" si="50"/>
        <v>237</v>
      </c>
      <c r="K118" s="37">
        <f t="shared" ref="K118:K123" si="60">IF($Y118="março",$J118*(1+$AB118),$J118)</f>
        <v>237</v>
      </c>
      <c r="L118" s="37">
        <f t="shared" si="51"/>
        <v>237</v>
      </c>
      <c r="M118" s="37">
        <f t="shared" si="47"/>
        <v>237</v>
      </c>
      <c r="N118" s="37">
        <f t="shared" si="56"/>
        <v>237</v>
      </c>
      <c r="O118" s="37">
        <f t="shared" si="57"/>
        <v>237</v>
      </c>
      <c r="P118" s="37">
        <f t="shared" si="58"/>
        <v>237</v>
      </c>
      <c r="Q118" s="37">
        <f t="shared" si="59"/>
        <v>237</v>
      </c>
      <c r="R118" s="37">
        <f t="shared" si="52"/>
        <v>237</v>
      </c>
      <c r="S118" s="37">
        <f t="shared" si="53"/>
        <v>237</v>
      </c>
      <c r="T118" s="37">
        <f t="shared" si="54"/>
        <v>237</v>
      </c>
      <c r="U118" s="37">
        <f t="shared" si="55"/>
        <v>2844</v>
      </c>
      <c r="W118" s="51">
        <v>237</v>
      </c>
      <c r="X118" s="39"/>
      <c r="Y118" s="40"/>
      <c r="Z118" s="40"/>
      <c r="AA118" s="40" t="s">
        <v>45</v>
      </c>
      <c r="AB118" s="41">
        <v>0</v>
      </c>
      <c r="AD118" s="42" t="str">
        <f>C118&amp;A118</f>
        <v>ASSESSORIA RHAdm</v>
      </c>
      <c r="AE118" s="42" t="str">
        <f>IFERROR(VLOOKUP(C118,[34]Planilha1!$B:$C,2,0),"Não se Aplica")</f>
        <v>Sim</v>
      </c>
      <c r="AF118" s="42" t="str">
        <f>VLOOKUP(AD118,[34]Planilha1!$H:$J,3,0)</f>
        <v>Não</v>
      </c>
      <c r="AG118" s="43">
        <f t="shared" si="48"/>
        <v>2844</v>
      </c>
    </row>
    <row r="119" spans="1:33" x14ac:dyDescent="0.3">
      <c r="A119" s="1" t="s">
        <v>837</v>
      </c>
      <c r="B119" s="34" t="s">
        <v>20</v>
      </c>
      <c r="C119" s="35" t="s">
        <v>229</v>
      </c>
      <c r="D119" s="34" t="s">
        <v>227</v>
      </c>
      <c r="E119" s="36" t="s">
        <v>232</v>
      </c>
      <c r="F119" s="34" t="s">
        <v>21</v>
      </c>
      <c r="G119" s="34" t="s">
        <v>32</v>
      </c>
      <c r="H119" s="34" t="s">
        <v>219</v>
      </c>
      <c r="I119" s="37">
        <f t="shared" si="49"/>
        <v>3041</v>
      </c>
      <c r="J119" s="37">
        <f t="shared" si="50"/>
        <v>3041</v>
      </c>
      <c r="K119" s="37">
        <f t="shared" si="60"/>
        <v>3132.23</v>
      </c>
      <c r="L119" s="37">
        <f t="shared" si="51"/>
        <v>3132.23</v>
      </c>
      <c r="M119" s="37">
        <f t="shared" si="47"/>
        <v>3132.23</v>
      </c>
      <c r="N119" s="37">
        <f t="shared" si="56"/>
        <v>3132.23</v>
      </c>
      <c r="O119" s="37">
        <f t="shared" si="57"/>
        <v>3132.23</v>
      </c>
      <c r="P119" s="37">
        <f t="shared" si="58"/>
        <v>3132.23</v>
      </c>
      <c r="Q119" s="37">
        <f t="shared" si="59"/>
        <v>3132.23</v>
      </c>
      <c r="R119" s="37">
        <f t="shared" si="52"/>
        <v>3132.23</v>
      </c>
      <c r="S119" s="37">
        <f t="shared" si="53"/>
        <v>3132.23</v>
      </c>
      <c r="T119" s="37">
        <f t="shared" si="54"/>
        <v>3132.23</v>
      </c>
      <c r="U119" s="37">
        <f t="shared" si="55"/>
        <v>37404.300000000003</v>
      </c>
      <c r="W119" s="51">
        <v>3041</v>
      </c>
      <c r="X119" s="39">
        <v>46109</v>
      </c>
      <c r="Y119" s="40" t="s">
        <v>86</v>
      </c>
      <c r="Z119" s="40"/>
      <c r="AA119" s="40" t="s">
        <v>45</v>
      </c>
      <c r="AB119" s="41">
        <v>0.03</v>
      </c>
      <c r="AD119" s="42" t="str">
        <f>C119&amp;A119</f>
        <v>ASSESSORIA RHAdm</v>
      </c>
      <c r="AE119" s="42" t="str">
        <f>IFERROR(VLOOKUP(C119,[34]Planilha1!$B:$C,2,0),"Não se Aplica")</f>
        <v>Sim</v>
      </c>
      <c r="AF119" s="42" t="str">
        <f>VLOOKUP(AD119,[34]Planilha1!$H:$J,3,0)</f>
        <v>Não</v>
      </c>
      <c r="AG119" s="43">
        <f t="shared" si="48"/>
        <v>37404.300000000003</v>
      </c>
    </row>
    <row r="120" spans="1:33" x14ac:dyDescent="0.3">
      <c r="A120" s="1" t="s">
        <v>837</v>
      </c>
      <c r="B120" s="34" t="s">
        <v>28</v>
      </c>
      <c r="C120" s="35" t="s">
        <v>229</v>
      </c>
      <c r="D120" s="34" t="s">
        <v>227</v>
      </c>
      <c r="E120" s="36" t="s">
        <v>233</v>
      </c>
      <c r="F120" s="34" t="s">
        <v>21</v>
      </c>
      <c r="G120" s="34" t="s">
        <v>32</v>
      </c>
      <c r="H120" s="34" t="s">
        <v>219</v>
      </c>
      <c r="I120" s="37">
        <f t="shared" si="49"/>
        <v>3210</v>
      </c>
      <c r="J120" s="37">
        <f t="shared" si="50"/>
        <v>3210</v>
      </c>
      <c r="K120" s="37">
        <f t="shared" si="60"/>
        <v>3306.3</v>
      </c>
      <c r="L120" s="37">
        <f t="shared" si="51"/>
        <v>3306.3</v>
      </c>
      <c r="M120" s="37">
        <f t="shared" si="47"/>
        <v>3306.3</v>
      </c>
      <c r="N120" s="37">
        <f t="shared" si="56"/>
        <v>3306.3</v>
      </c>
      <c r="O120" s="37">
        <f t="shared" si="57"/>
        <v>3306.3</v>
      </c>
      <c r="P120" s="37">
        <f t="shared" si="58"/>
        <v>3306.3</v>
      </c>
      <c r="Q120" s="37">
        <f t="shared" si="59"/>
        <v>3306.3</v>
      </c>
      <c r="R120" s="37">
        <f t="shared" si="52"/>
        <v>3306.3</v>
      </c>
      <c r="S120" s="37">
        <f t="shared" si="53"/>
        <v>3306.3</v>
      </c>
      <c r="T120" s="37">
        <f t="shared" si="54"/>
        <v>3306.3</v>
      </c>
      <c r="U120" s="37">
        <f t="shared" si="55"/>
        <v>39483</v>
      </c>
      <c r="V120" s="6"/>
      <c r="W120" s="51">
        <v>3210</v>
      </c>
      <c r="X120" s="39">
        <v>46109</v>
      </c>
      <c r="Y120" s="40" t="s">
        <v>86</v>
      </c>
      <c r="Z120" s="40"/>
      <c r="AA120" s="40" t="s">
        <v>45</v>
      </c>
      <c r="AB120" s="41">
        <v>0.03</v>
      </c>
      <c r="AD120" s="42" t="str">
        <f>C120&amp;A120</f>
        <v>ASSESSORIA RHAdm</v>
      </c>
      <c r="AE120" s="42" t="str">
        <f>IFERROR(VLOOKUP(C120,[34]Planilha1!$B:$C,2,0),"Não se Aplica")</f>
        <v>Sim</v>
      </c>
      <c r="AF120" s="42" t="str">
        <f>VLOOKUP(AD120,[34]Planilha1!$H:$J,3,0)</f>
        <v>Não</v>
      </c>
      <c r="AG120" s="43">
        <f t="shared" si="48"/>
        <v>39483</v>
      </c>
    </row>
    <row r="121" spans="1:33" x14ac:dyDescent="0.3">
      <c r="A121" s="1" t="s">
        <v>837</v>
      </c>
      <c r="B121" s="34" t="s">
        <v>28</v>
      </c>
      <c r="C121" s="35" t="s">
        <v>117</v>
      </c>
      <c r="D121" s="34" t="s">
        <v>234</v>
      </c>
      <c r="E121" s="36" t="s">
        <v>235</v>
      </c>
      <c r="F121" s="34" t="s">
        <v>236</v>
      </c>
      <c r="G121" s="34" t="s">
        <v>32</v>
      </c>
      <c r="H121" s="34" t="s">
        <v>237</v>
      </c>
      <c r="I121" s="37">
        <f t="shared" si="49"/>
        <v>2020.1080999999999</v>
      </c>
      <c r="J121" s="37">
        <f t="shared" si="50"/>
        <v>2020.1080999999999</v>
      </c>
      <c r="K121" s="37">
        <f t="shared" si="60"/>
        <v>2020.1080999999999</v>
      </c>
      <c r="L121" s="37">
        <f t="shared" si="51"/>
        <v>2020.1080999999999</v>
      </c>
      <c r="M121" s="37">
        <f t="shared" si="47"/>
        <v>2020.1080999999999</v>
      </c>
      <c r="N121" s="37">
        <f t="shared" si="56"/>
        <v>2020.1080999999999</v>
      </c>
      <c r="O121" s="37">
        <f t="shared" si="57"/>
        <v>2020.1080999999999</v>
      </c>
      <c r="P121" s="37">
        <f t="shared" si="58"/>
        <v>2020.1080999999999</v>
      </c>
      <c r="Q121" s="37">
        <f t="shared" si="59"/>
        <v>2020.1080999999999</v>
      </c>
      <c r="R121" s="37">
        <f t="shared" si="52"/>
        <v>2020.1080999999999</v>
      </c>
      <c r="S121" s="37">
        <f t="shared" si="53"/>
        <v>2020.1080999999999</v>
      </c>
      <c r="T121" s="37">
        <f t="shared" si="54"/>
        <v>2020.1080999999999</v>
      </c>
      <c r="U121" s="37">
        <f t="shared" si="55"/>
        <v>24241.297200000001</v>
      </c>
      <c r="V121" s="6"/>
      <c r="W121" s="51">
        <v>1961.27</v>
      </c>
      <c r="X121" s="39">
        <v>46071</v>
      </c>
      <c r="Y121" s="40" t="s">
        <v>51</v>
      </c>
      <c r="Z121" s="40" t="s">
        <v>55</v>
      </c>
      <c r="AA121" s="40" t="s">
        <v>45</v>
      </c>
      <c r="AB121" s="41">
        <v>0.03</v>
      </c>
      <c r="AD121" s="42" t="str">
        <f>C121&amp;A121</f>
        <v>ASSESSORIA ADMINISTRATIVAAdm</v>
      </c>
      <c r="AE121" s="42" t="str">
        <f>IFERROR(VLOOKUP(C121,[34]Planilha1!$B:$C,2,0),"Não se Aplica")</f>
        <v>Sim</v>
      </c>
      <c r="AF121" s="42" t="str">
        <f>VLOOKUP(AD121,[34]Planilha1!$H:$J,3,0)</f>
        <v>Não</v>
      </c>
      <c r="AG121" s="43">
        <f t="shared" si="48"/>
        <v>24241.297200000001</v>
      </c>
    </row>
    <row r="122" spans="1:33" x14ac:dyDescent="0.3">
      <c r="A122" s="1" t="s">
        <v>837</v>
      </c>
      <c r="B122" s="34" t="s">
        <v>28</v>
      </c>
      <c r="C122" s="35" t="s">
        <v>117</v>
      </c>
      <c r="D122" s="34" t="s">
        <v>238</v>
      </c>
      <c r="E122" s="36" t="s">
        <v>239</v>
      </c>
      <c r="F122" s="34" t="s">
        <v>236</v>
      </c>
      <c r="G122" s="34" t="s">
        <v>32</v>
      </c>
      <c r="H122" s="34" t="s">
        <v>237</v>
      </c>
      <c r="I122" s="37">
        <f t="shared" si="49"/>
        <v>686.93</v>
      </c>
      <c r="J122" s="37">
        <f t="shared" si="50"/>
        <v>686.93</v>
      </c>
      <c r="K122" s="37">
        <f t="shared" si="60"/>
        <v>686.93</v>
      </c>
      <c r="L122" s="37">
        <f t="shared" si="51"/>
        <v>686.93</v>
      </c>
      <c r="M122" s="37">
        <f t="shared" ref="M122:M123" si="61">IF($Y122="maio",$L122*(1+$AB122),$L122)</f>
        <v>686.93</v>
      </c>
      <c r="N122" s="37">
        <f t="shared" si="56"/>
        <v>686.93</v>
      </c>
      <c r="O122" s="37">
        <f t="shared" si="57"/>
        <v>686.93</v>
      </c>
      <c r="P122" s="37">
        <f t="shared" si="58"/>
        <v>686.93</v>
      </c>
      <c r="Q122" s="37">
        <f t="shared" si="59"/>
        <v>686.93</v>
      </c>
      <c r="R122" s="37">
        <f t="shared" si="52"/>
        <v>686.93</v>
      </c>
      <c r="S122" s="37">
        <f t="shared" si="53"/>
        <v>686.93</v>
      </c>
      <c r="T122" s="37">
        <f t="shared" si="54"/>
        <v>686.93</v>
      </c>
      <c r="U122" s="37">
        <f t="shared" si="55"/>
        <v>8243.1600000000017</v>
      </c>
      <c r="W122" s="38">
        <v>686.93</v>
      </c>
      <c r="X122" s="39">
        <v>46071</v>
      </c>
      <c r="Y122" s="40" t="s">
        <v>82</v>
      </c>
      <c r="Z122" s="40" t="s">
        <v>55</v>
      </c>
      <c r="AA122" s="40" t="s">
        <v>45</v>
      </c>
      <c r="AB122" s="41">
        <v>0</v>
      </c>
      <c r="AD122" s="42" t="str">
        <f>C122&amp;A122</f>
        <v>ASSESSORIA ADMINISTRATIVAAdm</v>
      </c>
      <c r="AE122" s="42" t="str">
        <f>IFERROR(VLOOKUP(C122,[34]Planilha1!$B:$C,2,0),"Não se Aplica")</f>
        <v>Sim</v>
      </c>
      <c r="AF122" s="42" t="str">
        <f>VLOOKUP(AD122,[34]Planilha1!$H:$J,3,0)</f>
        <v>Não</v>
      </c>
      <c r="AG122" s="43">
        <f t="shared" si="48"/>
        <v>8243.1600000000017</v>
      </c>
    </row>
    <row r="123" spans="1:33" x14ac:dyDescent="0.3">
      <c r="A123" s="1" t="s">
        <v>837</v>
      </c>
      <c r="B123" s="34" t="s">
        <v>20</v>
      </c>
      <c r="C123" s="35" t="s">
        <v>117</v>
      </c>
      <c r="D123" s="34" t="s">
        <v>238</v>
      </c>
      <c r="E123" s="36" t="s">
        <v>239</v>
      </c>
      <c r="F123" s="34" t="s">
        <v>236</v>
      </c>
      <c r="G123" s="34" t="s">
        <v>32</v>
      </c>
      <c r="H123" s="34" t="s">
        <v>237</v>
      </c>
      <c r="I123" s="37">
        <f t="shared" si="49"/>
        <v>686.93</v>
      </c>
      <c r="J123" s="37">
        <f t="shared" si="50"/>
        <v>686.93</v>
      </c>
      <c r="K123" s="37">
        <f t="shared" si="60"/>
        <v>686.93</v>
      </c>
      <c r="L123" s="37">
        <f t="shared" si="51"/>
        <v>686.93</v>
      </c>
      <c r="M123" s="37">
        <f t="shared" si="61"/>
        <v>686.93</v>
      </c>
      <c r="N123" s="37">
        <f t="shared" si="56"/>
        <v>686.93</v>
      </c>
      <c r="O123" s="37">
        <f t="shared" si="57"/>
        <v>686.93</v>
      </c>
      <c r="P123" s="37">
        <f t="shared" si="58"/>
        <v>686.93</v>
      </c>
      <c r="Q123" s="37">
        <f t="shared" si="59"/>
        <v>686.93</v>
      </c>
      <c r="R123" s="37">
        <f t="shared" si="52"/>
        <v>686.93</v>
      </c>
      <c r="S123" s="37">
        <f t="shared" si="53"/>
        <v>686.93</v>
      </c>
      <c r="T123" s="37">
        <f t="shared" si="54"/>
        <v>686.93</v>
      </c>
      <c r="U123" s="37">
        <f t="shared" si="55"/>
        <v>8243.1600000000017</v>
      </c>
      <c r="W123" s="38">
        <v>686.93</v>
      </c>
      <c r="X123" s="39">
        <v>46071</v>
      </c>
      <c r="Y123" s="40" t="s">
        <v>82</v>
      </c>
      <c r="Z123" s="40" t="s">
        <v>55</v>
      </c>
      <c r="AA123" s="40" t="s">
        <v>45</v>
      </c>
      <c r="AB123" s="41">
        <v>0</v>
      </c>
      <c r="AD123" s="42" t="str">
        <f>C123&amp;A123</f>
        <v>ASSESSORIA ADMINISTRATIVAAdm</v>
      </c>
      <c r="AE123" s="42" t="str">
        <f>IFERROR(VLOOKUP(C123,[34]Planilha1!$B:$C,2,0),"Não se Aplica")</f>
        <v>Sim</v>
      </c>
      <c r="AF123" s="42" t="str">
        <f>VLOOKUP(AD123,[34]Planilha1!$H:$J,3,0)</f>
        <v>Não</v>
      </c>
      <c r="AG123" s="43">
        <f t="shared" si="48"/>
        <v>8243.1600000000017</v>
      </c>
    </row>
    <row r="124" spans="1:33" x14ac:dyDescent="0.3">
      <c r="A124" s="1" t="s">
        <v>837</v>
      </c>
      <c r="B124" s="34" t="s">
        <v>28</v>
      </c>
      <c r="C124" s="35" t="s">
        <v>240</v>
      </c>
      <c r="D124" s="34" t="s">
        <v>241</v>
      </c>
      <c r="E124" s="36" t="s">
        <v>242</v>
      </c>
      <c r="F124" s="34" t="s">
        <v>49</v>
      </c>
      <c r="G124" s="34" t="s">
        <v>100</v>
      </c>
      <c r="H124" s="34" t="s">
        <v>50</v>
      </c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>
        <f t="shared" si="55"/>
        <v>0</v>
      </c>
      <c r="V124" s="6"/>
      <c r="W124" s="51">
        <v>492.13</v>
      </c>
      <c r="X124" s="39"/>
      <c r="Y124" s="40" t="s">
        <v>86</v>
      </c>
      <c r="Z124" s="40"/>
      <c r="AA124" s="40" t="s">
        <v>45</v>
      </c>
      <c r="AB124" s="41">
        <v>0</v>
      </c>
      <c r="AD124" s="42" t="str">
        <f>C124&amp;A124</f>
        <v>INTERNET/COMUNICACOESAdm</v>
      </c>
      <c r="AE124" s="42" t="str">
        <f>IFERROR(VLOOKUP(C124,[34]Planilha1!$B:$C,2,0),"Não se Aplica")</f>
        <v>Sim</v>
      </c>
      <c r="AF124" s="42" t="str">
        <f>VLOOKUP(AD124,[34]Planilha1!$H:$J,3,0)</f>
        <v>Não</v>
      </c>
      <c r="AG124" s="43">
        <f t="shared" si="48"/>
        <v>0</v>
      </c>
    </row>
    <row r="125" spans="1:33" x14ac:dyDescent="0.3">
      <c r="A125" s="1" t="s">
        <v>837</v>
      </c>
      <c r="B125" s="34" t="s">
        <v>28</v>
      </c>
      <c r="C125" s="35" t="s">
        <v>240</v>
      </c>
      <c r="D125" s="34" t="s">
        <v>241</v>
      </c>
      <c r="E125" s="36" t="s">
        <v>242</v>
      </c>
      <c r="F125" s="34" t="s">
        <v>49</v>
      </c>
      <c r="G125" s="34" t="s">
        <v>33</v>
      </c>
      <c r="H125" s="34" t="s">
        <v>50</v>
      </c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>
        <f t="shared" si="55"/>
        <v>0</v>
      </c>
      <c r="W125" s="51">
        <v>477.09</v>
      </c>
      <c r="X125" s="39"/>
      <c r="Y125" s="40" t="s">
        <v>86</v>
      </c>
      <c r="Z125" s="40"/>
      <c r="AA125" s="40" t="s">
        <v>45</v>
      </c>
      <c r="AB125" s="41">
        <v>0</v>
      </c>
      <c r="AD125" s="42" t="str">
        <f>C125&amp;A125</f>
        <v>INTERNET/COMUNICACOESAdm</v>
      </c>
      <c r="AE125" s="42" t="str">
        <f>IFERROR(VLOOKUP(C125,[34]Planilha1!$B:$C,2,0),"Não se Aplica")</f>
        <v>Sim</v>
      </c>
      <c r="AF125" s="42" t="str">
        <f>VLOOKUP(AD125,[34]Planilha1!$H:$J,3,0)</f>
        <v>Não</v>
      </c>
      <c r="AG125" s="43">
        <f t="shared" si="48"/>
        <v>0</v>
      </c>
    </row>
    <row r="126" spans="1:33" x14ac:dyDescent="0.3">
      <c r="A126" s="1" t="s">
        <v>837</v>
      </c>
      <c r="B126" s="34" t="s">
        <v>28</v>
      </c>
      <c r="C126" s="35" t="s">
        <v>240</v>
      </c>
      <c r="D126" s="34" t="s">
        <v>243</v>
      </c>
      <c r="E126" s="36" t="s">
        <v>242</v>
      </c>
      <c r="F126" s="34" t="s">
        <v>49</v>
      </c>
      <c r="G126" s="34" t="s">
        <v>100</v>
      </c>
      <c r="H126" s="34" t="s">
        <v>50</v>
      </c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>
        <f t="shared" si="55"/>
        <v>0</v>
      </c>
      <c r="V126" s="6"/>
      <c r="W126" s="51">
        <v>801</v>
      </c>
      <c r="X126" s="39"/>
      <c r="Y126" s="40" t="s">
        <v>86</v>
      </c>
      <c r="Z126" s="40"/>
      <c r="AA126" s="40" t="s">
        <v>45</v>
      </c>
      <c r="AB126" s="41">
        <v>0</v>
      </c>
      <c r="AD126" s="42" t="str">
        <f>C126&amp;A126</f>
        <v>INTERNET/COMUNICACOESAdm</v>
      </c>
      <c r="AE126" s="42" t="str">
        <f>IFERROR(VLOOKUP(C126,[34]Planilha1!$B:$C,2,0),"Não se Aplica")</f>
        <v>Sim</v>
      </c>
      <c r="AF126" s="42" t="str">
        <f>VLOOKUP(AD126,[34]Planilha1!$H:$J,3,0)</f>
        <v>Não</v>
      </c>
      <c r="AG126" s="43">
        <f t="shared" si="48"/>
        <v>0</v>
      </c>
    </row>
    <row r="127" spans="1:33" x14ac:dyDescent="0.3">
      <c r="A127" s="1" t="s">
        <v>837</v>
      </c>
      <c r="B127" s="34" t="s">
        <v>20</v>
      </c>
      <c r="C127" s="35" t="s">
        <v>240</v>
      </c>
      <c r="D127" s="34" t="s">
        <v>244</v>
      </c>
      <c r="E127" s="36" t="s">
        <v>242</v>
      </c>
      <c r="F127" s="34" t="s">
        <v>49</v>
      </c>
      <c r="G127" s="34" t="s">
        <v>27</v>
      </c>
      <c r="H127" s="34" t="s">
        <v>50</v>
      </c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>
        <f t="shared" si="55"/>
        <v>0</v>
      </c>
      <c r="W127" s="51">
        <v>400</v>
      </c>
      <c r="X127" s="39"/>
      <c r="Y127" s="40"/>
      <c r="Z127" s="40"/>
      <c r="AA127" s="40" t="s">
        <v>45</v>
      </c>
      <c r="AB127" s="41">
        <v>0</v>
      </c>
      <c r="AD127" s="42" t="str">
        <f>C127&amp;A127</f>
        <v>INTERNET/COMUNICACOESAdm</v>
      </c>
      <c r="AE127" s="42" t="str">
        <f>IFERROR(VLOOKUP(C127,[34]Planilha1!$B:$C,2,0),"Não se Aplica")</f>
        <v>Sim</v>
      </c>
      <c r="AF127" s="42" t="str">
        <f>VLOOKUP(AD127,[34]Planilha1!$H:$J,3,0)</f>
        <v>Não</v>
      </c>
      <c r="AG127" s="43">
        <f t="shared" si="48"/>
        <v>0</v>
      </c>
    </row>
    <row r="128" spans="1:33" x14ac:dyDescent="0.3">
      <c r="A128" s="1" t="s">
        <v>837</v>
      </c>
      <c r="B128" s="34" t="s">
        <v>20</v>
      </c>
      <c r="C128" s="35" t="s">
        <v>240</v>
      </c>
      <c r="D128" s="34" t="s">
        <v>244</v>
      </c>
      <c r="E128" s="36" t="s">
        <v>242</v>
      </c>
      <c r="F128" s="34" t="s">
        <v>49</v>
      </c>
      <c r="G128" s="34" t="s">
        <v>32</v>
      </c>
      <c r="H128" s="34" t="s">
        <v>50</v>
      </c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>
        <f t="shared" si="55"/>
        <v>0</v>
      </c>
      <c r="V128" s="6"/>
      <c r="W128" s="51">
        <v>489</v>
      </c>
      <c r="X128" s="39"/>
      <c r="Y128" s="40"/>
      <c r="Z128" s="40"/>
      <c r="AA128" s="40" t="s">
        <v>45</v>
      </c>
      <c r="AB128" s="41">
        <v>0</v>
      </c>
      <c r="AD128" s="42" t="str">
        <f>C128&amp;A128</f>
        <v>INTERNET/COMUNICACOESAdm</v>
      </c>
      <c r="AE128" s="42" t="str">
        <f>IFERROR(VLOOKUP(C128,[34]Planilha1!$B:$C,2,0),"Não se Aplica")</f>
        <v>Sim</v>
      </c>
      <c r="AF128" s="42" t="str">
        <f>VLOOKUP(AD128,[34]Planilha1!$H:$J,3,0)</f>
        <v>Não</v>
      </c>
      <c r="AG128" s="43">
        <f t="shared" si="48"/>
        <v>0</v>
      </c>
    </row>
    <row r="129" spans="1:33" x14ac:dyDescent="0.3">
      <c r="A129" s="1" t="s">
        <v>837</v>
      </c>
      <c r="B129" s="34" t="s">
        <v>20</v>
      </c>
      <c r="C129" s="35" t="s">
        <v>240</v>
      </c>
      <c r="D129" s="36" t="s">
        <v>243</v>
      </c>
      <c r="E129" s="36" t="s">
        <v>242</v>
      </c>
      <c r="F129" s="34" t="s">
        <v>49</v>
      </c>
      <c r="G129" s="34" t="s">
        <v>27</v>
      </c>
      <c r="H129" s="34" t="s">
        <v>50</v>
      </c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>
        <f t="shared" si="55"/>
        <v>0</v>
      </c>
      <c r="W129" s="51">
        <v>585</v>
      </c>
      <c r="X129" s="39"/>
      <c r="Y129" s="40"/>
      <c r="Z129" s="40"/>
      <c r="AA129" s="40" t="s">
        <v>45</v>
      </c>
      <c r="AB129" s="41">
        <v>0</v>
      </c>
      <c r="AD129" s="42" t="str">
        <f>C129&amp;A129</f>
        <v>INTERNET/COMUNICACOESAdm</v>
      </c>
      <c r="AE129" s="42" t="str">
        <f>IFERROR(VLOOKUP(C129,[34]Planilha1!$B:$C,2,0),"Não se Aplica")</f>
        <v>Sim</v>
      </c>
      <c r="AF129" s="42" t="str">
        <f>VLOOKUP(AD129,[34]Planilha1!$H:$J,3,0)</f>
        <v>Não</v>
      </c>
      <c r="AG129" s="43">
        <f t="shared" si="48"/>
        <v>0</v>
      </c>
    </row>
    <row r="130" spans="1:33" x14ac:dyDescent="0.3">
      <c r="A130" s="1" t="s">
        <v>837</v>
      </c>
      <c r="B130" s="34" t="s">
        <v>20</v>
      </c>
      <c r="C130" s="35" t="s">
        <v>240</v>
      </c>
      <c r="D130" s="36" t="s">
        <v>244</v>
      </c>
      <c r="E130" s="36" t="s">
        <v>242</v>
      </c>
      <c r="F130" s="34" t="s">
        <v>49</v>
      </c>
      <c r="G130" s="34" t="s">
        <v>32</v>
      </c>
      <c r="H130" s="34" t="s">
        <v>50</v>
      </c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>
        <f t="shared" si="55"/>
        <v>0</v>
      </c>
      <c r="V130" s="6"/>
      <c r="W130" s="51">
        <v>722.32</v>
      </c>
      <c r="X130" s="39"/>
      <c r="Y130" s="40"/>
      <c r="Z130" s="40"/>
      <c r="AA130" s="40" t="s">
        <v>45</v>
      </c>
      <c r="AB130" s="41">
        <v>0</v>
      </c>
      <c r="AD130" s="42" t="str">
        <f>C130&amp;A130</f>
        <v>INTERNET/COMUNICACOESAdm</v>
      </c>
      <c r="AE130" s="42" t="str">
        <f>IFERROR(VLOOKUP(C130,[34]Planilha1!$B:$C,2,0),"Não se Aplica")</f>
        <v>Sim</v>
      </c>
      <c r="AF130" s="42" t="str">
        <f>VLOOKUP(AD130,[34]Planilha1!$H:$J,3,0)</f>
        <v>Não</v>
      </c>
      <c r="AG130" s="43">
        <f t="shared" si="48"/>
        <v>0</v>
      </c>
    </row>
    <row r="131" spans="1:33" x14ac:dyDescent="0.3">
      <c r="A131" s="1" t="s">
        <v>837</v>
      </c>
      <c r="B131" s="34" t="s">
        <v>20</v>
      </c>
      <c r="C131" s="35" t="s">
        <v>240</v>
      </c>
      <c r="D131" s="34" t="s">
        <v>245</v>
      </c>
      <c r="E131" s="36" t="s">
        <v>242</v>
      </c>
      <c r="F131" s="34" t="s">
        <v>49</v>
      </c>
      <c r="G131" s="34" t="s">
        <v>32</v>
      </c>
      <c r="H131" s="34" t="s">
        <v>50</v>
      </c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>
        <f t="shared" si="55"/>
        <v>0</v>
      </c>
      <c r="V131" s="6"/>
      <c r="W131" s="51">
        <v>812.29</v>
      </c>
      <c r="X131" s="39"/>
      <c r="Y131" s="40"/>
      <c r="Z131" s="40"/>
      <c r="AA131" s="40" t="s">
        <v>45</v>
      </c>
      <c r="AB131" s="41">
        <v>0</v>
      </c>
      <c r="AD131" s="42" t="str">
        <f>C131&amp;A131</f>
        <v>INTERNET/COMUNICACOESAdm</v>
      </c>
      <c r="AE131" s="42" t="str">
        <f>IFERROR(VLOOKUP(C131,[34]Planilha1!$B:$C,2,0),"Não se Aplica")</f>
        <v>Sim</v>
      </c>
      <c r="AF131" s="42" t="str">
        <f>VLOOKUP(AD131,[34]Planilha1!$H:$J,3,0)</f>
        <v>Não</v>
      </c>
      <c r="AG131" s="43">
        <f t="shared" si="48"/>
        <v>0</v>
      </c>
    </row>
    <row r="132" spans="1:33" x14ac:dyDescent="0.3">
      <c r="A132" s="1" t="s">
        <v>837</v>
      </c>
      <c r="B132" s="34" t="s">
        <v>20</v>
      </c>
      <c r="C132" s="35" t="s">
        <v>240</v>
      </c>
      <c r="D132" s="34" t="s">
        <v>246</v>
      </c>
      <c r="E132" s="36" t="s">
        <v>242</v>
      </c>
      <c r="F132" s="34" t="s">
        <v>49</v>
      </c>
      <c r="G132" s="34" t="s">
        <v>32</v>
      </c>
      <c r="H132" s="34" t="s">
        <v>50</v>
      </c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>
        <f t="shared" si="55"/>
        <v>0</v>
      </c>
      <c r="W132" s="38">
        <v>1632.34</v>
      </c>
      <c r="X132" s="39"/>
      <c r="Y132" s="40"/>
      <c r="Z132" s="40"/>
      <c r="AA132" s="40" t="s">
        <v>45</v>
      </c>
      <c r="AB132" s="41">
        <v>0</v>
      </c>
      <c r="AD132" s="42" t="str">
        <f>C132&amp;A132</f>
        <v>INTERNET/COMUNICACOESAdm</v>
      </c>
      <c r="AE132" s="42" t="str">
        <f>IFERROR(VLOOKUP(C132,[34]Planilha1!$B:$C,2,0),"Não se Aplica")</f>
        <v>Sim</v>
      </c>
      <c r="AF132" s="42" t="str">
        <f>VLOOKUP(AD132,[34]Planilha1!$H:$J,3,0)</f>
        <v>Não</v>
      </c>
      <c r="AG132" s="43">
        <f t="shared" si="48"/>
        <v>0</v>
      </c>
    </row>
    <row r="133" spans="1:33" x14ac:dyDescent="0.3">
      <c r="A133" s="1" t="s">
        <v>837</v>
      </c>
      <c r="B133" s="34" t="s">
        <v>28</v>
      </c>
      <c r="C133" s="35" t="s">
        <v>240</v>
      </c>
      <c r="D133" s="34" t="s">
        <v>243</v>
      </c>
      <c r="E133" s="36" t="s">
        <v>242</v>
      </c>
      <c r="F133" s="34" t="s">
        <v>49</v>
      </c>
      <c r="G133" s="34" t="s">
        <v>33</v>
      </c>
      <c r="H133" s="34" t="s">
        <v>50</v>
      </c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>
        <f t="shared" si="55"/>
        <v>0</v>
      </c>
      <c r="W133" s="38">
        <v>885.7</v>
      </c>
      <c r="X133" s="39"/>
      <c r="Y133" s="40" t="s">
        <v>86</v>
      </c>
      <c r="Z133" s="40"/>
      <c r="AA133" s="40" t="s">
        <v>45</v>
      </c>
      <c r="AB133" s="41">
        <v>0</v>
      </c>
      <c r="AD133" s="42" t="str">
        <f>C133&amp;A133</f>
        <v>INTERNET/COMUNICACOESAdm</v>
      </c>
      <c r="AE133" s="42" t="str">
        <f>IFERROR(VLOOKUP(C133,[34]Planilha1!$B:$C,2,0),"Não se Aplica")</f>
        <v>Sim</v>
      </c>
      <c r="AF133" s="42" t="str">
        <f>VLOOKUP(AD133,[34]Planilha1!$H:$J,3,0)</f>
        <v>Não</v>
      </c>
      <c r="AG133" s="43">
        <f t="shared" si="48"/>
        <v>0</v>
      </c>
    </row>
    <row r="134" spans="1:33" x14ac:dyDescent="0.3">
      <c r="A134" s="1" t="s">
        <v>837</v>
      </c>
      <c r="B134" s="34" t="s">
        <v>28</v>
      </c>
      <c r="C134" s="35" t="s">
        <v>240</v>
      </c>
      <c r="D134" s="34" t="s">
        <v>243</v>
      </c>
      <c r="E134" s="36" t="s">
        <v>247</v>
      </c>
      <c r="F134" s="34" t="s">
        <v>49</v>
      </c>
      <c r="G134" s="34" t="s">
        <v>29</v>
      </c>
      <c r="H134" s="34" t="s">
        <v>50</v>
      </c>
      <c r="I134" s="37">
        <f t="shared" ref="I134:I150" si="62">IF($Y134="janeiro",$W134*(1+$AB134),$W134)</f>
        <v>104.67</v>
      </c>
      <c r="J134" s="37">
        <f t="shared" ref="J134:J150" si="63">IF($Y134="fevereiro",$I134*(1+$AB134),$I134)</f>
        <v>104.67</v>
      </c>
      <c r="K134" s="37">
        <f t="shared" ref="K134:K150" si="64">IF($Y134="março",$J134*(1+$AB134),$J134)</f>
        <v>104.67</v>
      </c>
      <c r="L134" s="37">
        <f t="shared" ref="L134:L150" si="65">IF($Y134="abril",$K134*(1+$AB134),$K134)</f>
        <v>104.67</v>
      </c>
      <c r="M134" s="37">
        <f t="shared" ref="M134:M150" si="66">IF($Y134="maio",$L134*(1+$AB134),$L134)</f>
        <v>107.81010000000001</v>
      </c>
      <c r="N134" s="37">
        <f t="shared" ref="N134:N150" si="67">IF($Y134="junho",$M134*(1+$AB134),$M134)</f>
        <v>107.81010000000001</v>
      </c>
      <c r="O134" s="37">
        <f t="shared" ref="O134:O150" si="68">IF($Y134="julho",$N134*(1+$AB134),$N134)</f>
        <v>107.81010000000001</v>
      </c>
      <c r="P134" s="37">
        <f t="shared" ref="P134:P150" si="69">IF($Y134="agosto",$O134*(1+$AB134),$O134)</f>
        <v>107.81010000000001</v>
      </c>
      <c r="Q134" s="37">
        <f t="shared" ref="Q134:Q150" si="70">IF($Y134="setembro",$P134*(1+$AB134),$P134)</f>
        <v>107.81010000000001</v>
      </c>
      <c r="R134" s="37">
        <f t="shared" ref="R134:R150" si="71">IF($Y134="outubro",$Q134*(1+$AB134),$Q134)</f>
        <v>107.81010000000001</v>
      </c>
      <c r="S134" s="37">
        <f t="shared" ref="S134:S150" si="72">IF($Y134="novembro",$R134*(1+$AB134),$R134)</f>
        <v>107.81010000000001</v>
      </c>
      <c r="T134" s="37">
        <f t="shared" ref="T134:T150" si="73">IF($Y134="dezembro",$S134*(1+$AB134),$S134)</f>
        <v>107.81010000000001</v>
      </c>
      <c r="U134" s="37">
        <f t="shared" si="55"/>
        <v>1281.1607999999999</v>
      </c>
      <c r="V134" s="6"/>
      <c r="W134" s="38">
        <v>104.67</v>
      </c>
      <c r="X134" s="39">
        <v>45834</v>
      </c>
      <c r="Y134" s="40" t="s">
        <v>62</v>
      </c>
      <c r="Z134" s="40"/>
      <c r="AA134" s="40" t="s">
        <v>45</v>
      </c>
      <c r="AB134" s="41">
        <v>0.03</v>
      </c>
      <c r="AD134" s="42" t="str">
        <f>C134&amp;A134</f>
        <v>INTERNET/COMUNICACOESAdm</v>
      </c>
      <c r="AE134" s="42" t="str">
        <f>IFERROR(VLOOKUP(C134,[34]Planilha1!$B:$C,2,0),"Não se Aplica")</f>
        <v>Sim</v>
      </c>
      <c r="AF134" s="42" t="str">
        <f>VLOOKUP(AD134,[34]Planilha1!$H:$J,3,0)</f>
        <v>Não</v>
      </c>
      <c r="AG134" s="43">
        <f t="shared" si="48"/>
        <v>1281.1607999999999</v>
      </c>
    </row>
    <row r="135" spans="1:33" x14ac:dyDescent="0.3">
      <c r="A135" s="1" t="s">
        <v>837</v>
      </c>
      <c r="B135" s="34" t="s">
        <v>28</v>
      </c>
      <c r="C135" s="35" t="s">
        <v>38</v>
      </c>
      <c r="D135" s="34" t="s">
        <v>243</v>
      </c>
      <c r="E135" s="36" t="s">
        <v>248</v>
      </c>
      <c r="F135" s="34" t="s">
        <v>49</v>
      </c>
      <c r="G135" s="34" t="s">
        <v>29</v>
      </c>
      <c r="H135" s="34" t="s">
        <v>50</v>
      </c>
      <c r="I135" s="37">
        <f t="shared" si="62"/>
        <v>104.67</v>
      </c>
      <c r="J135" s="37">
        <f t="shared" si="63"/>
        <v>104.67</v>
      </c>
      <c r="K135" s="37">
        <f t="shared" si="64"/>
        <v>104.67</v>
      </c>
      <c r="L135" s="37">
        <f t="shared" si="65"/>
        <v>104.67</v>
      </c>
      <c r="M135" s="37">
        <f t="shared" si="66"/>
        <v>104.67</v>
      </c>
      <c r="N135" s="37">
        <f t="shared" si="67"/>
        <v>104.67</v>
      </c>
      <c r="O135" s="37">
        <f t="shared" si="68"/>
        <v>104.67</v>
      </c>
      <c r="P135" s="37">
        <f t="shared" si="69"/>
        <v>104.67</v>
      </c>
      <c r="Q135" s="37">
        <f t="shared" si="70"/>
        <v>104.67</v>
      </c>
      <c r="R135" s="37">
        <f t="shared" si="71"/>
        <v>104.67</v>
      </c>
      <c r="S135" s="37">
        <f t="shared" si="72"/>
        <v>104.67</v>
      </c>
      <c r="T135" s="37">
        <f t="shared" si="73"/>
        <v>104.67</v>
      </c>
      <c r="U135" s="37">
        <f t="shared" si="55"/>
        <v>1256.04</v>
      </c>
      <c r="W135" s="38">
        <v>104.67</v>
      </c>
      <c r="X135" s="39"/>
      <c r="Y135" s="40"/>
      <c r="Z135" s="40"/>
      <c r="AA135" s="40" t="s">
        <v>45</v>
      </c>
      <c r="AB135" s="41">
        <v>0</v>
      </c>
      <c r="AD135" s="42" t="str">
        <f>C135&amp;A135</f>
        <v>ALUGUEIS DE EQUIPAMENTOSAdm</v>
      </c>
      <c r="AE135" s="42" t="str">
        <f>IFERROR(VLOOKUP(C135,[34]Planilha1!$B:$C,2,0),"Não se Aplica")</f>
        <v>Sim</v>
      </c>
      <c r="AF135" s="42" t="str">
        <f>VLOOKUP(AD135,[34]Planilha1!$H:$J,3,0)</f>
        <v>Sim</v>
      </c>
      <c r="AG135" s="43">
        <f t="shared" si="48"/>
        <v>1139.8562999999999</v>
      </c>
    </row>
    <row r="136" spans="1:33" x14ac:dyDescent="0.3">
      <c r="A136" s="1" t="s">
        <v>837</v>
      </c>
      <c r="B136" s="34" t="s">
        <v>28</v>
      </c>
      <c r="C136" s="35" t="s">
        <v>240</v>
      </c>
      <c r="D136" s="34" t="s">
        <v>243</v>
      </c>
      <c r="E136" s="36" t="s">
        <v>248</v>
      </c>
      <c r="F136" s="34" t="s">
        <v>49</v>
      </c>
      <c r="G136" s="34" t="s">
        <v>29</v>
      </c>
      <c r="H136" s="34" t="s">
        <v>50</v>
      </c>
      <c r="I136" s="37">
        <f t="shared" si="62"/>
        <v>139.56</v>
      </c>
      <c r="J136" s="37">
        <f t="shared" si="63"/>
        <v>139.56</v>
      </c>
      <c r="K136" s="37">
        <f t="shared" si="64"/>
        <v>139.56</v>
      </c>
      <c r="L136" s="37">
        <f t="shared" si="65"/>
        <v>139.56</v>
      </c>
      <c r="M136" s="37">
        <f t="shared" si="66"/>
        <v>139.56</v>
      </c>
      <c r="N136" s="37">
        <f t="shared" si="67"/>
        <v>139.56</v>
      </c>
      <c r="O136" s="37">
        <f t="shared" si="68"/>
        <v>139.56</v>
      </c>
      <c r="P136" s="37">
        <f t="shared" si="69"/>
        <v>139.56</v>
      </c>
      <c r="Q136" s="37">
        <f t="shared" si="70"/>
        <v>139.56</v>
      </c>
      <c r="R136" s="37">
        <f t="shared" si="71"/>
        <v>139.56</v>
      </c>
      <c r="S136" s="37">
        <f t="shared" si="72"/>
        <v>139.56</v>
      </c>
      <c r="T136" s="37">
        <f t="shared" si="73"/>
        <v>139.56</v>
      </c>
      <c r="U136" s="37">
        <f t="shared" si="55"/>
        <v>1674.7199999999996</v>
      </c>
      <c r="V136" s="6"/>
      <c r="W136" s="51">
        <v>139.56</v>
      </c>
      <c r="X136" s="39"/>
      <c r="Y136" s="40"/>
      <c r="Z136" s="40"/>
      <c r="AA136" s="40" t="s">
        <v>45</v>
      </c>
      <c r="AB136" s="41">
        <v>0</v>
      </c>
      <c r="AD136" s="42" t="str">
        <f>C136&amp;A136</f>
        <v>INTERNET/COMUNICACOESAdm</v>
      </c>
      <c r="AE136" s="42" t="str">
        <f>IFERROR(VLOOKUP(C136,[34]Planilha1!$B:$C,2,0),"Não se Aplica")</f>
        <v>Sim</v>
      </c>
      <c r="AF136" s="42" t="str">
        <f>VLOOKUP(AD136,[34]Planilha1!$H:$J,3,0)</f>
        <v>Não</v>
      </c>
      <c r="AG136" s="43">
        <f t="shared" si="48"/>
        <v>1674.7199999999996</v>
      </c>
    </row>
    <row r="137" spans="1:33" x14ac:dyDescent="0.3">
      <c r="A137" s="1" t="s">
        <v>836</v>
      </c>
      <c r="B137" s="34" t="s">
        <v>28</v>
      </c>
      <c r="C137" s="35" t="s">
        <v>249</v>
      </c>
      <c r="D137" s="34" t="s">
        <v>250</v>
      </c>
      <c r="E137" s="36" t="s">
        <v>251</v>
      </c>
      <c r="F137" s="34" t="s">
        <v>252</v>
      </c>
      <c r="G137" s="34" t="s">
        <v>32</v>
      </c>
      <c r="H137" s="34" t="s">
        <v>50</v>
      </c>
      <c r="I137" s="37">
        <f t="shared" si="62"/>
        <v>159.12470000000002</v>
      </c>
      <c r="J137" s="37">
        <f t="shared" si="63"/>
        <v>159.12470000000002</v>
      </c>
      <c r="K137" s="37">
        <f t="shared" si="64"/>
        <v>159.12470000000002</v>
      </c>
      <c r="L137" s="37">
        <f t="shared" si="65"/>
        <v>159.12470000000002</v>
      </c>
      <c r="M137" s="37">
        <f t="shared" si="66"/>
        <v>159.12470000000002</v>
      </c>
      <c r="N137" s="37">
        <f t="shared" si="67"/>
        <v>159.12470000000002</v>
      </c>
      <c r="O137" s="37">
        <f t="shared" si="68"/>
        <v>159.12470000000002</v>
      </c>
      <c r="P137" s="37">
        <f t="shared" si="69"/>
        <v>159.12470000000002</v>
      </c>
      <c r="Q137" s="37">
        <f t="shared" si="70"/>
        <v>159.12470000000002</v>
      </c>
      <c r="R137" s="37">
        <f t="shared" si="71"/>
        <v>159.12470000000002</v>
      </c>
      <c r="S137" s="37">
        <f t="shared" si="72"/>
        <v>159.12470000000002</v>
      </c>
      <c r="T137" s="37">
        <f t="shared" si="73"/>
        <v>159.12470000000002</v>
      </c>
      <c r="U137" s="37">
        <f t="shared" si="55"/>
        <v>1909.4964000000007</v>
      </c>
      <c r="W137" s="38">
        <v>154.49</v>
      </c>
      <c r="X137" s="39">
        <v>46810</v>
      </c>
      <c r="Y137" s="40" t="s">
        <v>51</v>
      </c>
      <c r="Z137" s="40"/>
      <c r="AA137" s="40" t="s">
        <v>45</v>
      </c>
      <c r="AB137" s="41">
        <v>0.03</v>
      </c>
      <c r="AD137" s="42" t="str">
        <f>C137&amp;A137</f>
        <v>TELEFONESOper</v>
      </c>
      <c r="AE137" s="42" t="str">
        <f>IFERROR(VLOOKUP(C137,[34]Planilha1!$B:$C,2,0),"Não se Aplica")</f>
        <v>Sim</v>
      </c>
      <c r="AF137" s="42" t="str">
        <f>VLOOKUP(AD137,[34]Planilha1!$H:$J,3,0)</f>
        <v>Não</v>
      </c>
      <c r="AG137" s="43">
        <f t="shared" si="48"/>
        <v>1909.4964000000007</v>
      </c>
    </row>
    <row r="138" spans="1:33" x14ac:dyDescent="0.3">
      <c r="A138" s="1" t="s">
        <v>836</v>
      </c>
      <c r="B138" s="34" t="s">
        <v>28</v>
      </c>
      <c r="C138" s="35" t="s">
        <v>249</v>
      </c>
      <c r="D138" s="34" t="s">
        <v>250</v>
      </c>
      <c r="E138" s="36" t="s">
        <v>251</v>
      </c>
      <c r="F138" s="34" t="s">
        <v>37</v>
      </c>
      <c r="G138" s="34" t="s">
        <v>32</v>
      </c>
      <c r="H138" s="34" t="s">
        <v>50</v>
      </c>
      <c r="I138" s="37">
        <f t="shared" si="62"/>
        <v>886.55190000000005</v>
      </c>
      <c r="J138" s="37">
        <f t="shared" si="63"/>
        <v>886.55190000000005</v>
      </c>
      <c r="K138" s="37">
        <f t="shared" si="64"/>
        <v>886.55190000000005</v>
      </c>
      <c r="L138" s="37">
        <f t="shared" si="65"/>
        <v>886.55190000000005</v>
      </c>
      <c r="M138" s="37">
        <f t="shared" si="66"/>
        <v>886.55190000000005</v>
      </c>
      <c r="N138" s="37">
        <f t="shared" si="67"/>
        <v>886.55190000000005</v>
      </c>
      <c r="O138" s="37">
        <f t="shared" si="68"/>
        <v>886.55190000000005</v>
      </c>
      <c r="P138" s="37">
        <f t="shared" si="69"/>
        <v>886.55190000000005</v>
      </c>
      <c r="Q138" s="37">
        <f t="shared" si="70"/>
        <v>886.55190000000005</v>
      </c>
      <c r="R138" s="37">
        <f t="shared" si="71"/>
        <v>886.55190000000005</v>
      </c>
      <c r="S138" s="37">
        <f t="shared" si="72"/>
        <v>886.55190000000005</v>
      </c>
      <c r="T138" s="37">
        <f t="shared" si="73"/>
        <v>886.55190000000005</v>
      </c>
      <c r="U138" s="37">
        <f t="shared" si="55"/>
        <v>10638.622800000003</v>
      </c>
      <c r="W138" s="38">
        <v>860.73</v>
      </c>
      <c r="X138" s="39">
        <v>46810</v>
      </c>
      <c r="Y138" s="40" t="s">
        <v>51</v>
      </c>
      <c r="Z138" s="40"/>
      <c r="AA138" s="40" t="s">
        <v>45</v>
      </c>
      <c r="AB138" s="41">
        <v>0.03</v>
      </c>
      <c r="AD138" s="42" t="str">
        <f>C138&amp;A138</f>
        <v>TELEFONESOper</v>
      </c>
      <c r="AE138" s="42" t="str">
        <f>IFERROR(VLOOKUP(C138,[34]Planilha1!$B:$C,2,0),"Não se Aplica")</f>
        <v>Sim</v>
      </c>
      <c r="AF138" s="42" t="str">
        <f>VLOOKUP(AD138,[34]Planilha1!$H:$J,3,0)</f>
        <v>Não</v>
      </c>
      <c r="AG138" s="43">
        <f t="shared" si="48"/>
        <v>10638.622800000003</v>
      </c>
    </row>
    <row r="139" spans="1:33" x14ac:dyDescent="0.3">
      <c r="A139" s="1" t="s">
        <v>836</v>
      </c>
      <c r="B139" s="34" t="s">
        <v>28</v>
      </c>
      <c r="C139" s="35" t="s">
        <v>249</v>
      </c>
      <c r="D139" s="34" t="s">
        <v>250</v>
      </c>
      <c r="E139" s="36" t="s">
        <v>251</v>
      </c>
      <c r="F139" s="34" t="s">
        <v>25</v>
      </c>
      <c r="G139" s="34" t="s">
        <v>32</v>
      </c>
      <c r="H139" s="34" t="s">
        <v>50</v>
      </c>
      <c r="I139" s="37">
        <f t="shared" si="62"/>
        <v>636.49880000000007</v>
      </c>
      <c r="J139" s="37">
        <f t="shared" si="63"/>
        <v>636.49880000000007</v>
      </c>
      <c r="K139" s="37">
        <f t="shared" si="64"/>
        <v>636.49880000000007</v>
      </c>
      <c r="L139" s="37">
        <f t="shared" si="65"/>
        <v>636.49880000000007</v>
      </c>
      <c r="M139" s="37">
        <f t="shared" si="66"/>
        <v>636.49880000000007</v>
      </c>
      <c r="N139" s="37">
        <f t="shared" si="67"/>
        <v>636.49880000000007</v>
      </c>
      <c r="O139" s="37">
        <f t="shared" si="68"/>
        <v>636.49880000000007</v>
      </c>
      <c r="P139" s="37">
        <f t="shared" si="69"/>
        <v>636.49880000000007</v>
      </c>
      <c r="Q139" s="37">
        <f t="shared" si="70"/>
        <v>636.49880000000007</v>
      </c>
      <c r="R139" s="37">
        <f t="shared" si="71"/>
        <v>636.49880000000007</v>
      </c>
      <c r="S139" s="37">
        <f t="shared" si="72"/>
        <v>636.49880000000007</v>
      </c>
      <c r="T139" s="37">
        <f t="shared" si="73"/>
        <v>636.49880000000007</v>
      </c>
      <c r="U139" s="37">
        <f t="shared" si="55"/>
        <v>7637.9856000000027</v>
      </c>
      <c r="W139" s="38">
        <v>617.96</v>
      </c>
      <c r="X139" s="39">
        <v>46810</v>
      </c>
      <c r="Y139" s="40" t="s">
        <v>51</v>
      </c>
      <c r="Z139" s="40"/>
      <c r="AA139" s="40" t="s">
        <v>45</v>
      </c>
      <c r="AB139" s="41">
        <v>0.03</v>
      </c>
      <c r="AD139" s="42" t="str">
        <f>C139&amp;A139</f>
        <v>TELEFONESOper</v>
      </c>
      <c r="AE139" s="42" t="str">
        <f>IFERROR(VLOOKUP(C139,[34]Planilha1!$B:$C,2,0),"Não se Aplica")</f>
        <v>Sim</v>
      </c>
      <c r="AF139" s="42" t="str">
        <f>VLOOKUP(AD139,[34]Planilha1!$H:$J,3,0)</f>
        <v>Não</v>
      </c>
      <c r="AG139" s="43">
        <f t="shared" si="48"/>
        <v>7637.9856000000027</v>
      </c>
    </row>
    <row r="140" spans="1:33" x14ac:dyDescent="0.3">
      <c r="A140" s="1" t="s">
        <v>836</v>
      </c>
      <c r="B140" s="34" t="s">
        <v>28</v>
      </c>
      <c r="C140" s="35" t="s">
        <v>249</v>
      </c>
      <c r="D140" s="34" t="s">
        <v>250</v>
      </c>
      <c r="E140" s="36" t="s">
        <v>251</v>
      </c>
      <c r="F140" s="34" t="s">
        <v>23</v>
      </c>
      <c r="G140" s="34" t="s">
        <v>32</v>
      </c>
      <c r="H140" s="34" t="s">
        <v>50</v>
      </c>
      <c r="I140" s="37">
        <f t="shared" si="62"/>
        <v>136.39259999999999</v>
      </c>
      <c r="J140" s="37">
        <f t="shared" si="63"/>
        <v>136.39259999999999</v>
      </c>
      <c r="K140" s="37">
        <f t="shared" si="64"/>
        <v>136.39259999999999</v>
      </c>
      <c r="L140" s="37">
        <f t="shared" si="65"/>
        <v>136.39259999999999</v>
      </c>
      <c r="M140" s="37">
        <f t="shared" si="66"/>
        <v>136.39259999999999</v>
      </c>
      <c r="N140" s="37">
        <f t="shared" si="67"/>
        <v>136.39259999999999</v>
      </c>
      <c r="O140" s="37">
        <f t="shared" si="68"/>
        <v>136.39259999999999</v>
      </c>
      <c r="P140" s="37">
        <f t="shared" si="69"/>
        <v>136.39259999999999</v>
      </c>
      <c r="Q140" s="37">
        <f t="shared" si="70"/>
        <v>136.39259999999999</v>
      </c>
      <c r="R140" s="37">
        <f t="shared" si="71"/>
        <v>136.39259999999999</v>
      </c>
      <c r="S140" s="37">
        <f t="shared" si="72"/>
        <v>136.39259999999999</v>
      </c>
      <c r="T140" s="37">
        <f t="shared" si="73"/>
        <v>136.39259999999999</v>
      </c>
      <c r="U140" s="37">
        <f t="shared" si="55"/>
        <v>1636.7111999999995</v>
      </c>
      <c r="W140" s="38">
        <v>132.41999999999999</v>
      </c>
      <c r="X140" s="39">
        <v>46810</v>
      </c>
      <c r="Y140" s="40" t="s">
        <v>51</v>
      </c>
      <c r="Z140" s="40"/>
      <c r="AA140" s="40" t="s">
        <v>45</v>
      </c>
      <c r="AB140" s="41">
        <v>0.03</v>
      </c>
      <c r="AD140" s="42" t="str">
        <f>C140&amp;A140</f>
        <v>TELEFONESOper</v>
      </c>
      <c r="AE140" s="42" t="str">
        <f>IFERROR(VLOOKUP(C140,[34]Planilha1!$B:$C,2,0),"Não se Aplica")</f>
        <v>Sim</v>
      </c>
      <c r="AF140" s="42" t="str">
        <f>VLOOKUP(AD140,[34]Planilha1!$H:$J,3,0)</f>
        <v>Não</v>
      </c>
      <c r="AG140" s="43">
        <f t="shared" si="48"/>
        <v>1636.7111999999995</v>
      </c>
    </row>
    <row r="141" spans="1:33" x14ac:dyDescent="0.3">
      <c r="A141" s="1" t="s">
        <v>836</v>
      </c>
      <c r="B141" s="34" t="s">
        <v>28</v>
      </c>
      <c r="C141" s="35" t="s">
        <v>249</v>
      </c>
      <c r="D141" s="34" t="s">
        <v>250</v>
      </c>
      <c r="E141" s="36" t="s">
        <v>251</v>
      </c>
      <c r="F141" s="34" t="s">
        <v>41</v>
      </c>
      <c r="G141" s="34" t="s">
        <v>32</v>
      </c>
      <c r="H141" s="34" t="s">
        <v>50</v>
      </c>
      <c r="I141" s="37">
        <f t="shared" si="62"/>
        <v>522.8383</v>
      </c>
      <c r="J141" s="37">
        <f t="shared" si="63"/>
        <v>522.8383</v>
      </c>
      <c r="K141" s="37">
        <f t="shared" si="64"/>
        <v>522.8383</v>
      </c>
      <c r="L141" s="37">
        <f t="shared" si="65"/>
        <v>522.8383</v>
      </c>
      <c r="M141" s="37">
        <f t="shared" si="66"/>
        <v>522.8383</v>
      </c>
      <c r="N141" s="37">
        <f t="shared" si="67"/>
        <v>522.8383</v>
      </c>
      <c r="O141" s="37">
        <f t="shared" si="68"/>
        <v>522.8383</v>
      </c>
      <c r="P141" s="37">
        <f t="shared" si="69"/>
        <v>522.8383</v>
      </c>
      <c r="Q141" s="37">
        <f t="shared" si="70"/>
        <v>522.8383</v>
      </c>
      <c r="R141" s="37">
        <f t="shared" si="71"/>
        <v>522.8383</v>
      </c>
      <c r="S141" s="37">
        <f t="shared" si="72"/>
        <v>522.8383</v>
      </c>
      <c r="T141" s="37">
        <f t="shared" si="73"/>
        <v>522.8383</v>
      </c>
      <c r="U141" s="37">
        <f t="shared" si="55"/>
        <v>6274.0596000000014</v>
      </c>
      <c r="W141" s="38">
        <v>507.61</v>
      </c>
      <c r="X141" s="39">
        <v>46810</v>
      </c>
      <c r="Y141" s="40" t="s">
        <v>51</v>
      </c>
      <c r="Z141" s="40"/>
      <c r="AA141" s="40" t="s">
        <v>45</v>
      </c>
      <c r="AB141" s="41">
        <v>0.03</v>
      </c>
      <c r="AD141" s="42" t="str">
        <f>C141&amp;A141</f>
        <v>TELEFONESOper</v>
      </c>
      <c r="AE141" s="42" t="str">
        <f>IFERROR(VLOOKUP(C141,[34]Planilha1!$B:$C,2,0),"Não se Aplica")</f>
        <v>Sim</v>
      </c>
      <c r="AF141" s="42" t="str">
        <f>VLOOKUP(AD141,[34]Planilha1!$H:$J,3,0)</f>
        <v>Não</v>
      </c>
      <c r="AG141" s="43">
        <f t="shared" si="48"/>
        <v>6274.0596000000014</v>
      </c>
    </row>
    <row r="142" spans="1:33" x14ac:dyDescent="0.3">
      <c r="A142" s="1" t="s">
        <v>836</v>
      </c>
      <c r="B142" s="34" t="s">
        <v>28</v>
      </c>
      <c r="C142" s="35" t="s">
        <v>249</v>
      </c>
      <c r="D142" s="34" t="s">
        <v>250</v>
      </c>
      <c r="E142" s="36" t="s">
        <v>251</v>
      </c>
      <c r="F142" s="34" t="s">
        <v>60</v>
      </c>
      <c r="G142" s="34" t="s">
        <v>32</v>
      </c>
      <c r="H142" s="34" t="s">
        <v>50</v>
      </c>
      <c r="I142" s="37">
        <f t="shared" si="62"/>
        <v>68.196299999999994</v>
      </c>
      <c r="J142" s="37">
        <f t="shared" si="63"/>
        <v>68.196299999999994</v>
      </c>
      <c r="K142" s="37">
        <f t="shared" si="64"/>
        <v>68.196299999999994</v>
      </c>
      <c r="L142" s="37">
        <f t="shared" si="65"/>
        <v>68.196299999999994</v>
      </c>
      <c r="M142" s="37">
        <f t="shared" si="66"/>
        <v>68.196299999999994</v>
      </c>
      <c r="N142" s="37">
        <f t="shared" si="67"/>
        <v>68.196299999999994</v>
      </c>
      <c r="O142" s="37">
        <f t="shared" si="68"/>
        <v>68.196299999999994</v>
      </c>
      <c r="P142" s="37">
        <f t="shared" si="69"/>
        <v>68.196299999999994</v>
      </c>
      <c r="Q142" s="37">
        <f t="shared" si="70"/>
        <v>68.196299999999994</v>
      </c>
      <c r="R142" s="37">
        <f t="shared" si="71"/>
        <v>68.196299999999994</v>
      </c>
      <c r="S142" s="37">
        <f t="shared" si="72"/>
        <v>68.196299999999994</v>
      </c>
      <c r="T142" s="37">
        <f t="shared" si="73"/>
        <v>68.196299999999994</v>
      </c>
      <c r="U142" s="37">
        <f t="shared" si="55"/>
        <v>818.35559999999975</v>
      </c>
      <c r="W142" s="38">
        <v>66.209999999999994</v>
      </c>
      <c r="X142" s="39">
        <v>46810</v>
      </c>
      <c r="Y142" s="40" t="s">
        <v>51</v>
      </c>
      <c r="Z142" s="40"/>
      <c r="AA142" s="40" t="s">
        <v>45</v>
      </c>
      <c r="AB142" s="41">
        <v>0.03</v>
      </c>
      <c r="AD142" s="42" t="str">
        <f>C142&amp;A142</f>
        <v>TELEFONESOper</v>
      </c>
      <c r="AE142" s="42" t="str">
        <f>IFERROR(VLOOKUP(C142,[34]Planilha1!$B:$C,2,0),"Não se Aplica")</f>
        <v>Sim</v>
      </c>
      <c r="AF142" s="42" t="str">
        <f>VLOOKUP(AD142,[34]Planilha1!$H:$J,3,0)</f>
        <v>Não</v>
      </c>
      <c r="AG142" s="43">
        <f t="shared" si="48"/>
        <v>818.35559999999975</v>
      </c>
    </row>
    <row r="143" spans="1:33" x14ac:dyDescent="0.3">
      <c r="A143" s="1" t="s">
        <v>836</v>
      </c>
      <c r="B143" s="34" t="s">
        <v>28</v>
      </c>
      <c r="C143" s="35" t="s">
        <v>249</v>
      </c>
      <c r="D143" s="34" t="s">
        <v>250</v>
      </c>
      <c r="E143" s="36" t="s">
        <v>251</v>
      </c>
      <c r="F143" s="34" t="s">
        <v>36</v>
      </c>
      <c r="G143" s="34" t="s">
        <v>32</v>
      </c>
      <c r="H143" s="34" t="s">
        <v>50</v>
      </c>
      <c r="I143" s="37">
        <f t="shared" si="62"/>
        <v>2956.203</v>
      </c>
      <c r="J143" s="37">
        <f t="shared" si="63"/>
        <v>2956.203</v>
      </c>
      <c r="K143" s="37">
        <f t="shared" si="64"/>
        <v>2956.203</v>
      </c>
      <c r="L143" s="37">
        <f t="shared" si="65"/>
        <v>2956.203</v>
      </c>
      <c r="M143" s="37">
        <f t="shared" si="66"/>
        <v>2956.203</v>
      </c>
      <c r="N143" s="37">
        <f t="shared" si="67"/>
        <v>2956.203</v>
      </c>
      <c r="O143" s="37">
        <f t="shared" si="68"/>
        <v>2956.203</v>
      </c>
      <c r="P143" s="37">
        <f t="shared" si="69"/>
        <v>2956.203</v>
      </c>
      <c r="Q143" s="37">
        <f t="shared" si="70"/>
        <v>2956.203</v>
      </c>
      <c r="R143" s="37">
        <f t="shared" si="71"/>
        <v>2956.203</v>
      </c>
      <c r="S143" s="37">
        <f t="shared" si="72"/>
        <v>2956.203</v>
      </c>
      <c r="T143" s="37">
        <f t="shared" si="73"/>
        <v>2956.203</v>
      </c>
      <c r="U143" s="37">
        <f t="shared" si="55"/>
        <v>35474.436000000009</v>
      </c>
      <c r="W143" s="38">
        <v>2870.1</v>
      </c>
      <c r="X143" s="39">
        <v>46810</v>
      </c>
      <c r="Y143" s="40" t="s">
        <v>51</v>
      </c>
      <c r="Z143" s="40"/>
      <c r="AA143" s="40" t="s">
        <v>45</v>
      </c>
      <c r="AB143" s="41">
        <v>0.03</v>
      </c>
      <c r="AD143" s="42" t="str">
        <f>C143&amp;A143</f>
        <v>TELEFONESOper</v>
      </c>
      <c r="AE143" s="42" t="str">
        <f>IFERROR(VLOOKUP(C143,[34]Planilha1!$B:$C,2,0),"Não se Aplica")</f>
        <v>Sim</v>
      </c>
      <c r="AF143" s="42" t="str">
        <f>VLOOKUP(AD143,[34]Planilha1!$H:$J,3,0)</f>
        <v>Não</v>
      </c>
      <c r="AG143" s="43">
        <f t="shared" si="48"/>
        <v>35474.436000000009</v>
      </c>
    </row>
    <row r="144" spans="1:33" x14ac:dyDescent="0.3">
      <c r="A144" s="1" t="s">
        <v>837</v>
      </c>
      <c r="B144" s="34" t="s">
        <v>28</v>
      </c>
      <c r="C144" s="35" t="s">
        <v>249</v>
      </c>
      <c r="D144" s="34" t="s">
        <v>250</v>
      </c>
      <c r="E144" s="36" t="s">
        <v>251</v>
      </c>
      <c r="F144" s="34" t="s">
        <v>34</v>
      </c>
      <c r="G144" s="34" t="s">
        <v>32</v>
      </c>
      <c r="H144" s="34" t="s">
        <v>50</v>
      </c>
      <c r="I144" s="37">
        <f t="shared" si="62"/>
        <v>22.732100000000003</v>
      </c>
      <c r="J144" s="37">
        <f t="shared" si="63"/>
        <v>22.732100000000003</v>
      </c>
      <c r="K144" s="37">
        <f t="shared" si="64"/>
        <v>22.732100000000003</v>
      </c>
      <c r="L144" s="37">
        <f t="shared" si="65"/>
        <v>22.732100000000003</v>
      </c>
      <c r="M144" s="37">
        <f t="shared" si="66"/>
        <v>22.732100000000003</v>
      </c>
      <c r="N144" s="37">
        <f t="shared" si="67"/>
        <v>22.732100000000003</v>
      </c>
      <c r="O144" s="37">
        <f t="shared" si="68"/>
        <v>22.732100000000003</v>
      </c>
      <c r="P144" s="37">
        <f t="shared" si="69"/>
        <v>22.732100000000003</v>
      </c>
      <c r="Q144" s="37">
        <f t="shared" si="70"/>
        <v>22.732100000000003</v>
      </c>
      <c r="R144" s="37">
        <f t="shared" si="71"/>
        <v>22.732100000000003</v>
      </c>
      <c r="S144" s="37">
        <f t="shared" si="72"/>
        <v>22.732100000000003</v>
      </c>
      <c r="T144" s="37">
        <f t="shared" si="73"/>
        <v>22.732100000000003</v>
      </c>
      <c r="U144" s="37">
        <f t="shared" si="55"/>
        <v>272.78520000000003</v>
      </c>
      <c r="W144" s="38">
        <v>22.07</v>
      </c>
      <c r="X144" s="39">
        <v>46810</v>
      </c>
      <c r="Y144" s="40" t="s">
        <v>51</v>
      </c>
      <c r="Z144" s="40"/>
      <c r="AA144" s="40" t="s">
        <v>45</v>
      </c>
      <c r="AB144" s="41">
        <v>0.03</v>
      </c>
      <c r="AD144" s="42" t="str">
        <f>C144&amp;A144</f>
        <v>TELEFONESAdm</v>
      </c>
      <c r="AE144" s="42" t="str">
        <f>IFERROR(VLOOKUP(C144,[34]Planilha1!$B:$C,2,0),"Não se Aplica")</f>
        <v>Sim</v>
      </c>
      <c r="AF144" s="42" t="str">
        <f>VLOOKUP(AD144,[34]Planilha1!$H:$J,3,0)</f>
        <v>Não</v>
      </c>
      <c r="AG144" s="43">
        <f t="shared" si="48"/>
        <v>272.78520000000003</v>
      </c>
    </row>
    <row r="145" spans="1:33" x14ac:dyDescent="0.3">
      <c r="A145" s="1" t="s">
        <v>838</v>
      </c>
      <c r="B145" s="34" t="s">
        <v>28</v>
      </c>
      <c r="C145" s="35" t="s">
        <v>249</v>
      </c>
      <c r="D145" s="34" t="s">
        <v>250</v>
      </c>
      <c r="E145" s="36" t="s">
        <v>251</v>
      </c>
      <c r="F145" s="34" t="s">
        <v>77</v>
      </c>
      <c r="G145" s="34" t="s">
        <v>32</v>
      </c>
      <c r="H145" s="34" t="s">
        <v>50</v>
      </c>
      <c r="I145" s="37">
        <f t="shared" si="62"/>
        <v>500.10620000000006</v>
      </c>
      <c r="J145" s="37">
        <f t="shared" si="63"/>
        <v>500.10620000000006</v>
      </c>
      <c r="K145" s="37">
        <f t="shared" si="64"/>
        <v>500.10620000000006</v>
      </c>
      <c r="L145" s="37">
        <f t="shared" si="65"/>
        <v>500.10620000000006</v>
      </c>
      <c r="M145" s="37">
        <f t="shared" si="66"/>
        <v>500.10620000000006</v>
      </c>
      <c r="N145" s="37">
        <f t="shared" si="67"/>
        <v>500.10620000000006</v>
      </c>
      <c r="O145" s="37">
        <f t="shared" si="68"/>
        <v>500.10620000000006</v>
      </c>
      <c r="P145" s="37">
        <f t="shared" si="69"/>
        <v>500.10620000000006</v>
      </c>
      <c r="Q145" s="37">
        <f t="shared" si="70"/>
        <v>500.10620000000006</v>
      </c>
      <c r="R145" s="37">
        <f t="shared" si="71"/>
        <v>500.10620000000006</v>
      </c>
      <c r="S145" s="37">
        <f t="shared" si="72"/>
        <v>500.10620000000006</v>
      </c>
      <c r="T145" s="37">
        <f t="shared" si="73"/>
        <v>500.10620000000006</v>
      </c>
      <c r="U145" s="37">
        <f t="shared" si="55"/>
        <v>6001.2744000000012</v>
      </c>
      <c r="W145" s="38">
        <v>485.54</v>
      </c>
      <c r="X145" s="39">
        <v>46810</v>
      </c>
      <c r="Y145" s="40" t="s">
        <v>51</v>
      </c>
      <c r="Z145" s="40"/>
      <c r="AA145" s="40" t="s">
        <v>45</v>
      </c>
      <c r="AB145" s="41">
        <v>0.03</v>
      </c>
      <c r="AD145" s="42" t="str">
        <f>C145&amp;A145</f>
        <v>TELEFONESCom</v>
      </c>
      <c r="AE145" s="42" t="str">
        <f>IFERROR(VLOOKUP(C145,[34]Planilha1!$B:$C,2,0),"Não se Aplica")</f>
        <v>Sim</v>
      </c>
      <c r="AF145" s="42" t="str">
        <f>VLOOKUP(AD145,[34]Planilha1!$H:$J,3,0)</f>
        <v>Não</v>
      </c>
      <c r="AG145" s="43">
        <f t="shared" si="48"/>
        <v>6001.2744000000012</v>
      </c>
    </row>
    <row r="146" spans="1:33" x14ac:dyDescent="0.3">
      <c r="A146" s="1" t="s">
        <v>837</v>
      </c>
      <c r="B146" s="34" t="s">
        <v>28</v>
      </c>
      <c r="C146" s="35" t="s">
        <v>249</v>
      </c>
      <c r="D146" s="34" t="s">
        <v>250</v>
      </c>
      <c r="E146" s="36" t="s">
        <v>251</v>
      </c>
      <c r="F146" s="34" t="s">
        <v>26</v>
      </c>
      <c r="G146" s="34" t="s">
        <v>32</v>
      </c>
      <c r="H146" s="34" t="s">
        <v>50</v>
      </c>
      <c r="I146" s="37">
        <f t="shared" si="62"/>
        <v>159.12470000000002</v>
      </c>
      <c r="J146" s="37">
        <f t="shared" si="63"/>
        <v>159.12470000000002</v>
      </c>
      <c r="K146" s="37">
        <f t="shared" si="64"/>
        <v>159.12470000000002</v>
      </c>
      <c r="L146" s="37">
        <f t="shared" si="65"/>
        <v>159.12470000000002</v>
      </c>
      <c r="M146" s="37">
        <f t="shared" si="66"/>
        <v>159.12470000000002</v>
      </c>
      <c r="N146" s="37">
        <f t="shared" si="67"/>
        <v>159.12470000000002</v>
      </c>
      <c r="O146" s="37">
        <f t="shared" si="68"/>
        <v>159.12470000000002</v>
      </c>
      <c r="P146" s="37">
        <f t="shared" si="69"/>
        <v>159.12470000000002</v>
      </c>
      <c r="Q146" s="37">
        <f t="shared" si="70"/>
        <v>159.12470000000002</v>
      </c>
      <c r="R146" s="37">
        <f t="shared" si="71"/>
        <v>159.12470000000002</v>
      </c>
      <c r="S146" s="37">
        <f t="shared" si="72"/>
        <v>159.12470000000002</v>
      </c>
      <c r="T146" s="37">
        <f t="shared" si="73"/>
        <v>159.12470000000002</v>
      </c>
      <c r="U146" s="37">
        <f t="shared" si="55"/>
        <v>1909.4964000000007</v>
      </c>
      <c r="W146" s="38">
        <v>154.49</v>
      </c>
      <c r="X146" s="39">
        <v>46810</v>
      </c>
      <c r="Y146" s="40" t="s">
        <v>51</v>
      </c>
      <c r="Z146" s="40"/>
      <c r="AA146" s="40" t="s">
        <v>45</v>
      </c>
      <c r="AB146" s="41">
        <v>0.03</v>
      </c>
      <c r="AD146" s="42" t="str">
        <f>C146&amp;A146</f>
        <v>TELEFONESAdm</v>
      </c>
      <c r="AE146" s="42" t="str">
        <f>IFERROR(VLOOKUP(C146,[34]Planilha1!$B:$C,2,0),"Não se Aplica")</f>
        <v>Sim</v>
      </c>
      <c r="AF146" s="42" t="str">
        <f>VLOOKUP(AD146,[34]Planilha1!$H:$J,3,0)</f>
        <v>Não</v>
      </c>
      <c r="AG146" s="43">
        <f t="shared" ref="AG146:AG209" si="74">IF(AF146="Sim", U146 * 0.9075, U146)</f>
        <v>1909.4964000000007</v>
      </c>
    </row>
    <row r="147" spans="1:33" x14ac:dyDescent="0.3">
      <c r="A147" s="1" t="s">
        <v>837</v>
      </c>
      <c r="B147" s="34" t="s">
        <v>28</v>
      </c>
      <c r="C147" s="35" t="s">
        <v>249</v>
      </c>
      <c r="D147" s="34" t="s">
        <v>250</v>
      </c>
      <c r="E147" s="36" t="s">
        <v>251</v>
      </c>
      <c r="F147" s="34" t="s">
        <v>236</v>
      </c>
      <c r="G147" s="34" t="s">
        <v>32</v>
      </c>
      <c r="H147" s="34" t="s">
        <v>50</v>
      </c>
      <c r="I147" s="37">
        <f t="shared" si="62"/>
        <v>204.5889</v>
      </c>
      <c r="J147" s="37">
        <f t="shared" si="63"/>
        <v>204.5889</v>
      </c>
      <c r="K147" s="37">
        <f t="shared" si="64"/>
        <v>204.5889</v>
      </c>
      <c r="L147" s="37">
        <f t="shared" si="65"/>
        <v>204.5889</v>
      </c>
      <c r="M147" s="37">
        <f t="shared" si="66"/>
        <v>204.5889</v>
      </c>
      <c r="N147" s="37">
        <f t="shared" si="67"/>
        <v>204.5889</v>
      </c>
      <c r="O147" s="37">
        <f t="shared" si="68"/>
        <v>204.5889</v>
      </c>
      <c r="P147" s="37">
        <f t="shared" si="69"/>
        <v>204.5889</v>
      </c>
      <c r="Q147" s="37">
        <f t="shared" si="70"/>
        <v>204.5889</v>
      </c>
      <c r="R147" s="37">
        <f t="shared" si="71"/>
        <v>204.5889</v>
      </c>
      <c r="S147" s="37">
        <f t="shared" si="72"/>
        <v>204.5889</v>
      </c>
      <c r="T147" s="37">
        <f t="shared" si="73"/>
        <v>204.5889</v>
      </c>
      <c r="U147" s="37">
        <f t="shared" si="55"/>
        <v>2455.0668000000001</v>
      </c>
      <c r="W147" s="38">
        <v>198.63</v>
      </c>
      <c r="X147" s="39">
        <v>46810</v>
      </c>
      <c r="Y147" s="40" t="s">
        <v>51</v>
      </c>
      <c r="Z147" s="40"/>
      <c r="AA147" s="40" t="s">
        <v>45</v>
      </c>
      <c r="AB147" s="41">
        <v>0.03</v>
      </c>
      <c r="AD147" s="42" t="str">
        <f>C147&amp;A147</f>
        <v>TELEFONESAdm</v>
      </c>
      <c r="AE147" s="42" t="str">
        <f>IFERROR(VLOOKUP(C147,[34]Planilha1!$B:$C,2,0),"Não se Aplica")</f>
        <v>Sim</v>
      </c>
      <c r="AF147" s="42" t="str">
        <f>VLOOKUP(AD147,[34]Planilha1!$H:$J,3,0)</f>
        <v>Não</v>
      </c>
      <c r="AG147" s="43">
        <f t="shared" si="74"/>
        <v>2455.0668000000001</v>
      </c>
    </row>
    <row r="148" spans="1:33" x14ac:dyDescent="0.3">
      <c r="A148" s="1" t="s">
        <v>836</v>
      </c>
      <c r="B148" s="34" t="s">
        <v>28</v>
      </c>
      <c r="C148" s="35" t="s">
        <v>249</v>
      </c>
      <c r="D148" s="34" t="s">
        <v>250</v>
      </c>
      <c r="E148" s="36" t="s">
        <v>251</v>
      </c>
      <c r="F148" s="29" t="s">
        <v>122</v>
      </c>
      <c r="G148" s="34" t="s">
        <v>32</v>
      </c>
      <c r="H148" s="34" t="s">
        <v>50</v>
      </c>
      <c r="I148" s="37">
        <f t="shared" si="62"/>
        <v>113.6605</v>
      </c>
      <c r="J148" s="37">
        <f t="shared" si="63"/>
        <v>113.6605</v>
      </c>
      <c r="K148" s="37">
        <f t="shared" si="64"/>
        <v>113.6605</v>
      </c>
      <c r="L148" s="37">
        <f t="shared" si="65"/>
        <v>113.6605</v>
      </c>
      <c r="M148" s="37">
        <f t="shared" si="66"/>
        <v>113.6605</v>
      </c>
      <c r="N148" s="37">
        <f t="shared" si="67"/>
        <v>113.6605</v>
      </c>
      <c r="O148" s="37">
        <f t="shared" si="68"/>
        <v>113.6605</v>
      </c>
      <c r="P148" s="37">
        <f t="shared" si="69"/>
        <v>113.6605</v>
      </c>
      <c r="Q148" s="37">
        <f t="shared" si="70"/>
        <v>113.6605</v>
      </c>
      <c r="R148" s="37">
        <f t="shared" si="71"/>
        <v>113.6605</v>
      </c>
      <c r="S148" s="37">
        <f t="shared" si="72"/>
        <v>113.6605</v>
      </c>
      <c r="T148" s="37">
        <f t="shared" si="73"/>
        <v>113.6605</v>
      </c>
      <c r="U148" s="37">
        <f t="shared" si="55"/>
        <v>1363.9259999999997</v>
      </c>
      <c r="W148" s="38">
        <v>110.35</v>
      </c>
      <c r="X148" s="39">
        <v>46810</v>
      </c>
      <c r="Y148" s="40" t="s">
        <v>51</v>
      </c>
      <c r="Z148" s="40"/>
      <c r="AA148" s="40" t="s">
        <v>45</v>
      </c>
      <c r="AB148" s="41">
        <v>0.03</v>
      </c>
      <c r="AD148" s="42" t="str">
        <f>C148&amp;A148</f>
        <v>TELEFONESOper</v>
      </c>
      <c r="AE148" s="42" t="str">
        <f>IFERROR(VLOOKUP(C148,[34]Planilha1!$B:$C,2,0),"Não se Aplica")</f>
        <v>Sim</v>
      </c>
      <c r="AF148" s="42" t="str">
        <f>VLOOKUP(AD148,[34]Planilha1!$H:$J,3,0)</f>
        <v>Não</v>
      </c>
      <c r="AG148" s="43">
        <f t="shared" si="74"/>
        <v>1363.9259999999997</v>
      </c>
    </row>
    <row r="149" spans="1:33" x14ac:dyDescent="0.3">
      <c r="A149" s="1" t="s">
        <v>837</v>
      </c>
      <c r="B149" s="34" t="s">
        <v>28</v>
      </c>
      <c r="C149" s="35" t="s">
        <v>249</v>
      </c>
      <c r="D149" s="34" t="s">
        <v>250</v>
      </c>
      <c r="E149" s="36" t="s">
        <v>251</v>
      </c>
      <c r="F149" s="34" t="s">
        <v>253</v>
      </c>
      <c r="G149" s="34" t="s">
        <v>32</v>
      </c>
      <c r="H149" s="34" t="s">
        <v>50</v>
      </c>
      <c r="I149" s="37">
        <f t="shared" si="62"/>
        <v>295.51730000000003</v>
      </c>
      <c r="J149" s="37">
        <f t="shared" si="63"/>
        <v>295.51730000000003</v>
      </c>
      <c r="K149" s="37">
        <f t="shared" si="64"/>
        <v>295.51730000000003</v>
      </c>
      <c r="L149" s="37">
        <f t="shared" si="65"/>
        <v>295.51730000000003</v>
      </c>
      <c r="M149" s="37">
        <f t="shared" si="66"/>
        <v>295.51730000000003</v>
      </c>
      <c r="N149" s="37">
        <f t="shared" si="67"/>
        <v>295.51730000000003</v>
      </c>
      <c r="O149" s="37">
        <f t="shared" si="68"/>
        <v>295.51730000000003</v>
      </c>
      <c r="P149" s="37">
        <f t="shared" si="69"/>
        <v>295.51730000000003</v>
      </c>
      <c r="Q149" s="37">
        <f t="shared" si="70"/>
        <v>295.51730000000003</v>
      </c>
      <c r="R149" s="37">
        <f t="shared" si="71"/>
        <v>295.51730000000003</v>
      </c>
      <c r="S149" s="37">
        <f t="shared" si="72"/>
        <v>295.51730000000003</v>
      </c>
      <c r="T149" s="37">
        <f t="shared" si="73"/>
        <v>295.51730000000003</v>
      </c>
      <c r="U149" s="37">
        <f t="shared" si="55"/>
        <v>3546.2076000000002</v>
      </c>
      <c r="W149" s="38">
        <v>286.91000000000003</v>
      </c>
      <c r="X149" s="39">
        <v>46810</v>
      </c>
      <c r="Y149" s="40" t="s">
        <v>51</v>
      </c>
      <c r="Z149" s="40"/>
      <c r="AA149" s="40" t="s">
        <v>45</v>
      </c>
      <c r="AB149" s="41">
        <v>0.03</v>
      </c>
      <c r="AD149" s="42" t="str">
        <f>C149&amp;A149</f>
        <v>TELEFONESAdm</v>
      </c>
      <c r="AE149" s="42" t="str">
        <f>IFERROR(VLOOKUP(C149,[34]Planilha1!$B:$C,2,0),"Não se Aplica")</f>
        <v>Sim</v>
      </c>
      <c r="AF149" s="42" t="str">
        <f>VLOOKUP(AD149,[34]Planilha1!$H:$J,3,0)</f>
        <v>Não</v>
      </c>
      <c r="AG149" s="43">
        <f t="shared" si="74"/>
        <v>3546.2076000000002</v>
      </c>
    </row>
    <row r="150" spans="1:33" x14ac:dyDescent="0.3">
      <c r="A150" s="1" t="s">
        <v>837</v>
      </c>
      <c r="B150" s="34" t="s">
        <v>28</v>
      </c>
      <c r="C150" s="35" t="s">
        <v>249</v>
      </c>
      <c r="D150" s="34" t="s">
        <v>250</v>
      </c>
      <c r="E150" s="36" t="s">
        <v>251</v>
      </c>
      <c r="F150" s="34" t="s">
        <v>21</v>
      </c>
      <c r="G150" s="34" t="s">
        <v>32</v>
      </c>
      <c r="H150" s="34" t="s">
        <v>50</v>
      </c>
      <c r="I150" s="37">
        <f t="shared" si="62"/>
        <v>318.25970000000001</v>
      </c>
      <c r="J150" s="37">
        <f t="shared" si="63"/>
        <v>318.25970000000001</v>
      </c>
      <c r="K150" s="37">
        <f t="shared" si="64"/>
        <v>318.25970000000001</v>
      </c>
      <c r="L150" s="37">
        <f t="shared" si="65"/>
        <v>318.25970000000001</v>
      </c>
      <c r="M150" s="37">
        <f t="shared" si="66"/>
        <v>318.25970000000001</v>
      </c>
      <c r="N150" s="37">
        <f t="shared" si="67"/>
        <v>318.25970000000001</v>
      </c>
      <c r="O150" s="37">
        <f t="shared" si="68"/>
        <v>318.25970000000001</v>
      </c>
      <c r="P150" s="37">
        <f t="shared" si="69"/>
        <v>318.25970000000001</v>
      </c>
      <c r="Q150" s="37">
        <f t="shared" si="70"/>
        <v>318.25970000000001</v>
      </c>
      <c r="R150" s="37">
        <f t="shared" si="71"/>
        <v>318.25970000000001</v>
      </c>
      <c r="S150" s="37">
        <f t="shared" si="72"/>
        <v>318.25970000000001</v>
      </c>
      <c r="T150" s="37">
        <f t="shared" si="73"/>
        <v>318.25970000000001</v>
      </c>
      <c r="U150" s="37">
        <f t="shared" si="55"/>
        <v>3819.1164000000003</v>
      </c>
      <c r="W150" s="38">
        <v>308.99</v>
      </c>
      <c r="X150" s="39">
        <v>46810</v>
      </c>
      <c r="Y150" s="40" t="s">
        <v>51</v>
      </c>
      <c r="Z150" s="40"/>
      <c r="AA150" s="40" t="s">
        <v>45</v>
      </c>
      <c r="AB150" s="41">
        <v>0.03</v>
      </c>
      <c r="AD150" s="42" t="str">
        <f>C150&amp;A150</f>
        <v>TELEFONESAdm</v>
      </c>
      <c r="AE150" s="42" t="str">
        <f>IFERROR(VLOOKUP(C150,[34]Planilha1!$B:$C,2,0),"Não se Aplica")</f>
        <v>Sim</v>
      </c>
      <c r="AF150" s="42" t="str">
        <f>VLOOKUP(AD150,[34]Planilha1!$H:$J,3,0)</f>
        <v>Não</v>
      </c>
      <c r="AG150" s="43">
        <f t="shared" si="74"/>
        <v>3819.1164000000003</v>
      </c>
    </row>
    <row r="151" spans="1:33" x14ac:dyDescent="0.3">
      <c r="A151" s="1" t="s">
        <v>837</v>
      </c>
      <c r="B151" s="34" t="s">
        <v>28</v>
      </c>
      <c r="C151" s="35" t="s">
        <v>249</v>
      </c>
      <c r="D151" s="34" t="s">
        <v>250</v>
      </c>
      <c r="E151" s="36" t="s">
        <v>251</v>
      </c>
      <c r="F151" s="34" t="s">
        <v>254</v>
      </c>
      <c r="G151" s="34" t="s">
        <v>32</v>
      </c>
      <c r="H151" s="34" t="s">
        <v>50</v>
      </c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37">
        <f t="shared" ref="U151:U214" si="75">SUM(I151:T151)</f>
        <v>0</v>
      </c>
      <c r="W151" s="38">
        <v>88.28</v>
      </c>
      <c r="X151" s="39">
        <v>46810</v>
      </c>
      <c r="Y151" s="40" t="s">
        <v>51</v>
      </c>
      <c r="Z151" s="40"/>
      <c r="AA151" s="40" t="s">
        <v>45</v>
      </c>
      <c r="AB151" s="41">
        <v>0.03</v>
      </c>
      <c r="AD151" s="42" t="str">
        <f>C151&amp;A151</f>
        <v>TELEFONESAdm</v>
      </c>
      <c r="AE151" s="42" t="str">
        <f>IFERROR(VLOOKUP(C151,[34]Planilha1!$B:$C,2,0),"Não se Aplica")</f>
        <v>Sim</v>
      </c>
      <c r="AF151" s="42" t="str">
        <f>VLOOKUP(AD151,[34]Planilha1!$H:$J,3,0)</f>
        <v>Não</v>
      </c>
      <c r="AG151" s="43">
        <f t="shared" si="74"/>
        <v>0</v>
      </c>
    </row>
    <row r="152" spans="1:33" x14ac:dyDescent="0.3">
      <c r="A152" s="1" t="s">
        <v>837</v>
      </c>
      <c r="B152" s="34" t="s">
        <v>28</v>
      </c>
      <c r="C152" s="35" t="s">
        <v>249</v>
      </c>
      <c r="D152" s="34" t="s">
        <v>250</v>
      </c>
      <c r="E152" s="36" t="s">
        <v>251</v>
      </c>
      <c r="F152" s="34" t="s">
        <v>49</v>
      </c>
      <c r="G152" s="34" t="s">
        <v>32</v>
      </c>
      <c r="H152" s="34" t="s">
        <v>50</v>
      </c>
      <c r="I152" s="37">
        <f t="shared" ref="I152:I179" si="76">IF($Y152="janeiro",$W152*(1+$AB152),$W152)</f>
        <v>410.88760000000002</v>
      </c>
      <c r="J152" s="37">
        <f t="shared" ref="J152:J179" si="77">IF($Y152="fevereiro",$I152*(1+$AB152),$I152)</f>
        <v>410.88760000000002</v>
      </c>
      <c r="K152" s="37">
        <f t="shared" ref="K152:K179" si="78">IF($Y152="março",$J152*(1+$AB152),$J152)</f>
        <v>410.88760000000002</v>
      </c>
      <c r="L152" s="37">
        <f t="shared" ref="L152:L179" si="79">IF($Y152="abril",$K152*(1+$AB152),$K152)</f>
        <v>410.88760000000002</v>
      </c>
      <c r="M152" s="37">
        <f t="shared" ref="M152:M179" si="80">IF($Y152="maio",$L152*(1+$AB152),$L152)</f>
        <v>410.88760000000002</v>
      </c>
      <c r="N152" s="37">
        <f t="shared" ref="N152:N179" si="81">IF($Y152="junho",$M152*(1+$AB152),$M152)</f>
        <v>410.88760000000002</v>
      </c>
      <c r="O152" s="37">
        <f t="shared" ref="O152:O179" si="82">IF($Y152="julho",$N152*(1+$AB152),$N152)</f>
        <v>410.88760000000002</v>
      </c>
      <c r="P152" s="37">
        <f t="shared" ref="P152:P179" si="83">IF($Y152="agosto",$O152*(1+$AB152),$O152)</f>
        <v>410.88760000000002</v>
      </c>
      <c r="Q152" s="37">
        <f t="shared" ref="Q152:Q179" si="84">IF($Y152="setembro",$P152*(1+$AB152),$P152)</f>
        <v>410.88760000000002</v>
      </c>
      <c r="R152" s="37">
        <f t="shared" ref="R152:R179" si="85">IF($Y152="outubro",$Q152*(1+$AB152),$Q152)</f>
        <v>410.88760000000002</v>
      </c>
      <c r="S152" s="37">
        <f t="shared" ref="S152:S179" si="86">IF($Y152="novembro",$R152*(1+$AB152),$R152)</f>
        <v>410.88760000000002</v>
      </c>
      <c r="T152" s="37">
        <f t="shared" ref="T152:T179" si="87">IF($Y152="dezembro",$S152*(1+$AB152),$S152)</f>
        <v>410.88760000000002</v>
      </c>
      <c r="U152" s="37">
        <f t="shared" si="75"/>
        <v>4930.6512000000002</v>
      </c>
      <c r="W152" s="38">
        <v>398.92</v>
      </c>
      <c r="X152" s="39">
        <v>46810</v>
      </c>
      <c r="Y152" s="40" t="s">
        <v>51</v>
      </c>
      <c r="Z152" s="40"/>
      <c r="AA152" s="40" t="s">
        <v>45</v>
      </c>
      <c r="AB152" s="41">
        <v>0.03</v>
      </c>
      <c r="AD152" s="42" t="str">
        <f>C152&amp;A152</f>
        <v>TELEFONESAdm</v>
      </c>
      <c r="AE152" s="42" t="str">
        <f>IFERROR(VLOOKUP(C152,[34]Planilha1!$B:$C,2,0),"Não se Aplica")</f>
        <v>Sim</v>
      </c>
      <c r="AF152" s="42" t="str">
        <f>VLOOKUP(AD152,[34]Planilha1!$H:$J,3,0)</f>
        <v>Não</v>
      </c>
      <c r="AG152" s="43">
        <f t="shared" si="74"/>
        <v>4930.6512000000002</v>
      </c>
    </row>
    <row r="153" spans="1:33" x14ac:dyDescent="0.3">
      <c r="A153" s="1" t="s">
        <v>837</v>
      </c>
      <c r="B153" s="34" t="s">
        <v>28</v>
      </c>
      <c r="C153" s="35" t="s">
        <v>249</v>
      </c>
      <c r="D153" s="34" t="s">
        <v>250</v>
      </c>
      <c r="E153" s="36" t="s">
        <v>251</v>
      </c>
      <c r="F153" s="34" t="s">
        <v>127</v>
      </c>
      <c r="G153" s="34" t="s">
        <v>32</v>
      </c>
      <c r="H153" s="34" t="s">
        <v>50</v>
      </c>
      <c r="I153" s="37">
        <f t="shared" si="76"/>
        <v>68.186000000000007</v>
      </c>
      <c r="J153" s="37">
        <f t="shared" si="77"/>
        <v>68.186000000000007</v>
      </c>
      <c r="K153" s="37">
        <f t="shared" si="78"/>
        <v>68.186000000000007</v>
      </c>
      <c r="L153" s="37">
        <f t="shared" si="79"/>
        <v>68.186000000000007</v>
      </c>
      <c r="M153" s="37">
        <f t="shared" si="80"/>
        <v>68.186000000000007</v>
      </c>
      <c r="N153" s="37">
        <f t="shared" si="81"/>
        <v>68.186000000000007</v>
      </c>
      <c r="O153" s="37">
        <f t="shared" si="82"/>
        <v>68.186000000000007</v>
      </c>
      <c r="P153" s="37">
        <f t="shared" si="83"/>
        <v>68.186000000000007</v>
      </c>
      <c r="Q153" s="37">
        <f t="shared" si="84"/>
        <v>68.186000000000007</v>
      </c>
      <c r="R153" s="37">
        <f t="shared" si="85"/>
        <v>68.186000000000007</v>
      </c>
      <c r="S153" s="37">
        <f t="shared" si="86"/>
        <v>68.186000000000007</v>
      </c>
      <c r="T153" s="37">
        <f t="shared" si="87"/>
        <v>68.186000000000007</v>
      </c>
      <c r="U153" s="37">
        <f t="shared" si="75"/>
        <v>818.23200000000031</v>
      </c>
      <c r="W153" s="38">
        <v>66.2</v>
      </c>
      <c r="X153" s="39">
        <v>46810</v>
      </c>
      <c r="Y153" s="40" t="s">
        <v>51</v>
      </c>
      <c r="Z153" s="40"/>
      <c r="AA153" s="40" t="s">
        <v>45</v>
      </c>
      <c r="AB153" s="41">
        <v>0.03</v>
      </c>
      <c r="AD153" s="42" t="str">
        <f>C153&amp;A153</f>
        <v>TELEFONESAdm</v>
      </c>
      <c r="AE153" s="42" t="str">
        <f>IFERROR(VLOOKUP(C153,[34]Planilha1!$B:$C,2,0),"Não se Aplica")</f>
        <v>Sim</v>
      </c>
      <c r="AF153" s="42" t="str">
        <f>VLOOKUP(AD153,[34]Planilha1!$H:$J,3,0)</f>
        <v>Não</v>
      </c>
      <c r="AG153" s="43">
        <f t="shared" si="74"/>
        <v>818.23200000000031</v>
      </c>
    </row>
    <row r="154" spans="1:33" x14ac:dyDescent="0.3">
      <c r="A154" s="1" t="s">
        <v>837</v>
      </c>
      <c r="B154" s="34" t="s">
        <v>28</v>
      </c>
      <c r="C154" s="35" t="s">
        <v>240</v>
      </c>
      <c r="D154" s="34" t="s">
        <v>255</v>
      </c>
      <c r="E154" s="36" t="s">
        <v>256</v>
      </c>
      <c r="F154" s="34" t="s">
        <v>49</v>
      </c>
      <c r="G154" s="34" t="s">
        <v>32</v>
      </c>
      <c r="H154" s="34" t="s">
        <v>50</v>
      </c>
      <c r="I154" s="37">
        <f t="shared" si="76"/>
        <v>149.72999999999999</v>
      </c>
      <c r="J154" s="37">
        <f t="shared" si="77"/>
        <v>149.72999999999999</v>
      </c>
      <c r="K154" s="37">
        <f t="shared" si="78"/>
        <v>149.72999999999999</v>
      </c>
      <c r="L154" s="37">
        <f t="shared" si="79"/>
        <v>149.72999999999999</v>
      </c>
      <c r="M154" s="37">
        <f t="shared" si="80"/>
        <v>149.72999999999999</v>
      </c>
      <c r="N154" s="37">
        <f t="shared" si="81"/>
        <v>149.72999999999999</v>
      </c>
      <c r="O154" s="37">
        <f t="shared" si="82"/>
        <v>154.22190000000001</v>
      </c>
      <c r="P154" s="37">
        <f t="shared" si="83"/>
        <v>154.22190000000001</v>
      </c>
      <c r="Q154" s="37">
        <f t="shared" si="84"/>
        <v>154.22190000000001</v>
      </c>
      <c r="R154" s="37">
        <f t="shared" si="85"/>
        <v>154.22190000000001</v>
      </c>
      <c r="S154" s="37">
        <f t="shared" si="86"/>
        <v>154.22190000000001</v>
      </c>
      <c r="T154" s="37">
        <f t="shared" si="87"/>
        <v>154.22190000000001</v>
      </c>
      <c r="U154" s="37">
        <f t="shared" si="75"/>
        <v>1823.7114000000001</v>
      </c>
      <c r="V154" s="6"/>
      <c r="W154" s="38">
        <v>149.72999999999999</v>
      </c>
      <c r="X154" s="39">
        <v>45891</v>
      </c>
      <c r="Y154" s="40" t="s">
        <v>102</v>
      </c>
      <c r="Z154" s="40" t="s">
        <v>55</v>
      </c>
      <c r="AA154" s="40" t="s">
        <v>45</v>
      </c>
      <c r="AB154" s="41">
        <v>0.03</v>
      </c>
      <c r="AD154" s="42" t="str">
        <f>C154&amp;A154</f>
        <v>INTERNET/COMUNICACOESAdm</v>
      </c>
      <c r="AE154" s="42" t="str">
        <f>IFERROR(VLOOKUP(C154,[34]Planilha1!$B:$C,2,0),"Não se Aplica")</f>
        <v>Sim</v>
      </c>
      <c r="AF154" s="42" t="str">
        <f>VLOOKUP(AD154,[34]Planilha1!$H:$J,3,0)</f>
        <v>Não</v>
      </c>
      <c r="AG154" s="43">
        <f t="shared" si="74"/>
        <v>1823.7114000000001</v>
      </c>
    </row>
    <row r="155" spans="1:33" x14ac:dyDescent="0.3">
      <c r="A155" s="1" t="s">
        <v>837</v>
      </c>
      <c r="B155" s="34" t="s">
        <v>28</v>
      </c>
      <c r="C155" s="35" t="s">
        <v>240</v>
      </c>
      <c r="D155" s="34" t="s">
        <v>257</v>
      </c>
      <c r="E155" s="36" t="s">
        <v>256</v>
      </c>
      <c r="F155" s="34" t="s">
        <v>49</v>
      </c>
      <c r="G155" s="34" t="s">
        <v>32</v>
      </c>
      <c r="H155" s="34" t="s">
        <v>50</v>
      </c>
      <c r="I155" s="37">
        <f t="shared" si="76"/>
        <v>290.7</v>
      </c>
      <c r="J155" s="37">
        <f t="shared" si="77"/>
        <v>290.7</v>
      </c>
      <c r="K155" s="37">
        <f t="shared" si="78"/>
        <v>290.7</v>
      </c>
      <c r="L155" s="37">
        <f t="shared" si="79"/>
        <v>290.7</v>
      </c>
      <c r="M155" s="37">
        <f t="shared" si="80"/>
        <v>290.7</v>
      </c>
      <c r="N155" s="37">
        <f t="shared" si="81"/>
        <v>290.7</v>
      </c>
      <c r="O155" s="37">
        <f t="shared" si="82"/>
        <v>299.42099999999999</v>
      </c>
      <c r="P155" s="37">
        <f t="shared" si="83"/>
        <v>299.42099999999999</v>
      </c>
      <c r="Q155" s="37">
        <f t="shared" si="84"/>
        <v>299.42099999999999</v>
      </c>
      <c r="R155" s="37">
        <f t="shared" si="85"/>
        <v>299.42099999999999</v>
      </c>
      <c r="S155" s="37">
        <f t="shared" si="86"/>
        <v>299.42099999999999</v>
      </c>
      <c r="T155" s="37">
        <f t="shared" si="87"/>
        <v>299.42099999999999</v>
      </c>
      <c r="U155" s="37">
        <f t="shared" si="75"/>
        <v>3540.7259999999992</v>
      </c>
      <c r="W155" s="51">
        <v>290.7</v>
      </c>
      <c r="X155" s="39">
        <v>45891</v>
      </c>
      <c r="Y155" s="40" t="s">
        <v>102</v>
      </c>
      <c r="Z155" s="40" t="s">
        <v>55</v>
      </c>
      <c r="AA155" s="40" t="s">
        <v>45</v>
      </c>
      <c r="AB155" s="41">
        <v>0.03</v>
      </c>
      <c r="AD155" s="42" t="str">
        <f>C155&amp;A155</f>
        <v>INTERNET/COMUNICACOESAdm</v>
      </c>
      <c r="AE155" s="42" t="str">
        <f>IFERROR(VLOOKUP(C155,[34]Planilha1!$B:$C,2,0),"Não se Aplica")</f>
        <v>Sim</v>
      </c>
      <c r="AF155" s="42" t="str">
        <f>VLOOKUP(AD155,[34]Planilha1!$H:$J,3,0)</f>
        <v>Não</v>
      </c>
      <c r="AG155" s="43">
        <f t="shared" si="74"/>
        <v>3540.7259999999992</v>
      </c>
    </row>
    <row r="156" spans="1:33" x14ac:dyDescent="0.3">
      <c r="A156" s="1" t="s">
        <v>837</v>
      </c>
      <c r="B156" s="34" t="s">
        <v>28</v>
      </c>
      <c r="C156" s="35" t="s">
        <v>38</v>
      </c>
      <c r="D156" s="34" t="s">
        <v>258</v>
      </c>
      <c r="E156" s="36" t="s">
        <v>256</v>
      </c>
      <c r="F156" s="34" t="s">
        <v>49</v>
      </c>
      <c r="G156" s="34" t="s">
        <v>32</v>
      </c>
      <c r="H156" s="34" t="s">
        <v>50</v>
      </c>
      <c r="I156" s="37">
        <f t="shared" si="76"/>
        <v>919.75</v>
      </c>
      <c r="J156" s="37">
        <f t="shared" si="77"/>
        <v>919.75</v>
      </c>
      <c r="K156" s="37">
        <f t="shared" si="78"/>
        <v>919.75</v>
      </c>
      <c r="L156" s="37">
        <f t="shared" si="79"/>
        <v>919.75</v>
      </c>
      <c r="M156" s="37">
        <f t="shared" si="80"/>
        <v>919.75</v>
      </c>
      <c r="N156" s="37">
        <f t="shared" si="81"/>
        <v>919.75</v>
      </c>
      <c r="O156" s="37">
        <f t="shared" si="82"/>
        <v>947.34249999999997</v>
      </c>
      <c r="P156" s="37">
        <f t="shared" si="83"/>
        <v>947.34249999999997</v>
      </c>
      <c r="Q156" s="37">
        <f t="shared" si="84"/>
        <v>947.34249999999997</v>
      </c>
      <c r="R156" s="37">
        <f t="shared" si="85"/>
        <v>947.34249999999997</v>
      </c>
      <c r="S156" s="37">
        <f t="shared" si="86"/>
        <v>947.34249999999997</v>
      </c>
      <c r="T156" s="37">
        <f t="shared" si="87"/>
        <v>947.34249999999997</v>
      </c>
      <c r="U156" s="37">
        <f t="shared" si="75"/>
        <v>11202.555000000002</v>
      </c>
      <c r="V156" s="6"/>
      <c r="W156" s="51">
        <v>919.75</v>
      </c>
      <c r="X156" s="39">
        <v>45891</v>
      </c>
      <c r="Y156" s="40" t="s">
        <v>102</v>
      </c>
      <c r="Z156" s="40" t="s">
        <v>55</v>
      </c>
      <c r="AA156" s="40" t="s">
        <v>45</v>
      </c>
      <c r="AB156" s="41">
        <v>0.03</v>
      </c>
      <c r="AD156" s="42" t="str">
        <f>C156&amp;A156</f>
        <v>ALUGUEIS DE EQUIPAMENTOSAdm</v>
      </c>
      <c r="AE156" s="42" t="str">
        <f>IFERROR(VLOOKUP(C156,[34]Planilha1!$B:$C,2,0),"Não se Aplica")</f>
        <v>Sim</v>
      </c>
      <c r="AF156" s="42" t="str">
        <f>VLOOKUP(AD156,[34]Planilha1!$H:$J,3,0)</f>
        <v>Sim</v>
      </c>
      <c r="AG156" s="43">
        <f t="shared" si="74"/>
        <v>10166.318662500002</v>
      </c>
    </row>
    <row r="157" spans="1:33" x14ac:dyDescent="0.3">
      <c r="A157" s="1" t="s">
        <v>836</v>
      </c>
      <c r="B157" s="34" t="s">
        <v>20</v>
      </c>
      <c r="C157" s="35" t="s">
        <v>240</v>
      </c>
      <c r="D157" s="34" t="s">
        <v>259</v>
      </c>
      <c r="E157" s="36" t="s">
        <v>256</v>
      </c>
      <c r="F157" s="34" t="s">
        <v>36</v>
      </c>
      <c r="G157" s="34" t="s">
        <v>32</v>
      </c>
      <c r="H157" s="34" t="s">
        <v>50</v>
      </c>
      <c r="I157" s="37">
        <f t="shared" si="76"/>
        <v>98.94</v>
      </c>
      <c r="J157" s="37">
        <f t="shared" si="77"/>
        <v>98.94</v>
      </c>
      <c r="K157" s="37">
        <f t="shared" si="78"/>
        <v>98.94</v>
      </c>
      <c r="L157" s="37">
        <f t="shared" si="79"/>
        <v>98.94</v>
      </c>
      <c r="M157" s="37">
        <f t="shared" si="80"/>
        <v>98.94</v>
      </c>
      <c r="N157" s="37">
        <f t="shared" si="81"/>
        <v>98.94</v>
      </c>
      <c r="O157" s="37">
        <f t="shared" si="82"/>
        <v>101.90819999999999</v>
      </c>
      <c r="P157" s="37">
        <f t="shared" si="83"/>
        <v>101.90819999999999</v>
      </c>
      <c r="Q157" s="37">
        <f t="shared" si="84"/>
        <v>101.90819999999999</v>
      </c>
      <c r="R157" s="37">
        <f t="shared" si="85"/>
        <v>101.90819999999999</v>
      </c>
      <c r="S157" s="37">
        <f t="shared" si="86"/>
        <v>101.90819999999999</v>
      </c>
      <c r="T157" s="37">
        <f t="shared" si="87"/>
        <v>101.90819999999999</v>
      </c>
      <c r="U157" s="37">
        <f t="shared" si="75"/>
        <v>1205.0891999999999</v>
      </c>
      <c r="V157" s="6"/>
      <c r="W157" s="51">
        <v>98.94</v>
      </c>
      <c r="X157" s="39">
        <v>45891</v>
      </c>
      <c r="Y157" s="40" t="s">
        <v>102</v>
      </c>
      <c r="Z157" s="40" t="s">
        <v>55</v>
      </c>
      <c r="AA157" s="40" t="s">
        <v>45</v>
      </c>
      <c r="AB157" s="41">
        <v>0.03</v>
      </c>
      <c r="AD157" s="42" t="str">
        <f>C157&amp;A157</f>
        <v>INTERNET/COMUNICACOESOper</v>
      </c>
      <c r="AE157" s="42" t="str">
        <f>IFERROR(VLOOKUP(C157,[34]Planilha1!$B:$C,2,0),"Não se Aplica")</f>
        <v>Sim</v>
      </c>
      <c r="AF157" s="42" t="str">
        <f>VLOOKUP(AD157,[34]Planilha1!$H:$J,3,0)</f>
        <v>Não</v>
      </c>
      <c r="AG157" s="43">
        <f t="shared" si="74"/>
        <v>1205.0891999999999</v>
      </c>
    </row>
    <row r="158" spans="1:33" x14ac:dyDescent="0.3">
      <c r="A158" s="1" t="s">
        <v>836</v>
      </c>
      <c r="B158" s="34" t="s">
        <v>20</v>
      </c>
      <c r="C158" s="35" t="s">
        <v>240</v>
      </c>
      <c r="D158" s="34" t="s">
        <v>260</v>
      </c>
      <c r="E158" s="36" t="s">
        <v>256</v>
      </c>
      <c r="F158" s="34" t="s">
        <v>36</v>
      </c>
      <c r="G158" s="34" t="s">
        <v>32</v>
      </c>
      <c r="H158" s="34" t="s">
        <v>50</v>
      </c>
      <c r="I158" s="37">
        <f t="shared" si="76"/>
        <v>117.07</v>
      </c>
      <c r="J158" s="37">
        <f t="shared" si="77"/>
        <v>117.07</v>
      </c>
      <c r="K158" s="37">
        <f t="shared" si="78"/>
        <v>117.07</v>
      </c>
      <c r="L158" s="37">
        <f t="shared" si="79"/>
        <v>117.07</v>
      </c>
      <c r="M158" s="37">
        <f t="shared" si="80"/>
        <v>117.07</v>
      </c>
      <c r="N158" s="37">
        <f t="shared" si="81"/>
        <v>117.07</v>
      </c>
      <c r="O158" s="37">
        <f t="shared" si="82"/>
        <v>120.5821</v>
      </c>
      <c r="P158" s="37">
        <f t="shared" si="83"/>
        <v>120.5821</v>
      </c>
      <c r="Q158" s="37">
        <f t="shared" si="84"/>
        <v>120.5821</v>
      </c>
      <c r="R158" s="37">
        <f t="shared" si="85"/>
        <v>120.5821</v>
      </c>
      <c r="S158" s="37">
        <f t="shared" si="86"/>
        <v>120.5821</v>
      </c>
      <c r="T158" s="37">
        <f t="shared" si="87"/>
        <v>120.5821</v>
      </c>
      <c r="U158" s="37">
        <f t="shared" si="75"/>
        <v>1425.9126000000001</v>
      </c>
      <c r="W158" s="51">
        <v>117.07</v>
      </c>
      <c r="X158" s="39">
        <v>45891</v>
      </c>
      <c r="Y158" s="40" t="s">
        <v>102</v>
      </c>
      <c r="Z158" s="40" t="s">
        <v>55</v>
      </c>
      <c r="AA158" s="40" t="s">
        <v>45</v>
      </c>
      <c r="AB158" s="41">
        <v>0.03</v>
      </c>
      <c r="AD158" s="42" t="str">
        <f>C158&amp;A158</f>
        <v>INTERNET/COMUNICACOESOper</v>
      </c>
      <c r="AE158" s="42" t="str">
        <f>IFERROR(VLOOKUP(C158,[34]Planilha1!$B:$C,2,0),"Não se Aplica")</f>
        <v>Sim</v>
      </c>
      <c r="AF158" s="42" t="str">
        <f>VLOOKUP(AD158,[34]Planilha1!$H:$J,3,0)</f>
        <v>Não</v>
      </c>
      <c r="AG158" s="43">
        <f t="shared" si="74"/>
        <v>1425.9126000000001</v>
      </c>
    </row>
    <row r="159" spans="1:33" x14ac:dyDescent="0.3">
      <c r="A159" s="1" t="s">
        <v>836</v>
      </c>
      <c r="B159" s="34" t="s">
        <v>20</v>
      </c>
      <c r="C159" s="35" t="s">
        <v>38</v>
      </c>
      <c r="D159" s="34" t="s">
        <v>261</v>
      </c>
      <c r="E159" s="36" t="s">
        <v>256</v>
      </c>
      <c r="F159" s="34" t="s">
        <v>36</v>
      </c>
      <c r="G159" s="34" t="s">
        <v>32</v>
      </c>
      <c r="H159" s="34" t="s">
        <v>50</v>
      </c>
      <c r="I159" s="37">
        <f t="shared" si="76"/>
        <v>607.80999999999995</v>
      </c>
      <c r="J159" s="37">
        <f t="shared" si="77"/>
        <v>607.80999999999995</v>
      </c>
      <c r="K159" s="37">
        <f t="shared" si="78"/>
        <v>607.80999999999995</v>
      </c>
      <c r="L159" s="37">
        <f t="shared" si="79"/>
        <v>607.80999999999995</v>
      </c>
      <c r="M159" s="37">
        <f t="shared" si="80"/>
        <v>607.80999999999995</v>
      </c>
      <c r="N159" s="37">
        <f t="shared" si="81"/>
        <v>607.80999999999995</v>
      </c>
      <c r="O159" s="37">
        <f t="shared" si="82"/>
        <v>626.04429999999991</v>
      </c>
      <c r="P159" s="37">
        <f t="shared" si="83"/>
        <v>626.04429999999991</v>
      </c>
      <c r="Q159" s="37">
        <f t="shared" si="84"/>
        <v>626.04429999999991</v>
      </c>
      <c r="R159" s="37">
        <f t="shared" si="85"/>
        <v>626.04429999999991</v>
      </c>
      <c r="S159" s="37">
        <f t="shared" si="86"/>
        <v>626.04429999999991</v>
      </c>
      <c r="T159" s="37">
        <f t="shared" si="87"/>
        <v>626.04429999999991</v>
      </c>
      <c r="U159" s="37">
        <f t="shared" si="75"/>
        <v>7403.1257999999971</v>
      </c>
      <c r="V159" s="6"/>
      <c r="W159" s="51">
        <v>607.80999999999995</v>
      </c>
      <c r="X159" s="39">
        <v>45891</v>
      </c>
      <c r="Y159" s="40" t="s">
        <v>102</v>
      </c>
      <c r="Z159" s="40" t="s">
        <v>55</v>
      </c>
      <c r="AA159" s="40" t="s">
        <v>45</v>
      </c>
      <c r="AB159" s="41">
        <v>0.03</v>
      </c>
      <c r="AD159" s="42" t="str">
        <f>C159&amp;A159</f>
        <v>ALUGUEIS DE EQUIPAMENTOSOper</v>
      </c>
      <c r="AE159" s="42" t="str">
        <f>IFERROR(VLOOKUP(C159,[34]Planilha1!$B:$C,2,0),"Não se Aplica")</f>
        <v>Sim</v>
      </c>
      <c r="AF159" s="42" t="str">
        <f>VLOOKUP(AD159,[34]Planilha1!$H:$J,3,0)</f>
        <v>Sim</v>
      </c>
      <c r="AG159" s="43">
        <f t="shared" si="74"/>
        <v>6718.3366634999975</v>
      </c>
    </row>
    <row r="160" spans="1:33" x14ac:dyDescent="0.3">
      <c r="A160" s="1" t="s">
        <v>836</v>
      </c>
      <c r="B160" s="34" t="s">
        <v>20</v>
      </c>
      <c r="C160" s="35" t="s">
        <v>38</v>
      </c>
      <c r="D160" s="36" t="s">
        <v>260</v>
      </c>
      <c r="E160" s="36" t="s">
        <v>256</v>
      </c>
      <c r="F160" s="34" t="s">
        <v>36</v>
      </c>
      <c r="G160" s="34" t="s">
        <v>32</v>
      </c>
      <c r="H160" s="34" t="s">
        <v>50</v>
      </c>
      <c r="I160" s="37">
        <f t="shared" si="76"/>
        <v>719.16</v>
      </c>
      <c r="J160" s="37">
        <f t="shared" si="77"/>
        <v>719.16</v>
      </c>
      <c r="K160" s="37">
        <f t="shared" si="78"/>
        <v>719.16</v>
      </c>
      <c r="L160" s="37">
        <f t="shared" si="79"/>
        <v>719.16</v>
      </c>
      <c r="M160" s="37">
        <f t="shared" si="80"/>
        <v>719.16</v>
      </c>
      <c r="N160" s="37">
        <f t="shared" si="81"/>
        <v>719.16</v>
      </c>
      <c r="O160" s="37">
        <f t="shared" si="82"/>
        <v>740.73479999999995</v>
      </c>
      <c r="P160" s="37">
        <f t="shared" si="83"/>
        <v>740.73479999999995</v>
      </c>
      <c r="Q160" s="37">
        <f t="shared" si="84"/>
        <v>740.73479999999995</v>
      </c>
      <c r="R160" s="37">
        <f t="shared" si="85"/>
        <v>740.73479999999995</v>
      </c>
      <c r="S160" s="37">
        <f t="shared" si="86"/>
        <v>740.73479999999995</v>
      </c>
      <c r="T160" s="37">
        <f t="shared" si="87"/>
        <v>740.73479999999995</v>
      </c>
      <c r="U160" s="37">
        <f t="shared" si="75"/>
        <v>8759.3688000000002</v>
      </c>
      <c r="V160" s="6"/>
      <c r="W160" s="51">
        <v>719.16</v>
      </c>
      <c r="X160" s="39">
        <v>45891</v>
      </c>
      <c r="Y160" s="40" t="s">
        <v>102</v>
      </c>
      <c r="Z160" s="40" t="s">
        <v>55</v>
      </c>
      <c r="AA160" s="40" t="s">
        <v>45</v>
      </c>
      <c r="AB160" s="41">
        <v>0.03</v>
      </c>
      <c r="AD160" s="42" t="str">
        <f>C160&amp;A160</f>
        <v>ALUGUEIS DE EQUIPAMENTOSOper</v>
      </c>
      <c r="AE160" s="42" t="str">
        <f>IFERROR(VLOOKUP(C160,[34]Planilha1!$B:$C,2,0),"Não se Aplica")</f>
        <v>Sim</v>
      </c>
      <c r="AF160" s="42" t="str">
        <f>VLOOKUP(AD160,[34]Planilha1!$H:$J,3,0)</f>
        <v>Sim</v>
      </c>
      <c r="AG160" s="43">
        <f t="shared" si="74"/>
        <v>7949.1271859999997</v>
      </c>
    </row>
    <row r="161" spans="1:33" x14ac:dyDescent="0.3">
      <c r="A161" s="1" t="s">
        <v>837</v>
      </c>
      <c r="B161" s="34" t="s">
        <v>28</v>
      </c>
      <c r="C161" s="35" t="s">
        <v>38</v>
      </c>
      <c r="D161" s="34" t="s">
        <v>262</v>
      </c>
      <c r="E161" s="36" t="s">
        <v>256</v>
      </c>
      <c r="F161" s="34" t="s">
        <v>49</v>
      </c>
      <c r="G161" s="34" t="s">
        <v>32</v>
      </c>
      <c r="H161" s="34" t="s">
        <v>50</v>
      </c>
      <c r="I161" s="37">
        <f t="shared" si="76"/>
        <v>1785.7</v>
      </c>
      <c r="J161" s="37">
        <f t="shared" si="77"/>
        <v>1785.7</v>
      </c>
      <c r="K161" s="37">
        <f t="shared" si="78"/>
        <v>1785.7</v>
      </c>
      <c r="L161" s="37">
        <f t="shared" si="79"/>
        <v>1785.7</v>
      </c>
      <c r="M161" s="37">
        <f t="shared" si="80"/>
        <v>1785.7</v>
      </c>
      <c r="N161" s="37">
        <f t="shared" si="81"/>
        <v>1785.7</v>
      </c>
      <c r="O161" s="37">
        <f t="shared" si="82"/>
        <v>1839.2710000000002</v>
      </c>
      <c r="P161" s="37">
        <f t="shared" si="83"/>
        <v>1839.2710000000002</v>
      </c>
      <c r="Q161" s="37">
        <f t="shared" si="84"/>
        <v>1839.2710000000002</v>
      </c>
      <c r="R161" s="37">
        <f t="shared" si="85"/>
        <v>1839.2710000000002</v>
      </c>
      <c r="S161" s="37">
        <f t="shared" si="86"/>
        <v>1839.2710000000002</v>
      </c>
      <c r="T161" s="37">
        <f t="shared" si="87"/>
        <v>1839.2710000000002</v>
      </c>
      <c r="U161" s="37">
        <f t="shared" si="75"/>
        <v>21749.826000000005</v>
      </c>
      <c r="V161" s="6"/>
      <c r="W161" s="51">
        <v>1785.7</v>
      </c>
      <c r="X161" s="39">
        <v>45891</v>
      </c>
      <c r="Y161" s="40" t="s">
        <v>102</v>
      </c>
      <c r="Z161" s="40" t="s">
        <v>55</v>
      </c>
      <c r="AA161" s="40" t="s">
        <v>45</v>
      </c>
      <c r="AB161" s="41">
        <v>0.03</v>
      </c>
      <c r="AD161" s="42" t="str">
        <f>C161&amp;A161</f>
        <v>ALUGUEIS DE EQUIPAMENTOSAdm</v>
      </c>
      <c r="AE161" s="42" t="str">
        <f>IFERROR(VLOOKUP(C161,[34]Planilha1!$B:$C,2,0),"Não se Aplica")</f>
        <v>Sim</v>
      </c>
      <c r="AF161" s="42" t="str">
        <f>VLOOKUP(AD161,[34]Planilha1!$H:$J,3,0)</f>
        <v>Sim</v>
      </c>
      <c r="AG161" s="43">
        <f t="shared" si="74"/>
        <v>19737.967095000004</v>
      </c>
    </row>
    <row r="162" spans="1:33" x14ac:dyDescent="0.3">
      <c r="A162" s="1" t="s">
        <v>837</v>
      </c>
      <c r="B162" s="34" t="s">
        <v>20</v>
      </c>
      <c r="C162" s="35" t="s">
        <v>240</v>
      </c>
      <c r="D162" s="34" t="s">
        <v>263</v>
      </c>
      <c r="E162" s="36" t="s">
        <v>264</v>
      </c>
      <c r="F162" s="34" t="s">
        <v>49</v>
      </c>
      <c r="G162" s="34" t="s">
        <v>32</v>
      </c>
      <c r="H162" s="34" t="s">
        <v>50</v>
      </c>
      <c r="I162" s="37">
        <f t="shared" si="76"/>
        <v>1350</v>
      </c>
      <c r="J162" s="37">
        <f t="shared" si="77"/>
        <v>1390.5</v>
      </c>
      <c r="K162" s="37">
        <f t="shared" si="78"/>
        <v>1390.5</v>
      </c>
      <c r="L162" s="37">
        <f t="shared" si="79"/>
        <v>1390.5</v>
      </c>
      <c r="M162" s="37">
        <f t="shared" si="80"/>
        <v>1390.5</v>
      </c>
      <c r="N162" s="37">
        <f t="shared" si="81"/>
        <v>1390.5</v>
      </c>
      <c r="O162" s="37">
        <f t="shared" si="82"/>
        <v>1390.5</v>
      </c>
      <c r="P162" s="37">
        <f t="shared" si="83"/>
        <v>1390.5</v>
      </c>
      <c r="Q162" s="37">
        <f t="shared" si="84"/>
        <v>1390.5</v>
      </c>
      <c r="R162" s="37">
        <f t="shared" si="85"/>
        <v>1390.5</v>
      </c>
      <c r="S162" s="37">
        <f t="shared" si="86"/>
        <v>1390.5</v>
      </c>
      <c r="T162" s="37">
        <f t="shared" si="87"/>
        <v>1390.5</v>
      </c>
      <c r="U162" s="37">
        <f t="shared" si="75"/>
        <v>16645.5</v>
      </c>
      <c r="V162" s="6"/>
      <c r="W162" s="38">
        <v>1350</v>
      </c>
      <c r="X162" s="39">
        <v>46085</v>
      </c>
      <c r="Y162" s="40" t="s">
        <v>82</v>
      </c>
      <c r="Z162" s="40" t="s">
        <v>55</v>
      </c>
      <c r="AA162" s="40" t="s">
        <v>45</v>
      </c>
      <c r="AB162" s="41">
        <v>0.03</v>
      </c>
      <c r="AD162" s="42" t="str">
        <f>C162&amp;A162</f>
        <v>INTERNET/COMUNICACOESAdm</v>
      </c>
      <c r="AE162" s="42" t="str">
        <f>IFERROR(VLOOKUP(C162,[34]Planilha1!$B:$C,2,0),"Não se Aplica")</f>
        <v>Sim</v>
      </c>
      <c r="AF162" s="42" t="str">
        <f>VLOOKUP(AD162,[34]Planilha1!$H:$J,3,0)</f>
        <v>Não</v>
      </c>
      <c r="AG162" s="43">
        <f t="shared" si="74"/>
        <v>16645.5</v>
      </c>
    </row>
    <row r="163" spans="1:33" x14ac:dyDescent="0.3">
      <c r="A163" s="1" t="s">
        <v>837</v>
      </c>
      <c r="B163" s="34" t="s">
        <v>20</v>
      </c>
      <c r="C163" s="35" t="s">
        <v>240</v>
      </c>
      <c r="D163" s="34" t="s">
        <v>265</v>
      </c>
      <c r="E163" s="36" t="s">
        <v>264</v>
      </c>
      <c r="F163" s="34" t="s">
        <v>49</v>
      </c>
      <c r="G163" s="34" t="s">
        <v>32</v>
      </c>
      <c r="H163" s="34" t="s">
        <v>50</v>
      </c>
      <c r="I163" s="37">
        <f t="shared" si="76"/>
        <v>500</v>
      </c>
      <c r="J163" s="37">
        <f t="shared" si="77"/>
        <v>515</v>
      </c>
      <c r="K163" s="37">
        <f t="shared" si="78"/>
        <v>515</v>
      </c>
      <c r="L163" s="37">
        <f t="shared" si="79"/>
        <v>515</v>
      </c>
      <c r="M163" s="37">
        <f t="shared" si="80"/>
        <v>515</v>
      </c>
      <c r="N163" s="37">
        <f t="shared" si="81"/>
        <v>515</v>
      </c>
      <c r="O163" s="37">
        <f t="shared" si="82"/>
        <v>515</v>
      </c>
      <c r="P163" s="37">
        <f t="shared" si="83"/>
        <v>515</v>
      </c>
      <c r="Q163" s="37">
        <f t="shared" si="84"/>
        <v>515</v>
      </c>
      <c r="R163" s="37">
        <f t="shared" si="85"/>
        <v>515</v>
      </c>
      <c r="S163" s="37">
        <f t="shared" si="86"/>
        <v>515</v>
      </c>
      <c r="T163" s="37">
        <f t="shared" si="87"/>
        <v>515</v>
      </c>
      <c r="U163" s="37">
        <f t="shared" si="75"/>
        <v>6165</v>
      </c>
      <c r="W163" s="51">
        <v>500</v>
      </c>
      <c r="X163" s="39">
        <v>46085</v>
      </c>
      <c r="Y163" s="40" t="s">
        <v>82</v>
      </c>
      <c r="Z163" s="40" t="s">
        <v>55</v>
      </c>
      <c r="AA163" s="40" t="s">
        <v>45</v>
      </c>
      <c r="AB163" s="41">
        <v>0.03</v>
      </c>
      <c r="AD163" s="42" t="str">
        <f>C163&amp;A163</f>
        <v>INTERNET/COMUNICACOESAdm</v>
      </c>
      <c r="AE163" s="42" t="str">
        <f>IFERROR(VLOOKUP(C163,[34]Planilha1!$B:$C,2,0),"Não se Aplica")</f>
        <v>Sim</v>
      </c>
      <c r="AF163" s="42" t="str">
        <f>VLOOKUP(AD163,[34]Planilha1!$H:$J,3,0)</f>
        <v>Não</v>
      </c>
      <c r="AG163" s="43">
        <f t="shared" si="74"/>
        <v>6165</v>
      </c>
    </row>
    <row r="164" spans="1:33" x14ac:dyDescent="0.3">
      <c r="A164" s="1" t="s">
        <v>837</v>
      </c>
      <c r="B164" s="34" t="s">
        <v>20</v>
      </c>
      <c r="C164" s="35" t="s">
        <v>240</v>
      </c>
      <c r="D164" s="34" t="s">
        <v>263</v>
      </c>
      <c r="E164" s="36" t="s">
        <v>264</v>
      </c>
      <c r="F164" s="34" t="s">
        <v>49</v>
      </c>
      <c r="G164" s="34" t="s">
        <v>22</v>
      </c>
      <c r="H164" s="34" t="s">
        <v>50</v>
      </c>
      <c r="I164" s="37">
        <f t="shared" si="76"/>
        <v>1350</v>
      </c>
      <c r="J164" s="37">
        <f t="shared" si="77"/>
        <v>1390.5</v>
      </c>
      <c r="K164" s="37">
        <f t="shared" si="78"/>
        <v>1390.5</v>
      </c>
      <c r="L164" s="37">
        <f t="shared" si="79"/>
        <v>1390.5</v>
      </c>
      <c r="M164" s="37">
        <f t="shared" si="80"/>
        <v>1390.5</v>
      </c>
      <c r="N164" s="37">
        <f t="shared" si="81"/>
        <v>1390.5</v>
      </c>
      <c r="O164" s="37">
        <f t="shared" si="82"/>
        <v>1390.5</v>
      </c>
      <c r="P164" s="37">
        <f t="shared" si="83"/>
        <v>1390.5</v>
      </c>
      <c r="Q164" s="37">
        <f t="shared" si="84"/>
        <v>1390.5</v>
      </c>
      <c r="R164" s="37">
        <f t="shared" si="85"/>
        <v>1390.5</v>
      </c>
      <c r="S164" s="37">
        <f t="shared" si="86"/>
        <v>1390.5</v>
      </c>
      <c r="T164" s="37">
        <f t="shared" si="87"/>
        <v>1390.5</v>
      </c>
      <c r="U164" s="37">
        <f t="shared" si="75"/>
        <v>16645.5</v>
      </c>
      <c r="W164" s="51">
        <v>1350</v>
      </c>
      <c r="X164" s="39">
        <v>46085</v>
      </c>
      <c r="Y164" s="40" t="s">
        <v>82</v>
      </c>
      <c r="Z164" s="40" t="s">
        <v>55</v>
      </c>
      <c r="AA164" s="40" t="s">
        <v>45</v>
      </c>
      <c r="AB164" s="41">
        <v>0.03</v>
      </c>
      <c r="AD164" s="42" t="str">
        <f>C164&amp;A164</f>
        <v>INTERNET/COMUNICACOESAdm</v>
      </c>
      <c r="AE164" s="42" t="str">
        <f>IFERROR(VLOOKUP(C164,[34]Planilha1!$B:$C,2,0),"Não se Aplica")</f>
        <v>Sim</v>
      </c>
      <c r="AF164" s="42" t="str">
        <f>VLOOKUP(AD164,[34]Planilha1!$H:$J,3,0)</f>
        <v>Não</v>
      </c>
      <c r="AG164" s="43">
        <f t="shared" si="74"/>
        <v>16645.5</v>
      </c>
    </row>
    <row r="165" spans="1:33" x14ac:dyDescent="0.3">
      <c r="A165" s="1" t="s">
        <v>837</v>
      </c>
      <c r="B165" s="34" t="s">
        <v>20</v>
      </c>
      <c r="C165" s="35" t="s">
        <v>240</v>
      </c>
      <c r="D165" s="34" t="s">
        <v>243</v>
      </c>
      <c r="E165" s="36" t="s">
        <v>264</v>
      </c>
      <c r="F165" s="34" t="s">
        <v>49</v>
      </c>
      <c r="G165" s="34" t="s">
        <v>27</v>
      </c>
      <c r="H165" s="34" t="s">
        <v>50</v>
      </c>
      <c r="I165" s="37">
        <f t="shared" si="76"/>
        <v>1000</v>
      </c>
      <c r="J165" s="37">
        <f t="shared" si="77"/>
        <v>1030</v>
      </c>
      <c r="K165" s="37">
        <f t="shared" si="78"/>
        <v>1030</v>
      </c>
      <c r="L165" s="37">
        <f t="shared" si="79"/>
        <v>1030</v>
      </c>
      <c r="M165" s="37">
        <f t="shared" si="80"/>
        <v>1030</v>
      </c>
      <c r="N165" s="37">
        <f t="shared" si="81"/>
        <v>1030</v>
      </c>
      <c r="O165" s="37">
        <f t="shared" si="82"/>
        <v>1030</v>
      </c>
      <c r="P165" s="37">
        <f t="shared" si="83"/>
        <v>1030</v>
      </c>
      <c r="Q165" s="37">
        <f t="shared" si="84"/>
        <v>1030</v>
      </c>
      <c r="R165" s="37">
        <f t="shared" si="85"/>
        <v>1030</v>
      </c>
      <c r="S165" s="37">
        <f t="shared" si="86"/>
        <v>1030</v>
      </c>
      <c r="T165" s="37">
        <f t="shared" si="87"/>
        <v>1030</v>
      </c>
      <c r="U165" s="37">
        <f t="shared" si="75"/>
        <v>12330</v>
      </c>
      <c r="V165" s="6"/>
      <c r="W165" s="51">
        <v>1000</v>
      </c>
      <c r="X165" s="39">
        <v>46085</v>
      </c>
      <c r="Y165" s="40" t="s">
        <v>82</v>
      </c>
      <c r="Z165" s="40" t="s">
        <v>55</v>
      </c>
      <c r="AA165" s="40" t="s">
        <v>45</v>
      </c>
      <c r="AB165" s="41">
        <v>0.03</v>
      </c>
      <c r="AD165" s="42" t="str">
        <f>C165&amp;A165</f>
        <v>INTERNET/COMUNICACOESAdm</v>
      </c>
      <c r="AE165" s="42" t="str">
        <f>IFERROR(VLOOKUP(C165,[34]Planilha1!$B:$C,2,0),"Não se Aplica")</f>
        <v>Sim</v>
      </c>
      <c r="AF165" s="42" t="str">
        <f>VLOOKUP(AD165,[34]Planilha1!$H:$J,3,0)</f>
        <v>Não</v>
      </c>
      <c r="AG165" s="43">
        <f t="shared" si="74"/>
        <v>12330</v>
      </c>
    </row>
    <row r="166" spans="1:33" x14ac:dyDescent="0.3">
      <c r="A166" s="1" t="s">
        <v>837</v>
      </c>
      <c r="B166" s="34" t="s">
        <v>28</v>
      </c>
      <c r="C166" s="35" t="s">
        <v>240</v>
      </c>
      <c r="D166" s="34" t="s">
        <v>243</v>
      </c>
      <c r="E166" s="36" t="s">
        <v>264</v>
      </c>
      <c r="F166" s="34" t="s">
        <v>49</v>
      </c>
      <c r="G166" s="34" t="s">
        <v>30</v>
      </c>
      <c r="H166" s="34" t="s">
        <v>50</v>
      </c>
      <c r="I166" s="37">
        <f t="shared" si="76"/>
        <v>1000</v>
      </c>
      <c r="J166" s="37">
        <f t="shared" si="77"/>
        <v>1030</v>
      </c>
      <c r="K166" s="37">
        <f t="shared" si="78"/>
        <v>1030</v>
      </c>
      <c r="L166" s="37">
        <f t="shared" si="79"/>
        <v>1030</v>
      </c>
      <c r="M166" s="37">
        <f t="shared" si="80"/>
        <v>1030</v>
      </c>
      <c r="N166" s="37">
        <f t="shared" si="81"/>
        <v>1030</v>
      </c>
      <c r="O166" s="37">
        <f t="shared" si="82"/>
        <v>1030</v>
      </c>
      <c r="P166" s="37">
        <f t="shared" si="83"/>
        <v>1030</v>
      </c>
      <c r="Q166" s="37">
        <f t="shared" si="84"/>
        <v>1030</v>
      </c>
      <c r="R166" s="37">
        <f t="shared" si="85"/>
        <v>1030</v>
      </c>
      <c r="S166" s="37">
        <f t="shared" si="86"/>
        <v>1030</v>
      </c>
      <c r="T166" s="37">
        <f t="shared" si="87"/>
        <v>1030</v>
      </c>
      <c r="U166" s="37">
        <f t="shared" si="75"/>
        <v>12330</v>
      </c>
      <c r="V166" s="6"/>
      <c r="W166" s="38">
        <v>1000</v>
      </c>
      <c r="X166" s="39">
        <v>46085</v>
      </c>
      <c r="Y166" s="40" t="s">
        <v>82</v>
      </c>
      <c r="Z166" s="40" t="s">
        <v>55</v>
      </c>
      <c r="AA166" s="40" t="s">
        <v>45</v>
      </c>
      <c r="AB166" s="41">
        <v>0.03</v>
      </c>
      <c r="AD166" s="42" t="str">
        <f>C166&amp;A166</f>
        <v>INTERNET/COMUNICACOESAdm</v>
      </c>
      <c r="AE166" s="42" t="str">
        <f>IFERROR(VLOOKUP(C166,[34]Planilha1!$B:$C,2,0),"Não se Aplica")</f>
        <v>Sim</v>
      </c>
      <c r="AF166" s="42" t="str">
        <f>VLOOKUP(AD166,[34]Planilha1!$H:$J,3,0)</f>
        <v>Não</v>
      </c>
      <c r="AG166" s="43">
        <f t="shared" si="74"/>
        <v>12330</v>
      </c>
    </row>
    <row r="167" spans="1:33" x14ac:dyDescent="0.3">
      <c r="A167" s="1" t="s">
        <v>837</v>
      </c>
      <c r="B167" s="34" t="s">
        <v>28</v>
      </c>
      <c r="C167" s="35" t="s">
        <v>240</v>
      </c>
      <c r="D167" s="34" t="s">
        <v>243</v>
      </c>
      <c r="E167" s="36" t="s">
        <v>264</v>
      </c>
      <c r="F167" s="34" t="s">
        <v>49</v>
      </c>
      <c r="G167" s="34" t="s">
        <v>33</v>
      </c>
      <c r="H167" s="34" t="s">
        <v>50</v>
      </c>
      <c r="I167" s="37">
        <f t="shared" si="76"/>
        <v>1000</v>
      </c>
      <c r="J167" s="37">
        <f t="shared" si="77"/>
        <v>1030</v>
      </c>
      <c r="K167" s="37">
        <f t="shared" si="78"/>
        <v>1030</v>
      </c>
      <c r="L167" s="37">
        <f t="shared" si="79"/>
        <v>1030</v>
      </c>
      <c r="M167" s="37">
        <f t="shared" si="80"/>
        <v>1030</v>
      </c>
      <c r="N167" s="37">
        <f t="shared" si="81"/>
        <v>1030</v>
      </c>
      <c r="O167" s="37">
        <f t="shared" si="82"/>
        <v>1030</v>
      </c>
      <c r="P167" s="37">
        <f t="shared" si="83"/>
        <v>1030</v>
      </c>
      <c r="Q167" s="37">
        <f t="shared" si="84"/>
        <v>1030</v>
      </c>
      <c r="R167" s="37">
        <f t="shared" si="85"/>
        <v>1030</v>
      </c>
      <c r="S167" s="37">
        <f t="shared" si="86"/>
        <v>1030</v>
      </c>
      <c r="T167" s="37">
        <f t="shared" si="87"/>
        <v>1030</v>
      </c>
      <c r="U167" s="37">
        <f t="shared" si="75"/>
        <v>12330</v>
      </c>
      <c r="W167" s="38">
        <v>1000</v>
      </c>
      <c r="X167" s="39">
        <v>46085</v>
      </c>
      <c r="Y167" s="40" t="s">
        <v>82</v>
      </c>
      <c r="Z167" s="40" t="s">
        <v>55</v>
      </c>
      <c r="AA167" s="40" t="s">
        <v>45</v>
      </c>
      <c r="AB167" s="41">
        <v>0.03</v>
      </c>
      <c r="AD167" s="42" t="str">
        <f>C167&amp;A167</f>
        <v>INTERNET/COMUNICACOESAdm</v>
      </c>
      <c r="AE167" s="42" t="str">
        <f>IFERROR(VLOOKUP(C167,[34]Planilha1!$B:$C,2,0),"Não se Aplica")</f>
        <v>Sim</v>
      </c>
      <c r="AF167" s="42" t="str">
        <f>VLOOKUP(AD167,[34]Planilha1!$H:$J,3,0)</f>
        <v>Não</v>
      </c>
      <c r="AG167" s="43">
        <f t="shared" si="74"/>
        <v>12330</v>
      </c>
    </row>
    <row r="168" spans="1:33" x14ac:dyDescent="0.3">
      <c r="A168" s="1" t="s">
        <v>837</v>
      </c>
      <c r="B168" s="34" t="s">
        <v>28</v>
      </c>
      <c r="C168" s="35" t="s">
        <v>240</v>
      </c>
      <c r="D168" s="34" t="s">
        <v>243</v>
      </c>
      <c r="E168" s="36" t="s">
        <v>264</v>
      </c>
      <c r="F168" s="34" t="s">
        <v>49</v>
      </c>
      <c r="G168" s="34" t="s">
        <v>100</v>
      </c>
      <c r="H168" s="34" t="s">
        <v>50</v>
      </c>
      <c r="I168" s="37">
        <f t="shared" si="76"/>
        <v>1000</v>
      </c>
      <c r="J168" s="37">
        <f t="shared" si="77"/>
        <v>1030</v>
      </c>
      <c r="K168" s="37">
        <f t="shared" si="78"/>
        <v>1030</v>
      </c>
      <c r="L168" s="37">
        <f t="shared" si="79"/>
        <v>1030</v>
      </c>
      <c r="M168" s="37">
        <f t="shared" si="80"/>
        <v>1030</v>
      </c>
      <c r="N168" s="37">
        <f t="shared" si="81"/>
        <v>1030</v>
      </c>
      <c r="O168" s="37">
        <f t="shared" si="82"/>
        <v>1030</v>
      </c>
      <c r="P168" s="37">
        <f t="shared" si="83"/>
        <v>1030</v>
      </c>
      <c r="Q168" s="37">
        <f t="shared" si="84"/>
        <v>1030</v>
      </c>
      <c r="R168" s="37">
        <f t="shared" si="85"/>
        <v>1030</v>
      </c>
      <c r="S168" s="37">
        <f t="shared" si="86"/>
        <v>1030</v>
      </c>
      <c r="T168" s="37">
        <f t="shared" si="87"/>
        <v>1030</v>
      </c>
      <c r="U168" s="37">
        <f t="shared" si="75"/>
        <v>12330</v>
      </c>
      <c r="W168" s="51">
        <v>1000</v>
      </c>
      <c r="X168" s="39">
        <v>46085</v>
      </c>
      <c r="Y168" s="40" t="s">
        <v>82</v>
      </c>
      <c r="Z168" s="40" t="s">
        <v>55</v>
      </c>
      <c r="AA168" s="40" t="s">
        <v>45</v>
      </c>
      <c r="AB168" s="41">
        <v>0.03</v>
      </c>
      <c r="AD168" s="42" t="str">
        <f>C168&amp;A168</f>
        <v>INTERNET/COMUNICACOESAdm</v>
      </c>
      <c r="AE168" s="42" t="str">
        <f>IFERROR(VLOOKUP(C168,[34]Planilha1!$B:$C,2,0),"Não se Aplica")</f>
        <v>Sim</v>
      </c>
      <c r="AF168" s="42" t="str">
        <f>VLOOKUP(AD168,[34]Planilha1!$H:$J,3,0)</f>
        <v>Não</v>
      </c>
      <c r="AG168" s="43">
        <f t="shared" si="74"/>
        <v>12330</v>
      </c>
    </row>
    <row r="169" spans="1:33" x14ac:dyDescent="0.3">
      <c r="A169" s="1" t="s">
        <v>837</v>
      </c>
      <c r="B169" s="34" t="s">
        <v>28</v>
      </c>
      <c r="C169" s="35" t="s">
        <v>240</v>
      </c>
      <c r="D169" s="34" t="s">
        <v>243</v>
      </c>
      <c r="E169" s="36" t="s">
        <v>264</v>
      </c>
      <c r="F169" s="34" t="s">
        <v>49</v>
      </c>
      <c r="G169" s="34" t="s">
        <v>31</v>
      </c>
      <c r="H169" s="34" t="s">
        <v>50</v>
      </c>
      <c r="I169" s="37">
        <f t="shared" si="76"/>
        <v>900</v>
      </c>
      <c r="J169" s="37">
        <f t="shared" si="77"/>
        <v>927</v>
      </c>
      <c r="K169" s="37">
        <f t="shared" si="78"/>
        <v>927</v>
      </c>
      <c r="L169" s="37">
        <f t="shared" si="79"/>
        <v>927</v>
      </c>
      <c r="M169" s="37">
        <f t="shared" si="80"/>
        <v>927</v>
      </c>
      <c r="N169" s="37">
        <f t="shared" si="81"/>
        <v>927</v>
      </c>
      <c r="O169" s="37">
        <f t="shared" si="82"/>
        <v>927</v>
      </c>
      <c r="P169" s="37">
        <f t="shared" si="83"/>
        <v>927</v>
      </c>
      <c r="Q169" s="37">
        <f t="shared" si="84"/>
        <v>927</v>
      </c>
      <c r="R169" s="37">
        <f t="shared" si="85"/>
        <v>927</v>
      </c>
      <c r="S169" s="37">
        <f t="shared" si="86"/>
        <v>927</v>
      </c>
      <c r="T169" s="37">
        <f t="shared" si="87"/>
        <v>927</v>
      </c>
      <c r="U169" s="37">
        <f t="shared" si="75"/>
        <v>11097</v>
      </c>
      <c r="V169" s="6"/>
      <c r="W169" s="51">
        <v>900</v>
      </c>
      <c r="X169" s="39">
        <v>46085</v>
      </c>
      <c r="Y169" s="40" t="s">
        <v>82</v>
      </c>
      <c r="Z169" s="40" t="s">
        <v>55</v>
      </c>
      <c r="AA169" s="40" t="s">
        <v>45</v>
      </c>
      <c r="AB169" s="41">
        <v>0.03</v>
      </c>
      <c r="AD169" s="42" t="str">
        <f>C169&amp;A169</f>
        <v>INTERNET/COMUNICACOESAdm</v>
      </c>
      <c r="AE169" s="42" t="str">
        <f>IFERROR(VLOOKUP(C169,[34]Planilha1!$B:$C,2,0),"Não se Aplica")</f>
        <v>Sim</v>
      </c>
      <c r="AF169" s="42" t="str">
        <f>VLOOKUP(AD169,[34]Planilha1!$H:$J,3,0)</f>
        <v>Não</v>
      </c>
      <c r="AG169" s="43">
        <f t="shared" si="74"/>
        <v>11097</v>
      </c>
    </row>
    <row r="170" spans="1:33" x14ac:dyDescent="0.3">
      <c r="A170" s="1" t="s">
        <v>837</v>
      </c>
      <c r="B170" s="34" t="s">
        <v>28</v>
      </c>
      <c r="C170" s="35" t="s">
        <v>240</v>
      </c>
      <c r="D170" s="34" t="s">
        <v>243</v>
      </c>
      <c r="E170" s="36" t="s">
        <v>264</v>
      </c>
      <c r="F170" s="34" t="s">
        <v>49</v>
      </c>
      <c r="G170" s="34" t="s">
        <v>29</v>
      </c>
      <c r="H170" s="34" t="s">
        <v>50</v>
      </c>
      <c r="I170" s="37">
        <f t="shared" si="76"/>
        <v>900</v>
      </c>
      <c r="J170" s="37">
        <f t="shared" si="77"/>
        <v>927</v>
      </c>
      <c r="K170" s="37">
        <f t="shared" si="78"/>
        <v>927</v>
      </c>
      <c r="L170" s="37">
        <f t="shared" si="79"/>
        <v>927</v>
      </c>
      <c r="M170" s="37">
        <f t="shared" si="80"/>
        <v>927</v>
      </c>
      <c r="N170" s="37">
        <f t="shared" si="81"/>
        <v>927</v>
      </c>
      <c r="O170" s="37">
        <f t="shared" si="82"/>
        <v>927</v>
      </c>
      <c r="P170" s="37">
        <f t="shared" si="83"/>
        <v>927</v>
      </c>
      <c r="Q170" s="37">
        <f t="shared" si="84"/>
        <v>927</v>
      </c>
      <c r="R170" s="37">
        <f t="shared" si="85"/>
        <v>927</v>
      </c>
      <c r="S170" s="37">
        <f t="shared" si="86"/>
        <v>927</v>
      </c>
      <c r="T170" s="37">
        <f t="shared" si="87"/>
        <v>927</v>
      </c>
      <c r="U170" s="37">
        <f t="shared" si="75"/>
        <v>11097</v>
      </c>
      <c r="W170" s="51">
        <v>900</v>
      </c>
      <c r="X170" s="39">
        <v>46085</v>
      </c>
      <c r="Y170" s="40" t="s">
        <v>82</v>
      </c>
      <c r="Z170" s="40" t="s">
        <v>55</v>
      </c>
      <c r="AA170" s="40" t="s">
        <v>45</v>
      </c>
      <c r="AB170" s="41">
        <v>0.03</v>
      </c>
      <c r="AD170" s="42" t="str">
        <f>C170&amp;A170</f>
        <v>INTERNET/COMUNICACOESAdm</v>
      </c>
      <c r="AE170" s="42" t="str">
        <f>IFERROR(VLOOKUP(C170,[34]Planilha1!$B:$C,2,0),"Não se Aplica")</f>
        <v>Sim</v>
      </c>
      <c r="AF170" s="42" t="str">
        <f>VLOOKUP(AD170,[34]Planilha1!$H:$J,3,0)</f>
        <v>Não</v>
      </c>
      <c r="AG170" s="43">
        <f t="shared" si="74"/>
        <v>11097</v>
      </c>
    </row>
    <row r="171" spans="1:33" x14ac:dyDescent="0.3">
      <c r="A171" s="1" t="s">
        <v>837</v>
      </c>
      <c r="B171" s="34" t="s">
        <v>28</v>
      </c>
      <c r="C171" s="35" t="s">
        <v>240</v>
      </c>
      <c r="D171" s="36" t="s">
        <v>243</v>
      </c>
      <c r="E171" s="36" t="s">
        <v>264</v>
      </c>
      <c r="F171" s="34" t="s">
        <v>49</v>
      </c>
      <c r="G171" s="34" t="s">
        <v>90</v>
      </c>
      <c r="H171" s="34" t="s">
        <v>50</v>
      </c>
      <c r="I171" s="37">
        <f t="shared" si="76"/>
        <v>900</v>
      </c>
      <c r="J171" s="37">
        <f t="shared" si="77"/>
        <v>900</v>
      </c>
      <c r="K171" s="37">
        <f t="shared" si="78"/>
        <v>900</v>
      </c>
      <c r="L171" s="37">
        <f t="shared" si="79"/>
        <v>900</v>
      </c>
      <c r="M171" s="37">
        <f t="shared" si="80"/>
        <v>900</v>
      </c>
      <c r="N171" s="37">
        <f t="shared" si="81"/>
        <v>927</v>
      </c>
      <c r="O171" s="37">
        <f t="shared" si="82"/>
        <v>927</v>
      </c>
      <c r="P171" s="37">
        <f t="shared" si="83"/>
        <v>927</v>
      </c>
      <c r="Q171" s="37">
        <f t="shared" si="84"/>
        <v>927</v>
      </c>
      <c r="R171" s="37">
        <f t="shared" si="85"/>
        <v>927</v>
      </c>
      <c r="S171" s="37">
        <f t="shared" si="86"/>
        <v>927</v>
      </c>
      <c r="T171" s="37">
        <f t="shared" si="87"/>
        <v>927</v>
      </c>
      <c r="U171" s="37">
        <f t="shared" si="75"/>
        <v>10989</v>
      </c>
      <c r="V171" s="6"/>
      <c r="W171" s="38">
        <v>900</v>
      </c>
      <c r="X171" s="39">
        <v>45843</v>
      </c>
      <c r="Y171" s="40" t="s">
        <v>96</v>
      </c>
      <c r="Z171" s="40" t="s">
        <v>55</v>
      </c>
      <c r="AA171" s="40" t="s">
        <v>45</v>
      </c>
      <c r="AB171" s="41">
        <v>0.03</v>
      </c>
      <c r="AD171" s="42" t="str">
        <f>C171&amp;A171</f>
        <v>INTERNET/COMUNICACOESAdm</v>
      </c>
      <c r="AE171" s="42" t="str">
        <f>IFERROR(VLOOKUP(C171,[34]Planilha1!$B:$C,2,0),"Não se Aplica")</f>
        <v>Sim</v>
      </c>
      <c r="AF171" s="42" t="str">
        <f>VLOOKUP(AD171,[34]Planilha1!$H:$J,3,0)</f>
        <v>Não</v>
      </c>
      <c r="AG171" s="43">
        <f t="shared" si="74"/>
        <v>10989</v>
      </c>
    </row>
    <row r="172" spans="1:33" x14ac:dyDescent="0.3">
      <c r="A172" s="1" t="s">
        <v>837</v>
      </c>
      <c r="B172" s="34" t="s">
        <v>20</v>
      </c>
      <c r="C172" s="35" t="s">
        <v>69</v>
      </c>
      <c r="D172" s="34" t="s">
        <v>266</v>
      </c>
      <c r="E172" s="36" t="s">
        <v>267</v>
      </c>
      <c r="F172" s="34" t="s">
        <v>49</v>
      </c>
      <c r="G172" s="34" t="s">
        <v>32</v>
      </c>
      <c r="H172" s="34" t="s">
        <v>50</v>
      </c>
      <c r="I172" s="37">
        <f t="shared" si="76"/>
        <v>38700</v>
      </c>
      <c r="J172" s="37">
        <f t="shared" si="77"/>
        <v>38700</v>
      </c>
      <c r="K172" s="37">
        <f t="shared" si="78"/>
        <v>38700</v>
      </c>
      <c r="L172" s="37">
        <f t="shared" si="79"/>
        <v>38700</v>
      </c>
      <c r="M172" s="37">
        <f t="shared" si="80"/>
        <v>38700</v>
      </c>
      <c r="N172" s="37">
        <f t="shared" si="81"/>
        <v>38700</v>
      </c>
      <c r="O172" s="37">
        <f t="shared" si="82"/>
        <v>38700</v>
      </c>
      <c r="P172" s="37">
        <f t="shared" si="83"/>
        <v>38700</v>
      </c>
      <c r="Q172" s="37">
        <f t="shared" si="84"/>
        <v>38700</v>
      </c>
      <c r="R172" s="37">
        <f t="shared" si="85"/>
        <v>38700</v>
      </c>
      <c r="S172" s="37">
        <f t="shared" si="86"/>
        <v>38700</v>
      </c>
      <c r="T172" s="37">
        <f t="shared" si="87"/>
        <v>38700</v>
      </c>
      <c r="U172" s="37">
        <f t="shared" si="75"/>
        <v>464400</v>
      </c>
      <c r="W172" s="51">
        <v>38700</v>
      </c>
      <c r="X172" s="39"/>
      <c r="Y172" s="40"/>
      <c r="Z172" s="40"/>
      <c r="AA172" s="40" t="s">
        <v>56</v>
      </c>
      <c r="AB172" s="41">
        <v>0</v>
      </c>
      <c r="AD172" s="42" t="str">
        <f>C172&amp;A172</f>
        <v>ASSESSORIA E SERVICO INFORMATICAAdm</v>
      </c>
      <c r="AE172" s="42" t="str">
        <f>IFERROR(VLOOKUP(C172,[34]Planilha1!$B:$C,2,0),"Não se Aplica")</f>
        <v>Sim</v>
      </c>
      <c r="AF172" s="42" t="str">
        <f>VLOOKUP(AD172,[34]Planilha1!$H:$J,3,0)</f>
        <v>Não</v>
      </c>
      <c r="AG172" s="43">
        <f t="shared" si="74"/>
        <v>464400</v>
      </c>
    </row>
    <row r="173" spans="1:33" x14ac:dyDescent="0.3">
      <c r="A173" s="1" t="s">
        <v>837</v>
      </c>
      <c r="B173" s="34" t="s">
        <v>28</v>
      </c>
      <c r="C173" s="35" t="s">
        <v>240</v>
      </c>
      <c r="D173" s="34" t="s">
        <v>268</v>
      </c>
      <c r="E173" s="36" t="s">
        <v>269</v>
      </c>
      <c r="F173" s="34" t="s">
        <v>49</v>
      </c>
      <c r="G173" s="34" t="s">
        <v>30</v>
      </c>
      <c r="H173" s="34" t="s">
        <v>50</v>
      </c>
      <c r="I173" s="37">
        <f t="shared" si="76"/>
        <v>388.39</v>
      </c>
      <c r="J173" s="37">
        <f t="shared" si="77"/>
        <v>388.39</v>
      </c>
      <c r="K173" s="37">
        <f t="shared" si="78"/>
        <v>388.39</v>
      </c>
      <c r="L173" s="37">
        <f t="shared" si="79"/>
        <v>388.39</v>
      </c>
      <c r="M173" s="37">
        <f t="shared" si="80"/>
        <v>388.39</v>
      </c>
      <c r="N173" s="37">
        <f t="shared" si="81"/>
        <v>388.39</v>
      </c>
      <c r="O173" s="37">
        <f t="shared" si="82"/>
        <v>388.39</v>
      </c>
      <c r="P173" s="37">
        <f t="shared" si="83"/>
        <v>388.39</v>
      </c>
      <c r="Q173" s="37">
        <f t="shared" si="84"/>
        <v>388.39</v>
      </c>
      <c r="R173" s="37">
        <f t="shared" si="85"/>
        <v>400.04169999999999</v>
      </c>
      <c r="S173" s="37">
        <f t="shared" si="86"/>
        <v>400.04169999999999</v>
      </c>
      <c r="T173" s="37">
        <f t="shared" si="87"/>
        <v>400.04169999999999</v>
      </c>
      <c r="U173" s="37">
        <f t="shared" si="75"/>
        <v>4695.6350999999986</v>
      </c>
      <c r="V173" s="6"/>
      <c r="W173" s="51">
        <v>388.39</v>
      </c>
      <c r="X173" s="39">
        <v>46099</v>
      </c>
      <c r="Y173" s="40" t="s">
        <v>54</v>
      </c>
      <c r="Z173" s="40"/>
      <c r="AA173" s="40" t="s">
        <v>45</v>
      </c>
      <c r="AB173" s="41">
        <v>0.03</v>
      </c>
      <c r="AD173" s="42" t="str">
        <f>C173&amp;A173</f>
        <v>INTERNET/COMUNICACOESAdm</v>
      </c>
      <c r="AE173" s="42" t="str">
        <f>IFERROR(VLOOKUP(C173,[34]Planilha1!$B:$C,2,0),"Não se Aplica")</f>
        <v>Sim</v>
      </c>
      <c r="AF173" s="42" t="str">
        <f>VLOOKUP(AD173,[34]Planilha1!$H:$J,3,0)</f>
        <v>Não</v>
      </c>
      <c r="AG173" s="43">
        <f t="shared" si="74"/>
        <v>4695.6350999999986</v>
      </c>
    </row>
    <row r="174" spans="1:33" x14ac:dyDescent="0.3">
      <c r="A174" s="1" t="s">
        <v>837</v>
      </c>
      <c r="B174" s="34" t="s">
        <v>28</v>
      </c>
      <c r="C174" s="35" t="s">
        <v>240</v>
      </c>
      <c r="D174" s="34" t="s">
        <v>268</v>
      </c>
      <c r="E174" s="36" t="s">
        <v>270</v>
      </c>
      <c r="F174" s="34" t="s">
        <v>49</v>
      </c>
      <c r="G174" s="34" t="s">
        <v>30</v>
      </c>
      <c r="H174" s="34" t="s">
        <v>50</v>
      </c>
      <c r="I174" s="37">
        <f t="shared" si="76"/>
        <v>388.39</v>
      </c>
      <c r="J174" s="37">
        <f t="shared" si="77"/>
        <v>388.39</v>
      </c>
      <c r="K174" s="37">
        <f t="shared" si="78"/>
        <v>388.39</v>
      </c>
      <c r="L174" s="37">
        <f t="shared" si="79"/>
        <v>388.39</v>
      </c>
      <c r="M174" s="37">
        <f t="shared" si="80"/>
        <v>388.39</v>
      </c>
      <c r="N174" s="37">
        <f t="shared" si="81"/>
        <v>388.39</v>
      </c>
      <c r="O174" s="37">
        <f t="shared" si="82"/>
        <v>388.39</v>
      </c>
      <c r="P174" s="37">
        <f t="shared" si="83"/>
        <v>388.39</v>
      </c>
      <c r="Q174" s="37">
        <f t="shared" si="84"/>
        <v>388.39</v>
      </c>
      <c r="R174" s="37">
        <f t="shared" si="85"/>
        <v>400.04169999999999</v>
      </c>
      <c r="S174" s="37">
        <f t="shared" si="86"/>
        <v>400.04169999999999</v>
      </c>
      <c r="T174" s="37">
        <f t="shared" si="87"/>
        <v>400.04169999999999</v>
      </c>
      <c r="U174" s="37">
        <f t="shared" si="75"/>
        <v>4695.6350999999986</v>
      </c>
      <c r="V174" s="6"/>
      <c r="W174" s="51">
        <v>388.39</v>
      </c>
      <c r="X174" s="39">
        <v>46099</v>
      </c>
      <c r="Y174" s="40" t="s">
        <v>54</v>
      </c>
      <c r="Z174" s="40"/>
      <c r="AA174" s="40" t="s">
        <v>45</v>
      </c>
      <c r="AB174" s="41">
        <v>0.03</v>
      </c>
      <c r="AD174" s="42" t="str">
        <f>C174&amp;A174</f>
        <v>INTERNET/COMUNICACOESAdm</v>
      </c>
      <c r="AE174" s="42" t="str">
        <f>IFERROR(VLOOKUP(C174,[34]Planilha1!$B:$C,2,0),"Não se Aplica")</f>
        <v>Sim</v>
      </c>
      <c r="AF174" s="42" t="str">
        <f>VLOOKUP(AD174,[34]Planilha1!$H:$J,3,0)</f>
        <v>Não</v>
      </c>
      <c r="AG174" s="43">
        <f t="shared" si="74"/>
        <v>4695.6350999999986</v>
      </c>
    </row>
    <row r="175" spans="1:33" x14ac:dyDescent="0.3">
      <c r="A175" s="1" t="s">
        <v>837</v>
      </c>
      <c r="B175" s="34" t="s">
        <v>20</v>
      </c>
      <c r="C175" s="35" t="s">
        <v>46</v>
      </c>
      <c r="D175" s="34" t="s">
        <v>271</v>
      </c>
      <c r="E175" s="36" t="s">
        <v>272</v>
      </c>
      <c r="F175" s="34" t="s">
        <v>49</v>
      </c>
      <c r="G175" s="34" t="s">
        <v>32</v>
      </c>
      <c r="H175" s="34" t="s">
        <v>50</v>
      </c>
      <c r="I175" s="37">
        <f t="shared" si="76"/>
        <v>599.94000000000005</v>
      </c>
      <c r="J175" s="37">
        <f t="shared" si="77"/>
        <v>599.94000000000005</v>
      </c>
      <c r="K175" s="37">
        <f t="shared" si="78"/>
        <v>599.94000000000005</v>
      </c>
      <c r="L175" s="37">
        <f t="shared" si="79"/>
        <v>599.94000000000005</v>
      </c>
      <c r="M175" s="37">
        <f t="shared" si="80"/>
        <v>599.94000000000005</v>
      </c>
      <c r="N175" s="37">
        <f t="shared" si="81"/>
        <v>599.94000000000005</v>
      </c>
      <c r="O175" s="37">
        <f t="shared" si="82"/>
        <v>599.94000000000005</v>
      </c>
      <c r="P175" s="37">
        <f t="shared" si="83"/>
        <v>599.94000000000005</v>
      </c>
      <c r="Q175" s="37">
        <f t="shared" si="84"/>
        <v>599.94000000000005</v>
      </c>
      <c r="R175" s="37">
        <f t="shared" si="85"/>
        <v>599.94000000000005</v>
      </c>
      <c r="S175" s="37">
        <f t="shared" si="86"/>
        <v>599.94000000000005</v>
      </c>
      <c r="T175" s="37">
        <f t="shared" si="87"/>
        <v>599.94000000000005</v>
      </c>
      <c r="U175" s="37">
        <f t="shared" si="75"/>
        <v>7199.2800000000025</v>
      </c>
      <c r="W175" s="51">
        <v>599.94000000000005</v>
      </c>
      <c r="X175" s="39"/>
      <c r="Y175" s="40" t="s">
        <v>51</v>
      </c>
      <c r="Z175" s="40"/>
      <c r="AA175" s="40" t="s">
        <v>45</v>
      </c>
      <c r="AB175" s="41">
        <v>0</v>
      </c>
      <c r="AD175" s="42" t="str">
        <f>C175&amp;A175</f>
        <v>MANUTEN. SISTEMAS  INFORMATICAAdm</v>
      </c>
      <c r="AE175" s="42" t="str">
        <f>IFERROR(VLOOKUP(C175,[34]Planilha1!$B:$C,2,0),"Não se Aplica")</f>
        <v>Sim</v>
      </c>
      <c r="AF175" s="42" t="str">
        <f>VLOOKUP(AD175,[34]Planilha1!$H:$J,3,0)</f>
        <v>Sim</v>
      </c>
      <c r="AG175" s="43">
        <f t="shared" si="74"/>
        <v>6533.3466000000017</v>
      </c>
    </row>
    <row r="176" spans="1:33" x14ac:dyDescent="0.3">
      <c r="A176" s="1" t="s">
        <v>837</v>
      </c>
      <c r="B176" s="34" t="s">
        <v>20</v>
      </c>
      <c r="C176" s="35" t="s">
        <v>72</v>
      </c>
      <c r="D176" s="60" t="s">
        <v>273</v>
      </c>
      <c r="E176" s="36" t="s">
        <v>272</v>
      </c>
      <c r="F176" s="34" t="s">
        <v>49</v>
      </c>
      <c r="G176" s="34" t="s">
        <v>32</v>
      </c>
      <c r="H176" s="34" t="s">
        <v>50</v>
      </c>
      <c r="I176" s="37">
        <f t="shared" si="76"/>
        <v>3386.76</v>
      </c>
      <c r="J176" s="37">
        <f t="shared" si="77"/>
        <v>3386.76</v>
      </c>
      <c r="K176" s="37">
        <f t="shared" si="78"/>
        <v>3386.76</v>
      </c>
      <c r="L176" s="37">
        <f t="shared" si="79"/>
        <v>3386.76</v>
      </c>
      <c r="M176" s="37">
        <f t="shared" si="80"/>
        <v>3386.76</v>
      </c>
      <c r="N176" s="37">
        <f t="shared" si="81"/>
        <v>3386.76</v>
      </c>
      <c r="O176" s="37">
        <f t="shared" si="82"/>
        <v>3386.76</v>
      </c>
      <c r="P176" s="37">
        <f t="shared" si="83"/>
        <v>3386.76</v>
      </c>
      <c r="Q176" s="37">
        <f t="shared" si="84"/>
        <v>3386.76</v>
      </c>
      <c r="R176" s="37">
        <f t="shared" si="85"/>
        <v>3386.76</v>
      </c>
      <c r="S176" s="37">
        <f t="shared" si="86"/>
        <v>3386.76</v>
      </c>
      <c r="T176" s="37">
        <f t="shared" si="87"/>
        <v>3386.76</v>
      </c>
      <c r="U176" s="37">
        <f t="shared" si="75"/>
        <v>40641.120000000017</v>
      </c>
      <c r="V176" s="6"/>
      <c r="W176" s="38">
        <v>3386.76</v>
      </c>
      <c r="X176" s="39"/>
      <c r="Y176" s="40" t="s">
        <v>51</v>
      </c>
      <c r="Z176" s="40"/>
      <c r="AA176" s="40" t="s">
        <v>45</v>
      </c>
      <c r="AB176" s="41">
        <v>0</v>
      </c>
      <c r="AD176" s="42" t="str">
        <f>C176&amp;A176</f>
        <v>MANUT. EQUP. INFORMATICAAdm</v>
      </c>
      <c r="AE176" s="42" t="str">
        <f>IFERROR(VLOOKUP(C176,[34]Planilha1!$B:$C,2,0),"Não se Aplica")</f>
        <v>Sim</v>
      </c>
      <c r="AF176" s="42" t="str">
        <f>VLOOKUP(AD176,[34]Planilha1!$H:$J,3,0)</f>
        <v>Sim</v>
      </c>
      <c r="AG176" s="43">
        <f t="shared" si="74"/>
        <v>36881.816400000018</v>
      </c>
    </row>
    <row r="177" spans="1:33" x14ac:dyDescent="0.3">
      <c r="A177" s="1" t="s">
        <v>837</v>
      </c>
      <c r="B177" s="34" t="s">
        <v>20</v>
      </c>
      <c r="C177" s="35" t="s">
        <v>46</v>
      </c>
      <c r="D177" s="34" t="s">
        <v>274</v>
      </c>
      <c r="E177" s="36" t="s">
        <v>275</v>
      </c>
      <c r="F177" s="34" t="s">
        <v>49</v>
      </c>
      <c r="G177" s="34" t="s">
        <v>32</v>
      </c>
      <c r="H177" s="34" t="s">
        <v>50</v>
      </c>
      <c r="I177" s="37">
        <f t="shared" si="76"/>
        <v>1341.8</v>
      </c>
      <c r="J177" s="37">
        <f t="shared" si="77"/>
        <v>1341.8</v>
      </c>
      <c r="K177" s="37">
        <f t="shared" si="78"/>
        <v>1341.8</v>
      </c>
      <c r="L177" s="37">
        <f t="shared" si="79"/>
        <v>1341.8</v>
      </c>
      <c r="M177" s="37">
        <f t="shared" si="80"/>
        <v>1341.8</v>
      </c>
      <c r="N177" s="37">
        <f t="shared" si="81"/>
        <v>1341.8</v>
      </c>
      <c r="O177" s="37">
        <f t="shared" si="82"/>
        <v>1341.8</v>
      </c>
      <c r="P177" s="37">
        <f t="shared" si="83"/>
        <v>1382.0540000000001</v>
      </c>
      <c r="Q177" s="37">
        <f t="shared" si="84"/>
        <v>1382.0540000000001</v>
      </c>
      <c r="R177" s="37">
        <f t="shared" si="85"/>
        <v>1382.0540000000001</v>
      </c>
      <c r="S177" s="37">
        <f t="shared" si="86"/>
        <v>1382.0540000000001</v>
      </c>
      <c r="T177" s="37">
        <f t="shared" si="87"/>
        <v>1382.0540000000001</v>
      </c>
      <c r="U177" s="37">
        <f t="shared" si="75"/>
        <v>16302.87</v>
      </c>
      <c r="W177" s="38">
        <v>1341.8</v>
      </c>
      <c r="X177" s="39">
        <v>45908</v>
      </c>
      <c r="Y177" s="40" t="s">
        <v>65</v>
      </c>
      <c r="Z177" s="40" t="s">
        <v>44</v>
      </c>
      <c r="AA177" s="40" t="s">
        <v>45</v>
      </c>
      <c r="AB177" s="41">
        <v>0.03</v>
      </c>
      <c r="AD177" s="42" t="str">
        <f>C177&amp;A177</f>
        <v>MANUTEN. SISTEMAS  INFORMATICAAdm</v>
      </c>
      <c r="AE177" s="42" t="str">
        <f>IFERROR(VLOOKUP(C177,[34]Planilha1!$B:$C,2,0),"Não se Aplica")</f>
        <v>Sim</v>
      </c>
      <c r="AF177" s="42" t="str">
        <f>VLOOKUP(AD177,[34]Planilha1!$H:$J,3,0)</f>
        <v>Sim</v>
      </c>
      <c r="AG177" s="43">
        <f t="shared" si="74"/>
        <v>14794.854525000001</v>
      </c>
    </row>
    <row r="178" spans="1:33" x14ac:dyDescent="0.3">
      <c r="A178" s="1" t="s">
        <v>837</v>
      </c>
      <c r="B178" s="34" t="s">
        <v>28</v>
      </c>
      <c r="C178" s="35" t="s">
        <v>46</v>
      </c>
      <c r="D178" s="34" t="s">
        <v>274</v>
      </c>
      <c r="E178" s="36" t="s">
        <v>275</v>
      </c>
      <c r="F178" s="34" t="s">
        <v>49</v>
      </c>
      <c r="G178" s="34" t="s">
        <v>32</v>
      </c>
      <c r="H178" s="34" t="s">
        <v>50</v>
      </c>
      <c r="I178" s="37">
        <f t="shared" si="76"/>
        <v>1341.8</v>
      </c>
      <c r="J178" s="37">
        <f t="shared" si="77"/>
        <v>1341.8</v>
      </c>
      <c r="K178" s="37">
        <f t="shared" si="78"/>
        <v>1341.8</v>
      </c>
      <c r="L178" s="37">
        <f t="shared" si="79"/>
        <v>1341.8</v>
      </c>
      <c r="M178" s="37">
        <f t="shared" si="80"/>
        <v>1341.8</v>
      </c>
      <c r="N178" s="37">
        <f t="shared" si="81"/>
        <v>1341.8</v>
      </c>
      <c r="O178" s="37">
        <f t="shared" si="82"/>
        <v>1341.8</v>
      </c>
      <c r="P178" s="37">
        <f t="shared" si="83"/>
        <v>1382.0540000000001</v>
      </c>
      <c r="Q178" s="37">
        <f t="shared" si="84"/>
        <v>1382.0540000000001</v>
      </c>
      <c r="R178" s="37">
        <f t="shared" si="85"/>
        <v>1382.0540000000001</v>
      </c>
      <c r="S178" s="37">
        <f t="shared" si="86"/>
        <v>1382.0540000000001</v>
      </c>
      <c r="T178" s="37">
        <f t="shared" si="87"/>
        <v>1382.0540000000001</v>
      </c>
      <c r="U178" s="37">
        <f t="shared" si="75"/>
        <v>16302.87</v>
      </c>
      <c r="W178" s="38">
        <v>1341.8</v>
      </c>
      <c r="X178" s="39">
        <v>45908</v>
      </c>
      <c r="Y178" s="40" t="s">
        <v>65</v>
      </c>
      <c r="Z178" s="40" t="s">
        <v>44</v>
      </c>
      <c r="AA178" s="40" t="s">
        <v>45</v>
      </c>
      <c r="AB178" s="41">
        <v>0.03</v>
      </c>
      <c r="AD178" s="42" t="str">
        <f>C178&amp;A178</f>
        <v>MANUTEN. SISTEMAS  INFORMATICAAdm</v>
      </c>
      <c r="AE178" s="42" t="str">
        <f>IFERROR(VLOOKUP(C178,[34]Planilha1!$B:$C,2,0),"Não se Aplica")</f>
        <v>Sim</v>
      </c>
      <c r="AF178" s="42" t="str">
        <f>VLOOKUP(AD178,[34]Planilha1!$H:$J,3,0)</f>
        <v>Sim</v>
      </c>
      <c r="AG178" s="43">
        <f t="shared" si="74"/>
        <v>14794.854525000001</v>
      </c>
    </row>
    <row r="179" spans="1:33" x14ac:dyDescent="0.3">
      <c r="A179" s="1" t="s">
        <v>837</v>
      </c>
      <c r="B179" s="34" t="s">
        <v>28</v>
      </c>
      <c r="C179" s="35" t="s">
        <v>240</v>
      </c>
      <c r="D179" s="34" t="s">
        <v>276</v>
      </c>
      <c r="E179" s="36" t="s">
        <v>277</v>
      </c>
      <c r="F179" s="34" t="s">
        <v>49</v>
      </c>
      <c r="G179" s="34" t="s">
        <v>100</v>
      </c>
      <c r="H179" s="34" t="s">
        <v>50</v>
      </c>
      <c r="I179" s="37">
        <f t="shared" si="76"/>
        <v>600</v>
      </c>
      <c r="J179" s="37">
        <f t="shared" si="77"/>
        <v>600</v>
      </c>
      <c r="K179" s="37">
        <f t="shared" si="78"/>
        <v>600</v>
      </c>
      <c r="L179" s="37">
        <f t="shared" si="79"/>
        <v>618</v>
      </c>
      <c r="M179" s="37">
        <f t="shared" si="80"/>
        <v>618</v>
      </c>
      <c r="N179" s="37">
        <f t="shared" si="81"/>
        <v>618</v>
      </c>
      <c r="O179" s="37">
        <f t="shared" si="82"/>
        <v>618</v>
      </c>
      <c r="P179" s="37">
        <f t="shared" si="83"/>
        <v>618</v>
      </c>
      <c r="Q179" s="37">
        <f t="shared" si="84"/>
        <v>618</v>
      </c>
      <c r="R179" s="37">
        <f t="shared" si="85"/>
        <v>618</v>
      </c>
      <c r="S179" s="37">
        <f t="shared" si="86"/>
        <v>618</v>
      </c>
      <c r="T179" s="37">
        <f t="shared" si="87"/>
        <v>618</v>
      </c>
      <c r="U179" s="37">
        <f t="shared" si="75"/>
        <v>7362</v>
      </c>
      <c r="W179" s="51">
        <v>600</v>
      </c>
      <c r="X179" s="39">
        <v>45801</v>
      </c>
      <c r="Y179" s="40" t="s">
        <v>103</v>
      </c>
      <c r="Z179" s="40"/>
      <c r="AA179" s="40" t="s">
        <v>45</v>
      </c>
      <c r="AB179" s="41">
        <v>0.03</v>
      </c>
      <c r="AD179" s="42" t="str">
        <f>C179&amp;A179</f>
        <v>INTERNET/COMUNICACOESAdm</v>
      </c>
      <c r="AE179" s="42" t="str">
        <f>IFERROR(VLOOKUP(C179,[34]Planilha1!$B:$C,2,0),"Não se Aplica")</f>
        <v>Sim</v>
      </c>
      <c r="AF179" s="42" t="str">
        <f>VLOOKUP(AD179,[34]Planilha1!$H:$J,3,0)</f>
        <v>Não</v>
      </c>
      <c r="AG179" s="43">
        <f t="shared" si="74"/>
        <v>7362</v>
      </c>
    </row>
    <row r="180" spans="1:33" x14ac:dyDescent="0.3">
      <c r="A180" s="1" t="s">
        <v>837</v>
      </c>
      <c r="B180" s="34" t="s">
        <v>28</v>
      </c>
      <c r="C180" s="35" t="s">
        <v>46</v>
      </c>
      <c r="D180" s="34" t="s">
        <v>278</v>
      </c>
      <c r="E180" s="36" t="s">
        <v>279</v>
      </c>
      <c r="F180" s="34" t="s">
        <v>49</v>
      </c>
      <c r="G180" s="34" t="s">
        <v>32</v>
      </c>
      <c r="H180" s="34" t="s">
        <v>50</v>
      </c>
      <c r="I180" s="37"/>
      <c r="J180" s="37">
        <v>5000</v>
      </c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>
        <f t="shared" si="75"/>
        <v>5000</v>
      </c>
      <c r="V180" s="6"/>
      <c r="W180" s="51">
        <v>3240</v>
      </c>
      <c r="X180" s="39">
        <v>46428</v>
      </c>
      <c r="Y180" s="40" t="s">
        <v>51</v>
      </c>
      <c r="Z180" s="40"/>
      <c r="AA180" s="40" t="s">
        <v>45</v>
      </c>
      <c r="AB180" s="41">
        <v>0.03</v>
      </c>
      <c r="AD180" s="42" t="str">
        <f>C180&amp;A180</f>
        <v>MANUTEN. SISTEMAS  INFORMATICAAdm</v>
      </c>
      <c r="AE180" s="42" t="str">
        <f>IFERROR(VLOOKUP(C180,[34]Planilha1!$B:$C,2,0),"Não se Aplica")</f>
        <v>Sim</v>
      </c>
      <c r="AF180" s="42" t="str">
        <f>VLOOKUP(AD180,[34]Planilha1!$H:$J,3,0)</f>
        <v>Sim</v>
      </c>
      <c r="AG180" s="43">
        <f t="shared" si="74"/>
        <v>4537.5</v>
      </c>
    </row>
    <row r="181" spans="1:33" x14ac:dyDescent="0.3">
      <c r="A181" s="1" t="s">
        <v>837</v>
      </c>
      <c r="B181" s="34" t="s">
        <v>20</v>
      </c>
      <c r="C181" s="35" t="s">
        <v>161</v>
      </c>
      <c r="D181" s="34" t="s">
        <v>280</v>
      </c>
      <c r="E181" s="36" t="s">
        <v>281</v>
      </c>
      <c r="F181" s="34" t="s">
        <v>49</v>
      </c>
      <c r="G181" s="34" t="s">
        <v>32</v>
      </c>
      <c r="H181" s="34" t="s">
        <v>50</v>
      </c>
      <c r="I181" s="37">
        <f t="shared" ref="I181:I244" si="88">IF($Y181="janeiro",$W181*(1+$AB181),$W181)</f>
        <v>5789.62</v>
      </c>
      <c r="J181" s="37">
        <f t="shared" ref="J181:J244" si="89">IF($Y181="fevereiro",$I181*(1+$AB181),$I181)</f>
        <v>5789.62</v>
      </c>
      <c r="K181" s="37">
        <f t="shared" ref="K181:K244" si="90">IF($Y181="março",$J181*(1+$AB181),$J181)</f>
        <v>5789.62</v>
      </c>
      <c r="L181" s="37">
        <f t="shared" ref="L181:L244" si="91">IF($Y181="abril",$K181*(1+$AB181),$K181)</f>
        <v>5789.62</v>
      </c>
      <c r="M181" s="37">
        <f t="shared" ref="M181:M244" si="92">IF($Y181="maio",$L181*(1+$AB181),$L181)</f>
        <v>5789.62</v>
      </c>
      <c r="N181" s="37">
        <f t="shared" ref="N181:N244" si="93">IF($Y181="junho",$M181*(1+$AB181),$M181)</f>
        <v>5789.62</v>
      </c>
      <c r="O181" s="37">
        <f t="shared" ref="O181:O244" si="94">IF($Y181="julho",$N181*(1+$AB181),$N181)</f>
        <v>5963.3086000000003</v>
      </c>
      <c r="P181" s="37">
        <f t="shared" ref="P181:P244" si="95">IF($Y181="agosto",$O181*(1+$AB181),$O181)</f>
        <v>5963.3086000000003</v>
      </c>
      <c r="Q181" s="37">
        <f t="shared" ref="Q181:Q244" si="96">IF($Y181="setembro",$P181*(1+$AB181),$P181)</f>
        <v>5963.3086000000003</v>
      </c>
      <c r="R181" s="37">
        <f t="shared" ref="R181:R244" si="97">IF($Y181="outubro",$Q181*(1+$AB181),$Q181)</f>
        <v>5963.3086000000003</v>
      </c>
      <c r="S181" s="37">
        <f t="shared" ref="S181:S244" si="98">IF($Y181="novembro",$R181*(1+$AB181),$R181)</f>
        <v>5963.3086000000003</v>
      </c>
      <c r="T181" s="37">
        <f t="shared" ref="T181:T244" si="99">IF($Y181="dezembro",$S181*(1+$AB181),$S181)</f>
        <v>5963.3086000000003</v>
      </c>
      <c r="U181" s="37">
        <f t="shared" si="75"/>
        <v>70517.571600000025</v>
      </c>
      <c r="W181" s="51">
        <v>5789.62</v>
      </c>
      <c r="X181" s="39">
        <v>45878</v>
      </c>
      <c r="Y181" s="40" t="s">
        <v>102</v>
      </c>
      <c r="Z181" s="40"/>
      <c r="AA181" s="40" t="s">
        <v>45</v>
      </c>
      <c r="AB181" s="41">
        <v>0.03</v>
      </c>
      <c r="AD181" s="42" t="str">
        <f>C181&amp;A181</f>
        <v>CONSERVACAO DE PREDIOSAdm</v>
      </c>
      <c r="AE181" s="42" t="str">
        <f>IFERROR(VLOOKUP(C181,[34]Planilha1!$B:$C,2,0),"Não se Aplica")</f>
        <v>Sim</v>
      </c>
      <c r="AF181" s="42" t="str">
        <f>VLOOKUP(AD181,[34]Planilha1!$H:$J,3,0)</f>
        <v>Sim</v>
      </c>
      <c r="AG181" s="43">
        <f t="shared" si="74"/>
        <v>63994.696227000022</v>
      </c>
    </row>
    <row r="182" spans="1:33" x14ac:dyDescent="0.3">
      <c r="A182" s="1" t="s">
        <v>837</v>
      </c>
      <c r="B182" s="34" t="s">
        <v>20</v>
      </c>
      <c r="C182" s="35" t="s">
        <v>240</v>
      </c>
      <c r="D182" s="34" t="s">
        <v>282</v>
      </c>
      <c r="E182" s="36" t="s">
        <v>283</v>
      </c>
      <c r="F182" s="34" t="s">
        <v>49</v>
      </c>
      <c r="G182" s="34" t="s">
        <v>22</v>
      </c>
      <c r="H182" s="34" t="s">
        <v>50</v>
      </c>
      <c r="I182" s="37">
        <f t="shared" si="88"/>
        <v>1647.8970000000002</v>
      </c>
      <c r="J182" s="37">
        <f t="shared" si="89"/>
        <v>1647.8970000000002</v>
      </c>
      <c r="K182" s="37">
        <f t="shared" si="90"/>
        <v>1647.8970000000002</v>
      </c>
      <c r="L182" s="37">
        <f t="shared" si="91"/>
        <v>1647.8970000000002</v>
      </c>
      <c r="M182" s="37">
        <f t="shared" si="92"/>
        <v>1647.8970000000002</v>
      </c>
      <c r="N182" s="37">
        <f t="shared" si="93"/>
        <v>1647.8970000000002</v>
      </c>
      <c r="O182" s="37">
        <f t="shared" si="94"/>
        <v>1647.8970000000002</v>
      </c>
      <c r="P182" s="37">
        <f t="shared" si="95"/>
        <v>1647.8970000000002</v>
      </c>
      <c r="Q182" s="37">
        <f t="shared" si="96"/>
        <v>1647.8970000000002</v>
      </c>
      <c r="R182" s="37">
        <f t="shared" si="97"/>
        <v>1647.8970000000002</v>
      </c>
      <c r="S182" s="37">
        <f t="shared" si="98"/>
        <v>1647.8970000000002</v>
      </c>
      <c r="T182" s="37">
        <f t="shared" si="99"/>
        <v>1647.8970000000002</v>
      </c>
      <c r="U182" s="37">
        <f t="shared" si="75"/>
        <v>19774.764000000006</v>
      </c>
      <c r="W182" s="51">
        <v>1599.9</v>
      </c>
      <c r="X182" s="39">
        <v>46446</v>
      </c>
      <c r="Y182" s="40" t="s">
        <v>51</v>
      </c>
      <c r="Z182" s="40"/>
      <c r="AA182" s="40" t="s">
        <v>45</v>
      </c>
      <c r="AB182" s="41">
        <v>0.03</v>
      </c>
      <c r="AD182" s="42" t="str">
        <f>C182&amp;A182</f>
        <v>INTERNET/COMUNICACOESAdm</v>
      </c>
      <c r="AE182" s="42" t="str">
        <f>IFERROR(VLOOKUP(C182,[34]Planilha1!$B:$C,2,0),"Não se Aplica")</f>
        <v>Sim</v>
      </c>
      <c r="AF182" s="42" t="str">
        <f>VLOOKUP(AD182,[34]Planilha1!$H:$J,3,0)</f>
        <v>Não</v>
      </c>
      <c r="AG182" s="43">
        <f t="shared" si="74"/>
        <v>19774.764000000006</v>
      </c>
    </row>
    <row r="183" spans="1:33" x14ac:dyDescent="0.3">
      <c r="A183" s="1" t="s">
        <v>837</v>
      </c>
      <c r="B183" s="34" t="s">
        <v>28</v>
      </c>
      <c r="C183" s="35" t="s">
        <v>240</v>
      </c>
      <c r="D183" s="34" t="s">
        <v>284</v>
      </c>
      <c r="E183" s="36" t="s">
        <v>283</v>
      </c>
      <c r="F183" s="34" t="s">
        <v>49</v>
      </c>
      <c r="G183" s="34" t="s">
        <v>22</v>
      </c>
      <c r="H183" s="34" t="s">
        <v>50</v>
      </c>
      <c r="I183" s="37">
        <f t="shared" si="88"/>
        <v>449.95550000000003</v>
      </c>
      <c r="J183" s="37">
        <f t="shared" si="89"/>
        <v>449.95550000000003</v>
      </c>
      <c r="K183" s="37">
        <f t="shared" si="90"/>
        <v>449.95550000000003</v>
      </c>
      <c r="L183" s="37">
        <f t="shared" si="91"/>
        <v>449.95550000000003</v>
      </c>
      <c r="M183" s="37">
        <f t="shared" si="92"/>
        <v>449.95550000000003</v>
      </c>
      <c r="N183" s="37">
        <f t="shared" si="93"/>
        <v>449.95550000000003</v>
      </c>
      <c r="O183" s="37">
        <f t="shared" si="94"/>
        <v>449.95550000000003</v>
      </c>
      <c r="P183" s="37">
        <f t="shared" si="95"/>
        <v>449.95550000000003</v>
      </c>
      <c r="Q183" s="37">
        <f t="shared" si="96"/>
        <v>449.95550000000003</v>
      </c>
      <c r="R183" s="37">
        <f t="shared" si="97"/>
        <v>449.95550000000003</v>
      </c>
      <c r="S183" s="37">
        <f t="shared" si="98"/>
        <v>449.95550000000003</v>
      </c>
      <c r="T183" s="37">
        <f t="shared" si="99"/>
        <v>449.95550000000003</v>
      </c>
      <c r="U183" s="37">
        <f t="shared" si="75"/>
        <v>5399.4660000000003</v>
      </c>
      <c r="W183" s="51">
        <v>436.85</v>
      </c>
      <c r="X183" s="39">
        <v>46446</v>
      </c>
      <c r="Y183" s="40" t="s">
        <v>51</v>
      </c>
      <c r="Z183" s="40"/>
      <c r="AA183" s="40" t="s">
        <v>45</v>
      </c>
      <c r="AB183" s="41">
        <v>0.03</v>
      </c>
      <c r="AD183" s="42" t="str">
        <f>C183&amp;A183</f>
        <v>INTERNET/COMUNICACOESAdm</v>
      </c>
      <c r="AE183" s="42" t="str">
        <f>IFERROR(VLOOKUP(C183,[34]Planilha1!$B:$C,2,0),"Não se Aplica")</f>
        <v>Sim</v>
      </c>
      <c r="AF183" s="42" t="str">
        <f>VLOOKUP(AD183,[34]Planilha1!$H:$J,3,0)</f>
        <v>Não</v>
      </c>
      <c r="AG183" s="43">
        <f t="shared" si="74"/>
        <v>5399.4660000000003</v>
      </c>
    </row>
    <row r="184" spans="1:33" x14ac:dyDescent="0.3">
      <c r="A184" s="1" t="s">
        <v>837</v>
      </c>
      <c r="B184" s="34" t="s">
        <v>28</v>
      </c>
      <c r="C184" s="35" t="s">
        <v>240</v>
      </c>
      <c r="D184" s="34" t="s">
        <v>285</v>
      </c>
      <c r="E184" s="36" t="s">
        <v>286</v>
      </c>
      <c r="F184" s="34" t="s">
        <v>49</v>
      </c>
      <c r="G184" s="34" t="s">
        <v>30</v>
      </c>
      <c r="H184" s="34" t="s">
        <v>50</v>
      </c>
      <c r="I184" s="37">
        <f t="shared" si="88"/>
        <v>600</v>
      </c>
      <c r="J184" s="37">
        <f t="shared" si="89"/>
        <v>618</v>
      </c>
      <c r="K184" s="37">
        <f t="shared" si="90"/>
        <v>618</v>
      </c>
      <c r="L184" s="37">
        <f t="shared" si="91"/>
        <v>618</v>
      </c>
      <c r="M184" s="37">
        <f t="shared" si="92"/>
        <v>618</v>
      </c>
      <c r="N184" s="37">
        <f t="shared" si="93"/>
        <v>618</v>
      </c>
      <c r="O184" s="37">
        <f t="shared" si="94"/>
        <v>618</v>
      </c>
      <c r="P184" s="37">
        <f t="shared" si="95"/>
        <v>618</v>
      </c>
      <c r="Q184" s="37">
        <f t="shared" si="96"/>
        <v>618</v>
      </c>
      <c r="R184" s="37">
        <f t="shared" si="97"/>
        <v>618</v>
      </c>
      <c r="S184" s="37">
        <f t="shared" si="98"/>
        <v>618</v>
      </c>
      <c r="T184" s="37">
        <f t="shared" si="99"/>
        <v>618</v>
      </c>
      <c r="U184" s="37">
        <f t="shared" si="75"/>
        <v>7398</v>
      </c>
      <c r="W184" s="51">
        <v>600</v>
      </c>
      <c r="X184" s="39">
        <v>46087</v>
      </c>
      <c r="Y184" s="40" t="s">
        <v>82</v>
      </c>
      <c r="Z184" s="40"/>
      <c r="AA184" s="40" t="s">
        <v>45</v>
      </c>
      <c r="AB184" s="41">
        <v>0.03</v>
      </c>
      <c r="AD184" s="42" t="str">
        <f>C184&amp;A184</f>
        <v>INTERNET/COMUNICACOESAdm</v>
      </c>
      <c r="AE184" s="42" t="str">
        <f>IFERROR(VLOOKUP(C184,[34]Planilha1!$B:$C,2,0),"Não se Aplica")</f>
        <v>Sim</v>
      </c>
      <c r="AF184" s="42" t="str">
        <f>VLOOKUP(AD184,[34]Planilha1!$H:$J,3,0)</f>
        <v>Não</v>
      </c>
      <c r="AG184" s="43">
        <f t="shared" si="74"/>
        <v>7398</v>
      </c>
    </row>
    <row r="185" spans="1:33" x14ac:dyDescent="0.3">
      <c r="A185" s="1" t="s">
        <v>837</v>
      </c>
      <c r="B185" s="34" t="s">
        <v>28</v>
      </c>
      <c r="C185" s="35" t="s">
        <v>240</v>
      </c>
      <c r="D185" s="34" t="s">
        <v>287</v>
      </c>
      <c r="E185" s="36" t="s">
        <v>288</v>
      </c>
      <c r="F185" s="34" t="s">
        <v>49</v>
      </c>
      <c r="G185" s="34" t="s">
        <v>31</v>
      </c>
      <c r="H185" s="34" t="s">
        <v>50</v>
      </c>
      <c r="I185" s="37">
        <f t="shared" si="88"/>
        <v>600</v>
      </c>
      <c r="J185" s="37">
        <f t="shared" si="89"/>
        <v>600</v>
      </c>
      <c r="K185" s="37">
        <f t="shared" si="90"/>
        <v>600</v>
      </c>
      <c r="L185" s="37">
        <f t="shared" si="91"/>
        <v>600</v>
      </c>
      <c r="M185" s="37">
        <f t="shared" si="92"/>
        <v>600</v>
      </c>
      <c r="N185" s="37">
        <f t="shared" si="93"/>
        <v>600</v>
      </c>
      <c r="O185" s="37">
        <f t="shared" si="94"/>
        <v>600</v>
      </c>
      <c r="P185" s="37">
        <f t="shared" si="95"/>
        <v>600</v>
      </c>
      <c r="Q185" s="37">
        <f t="shared" si="96"/>
        <v>600</v>
      </c>
      <c r="R185" s="37">
        <f t="shared" si="97"/>
        <v>600</v>
      </c>
      <c r="S185" s="37">
        <f t="shared" si="98"/>
        <v>600</v>
      </c>
      <c r="T185" s="37">
        <f t="shared" si="99"/>
        <v>600</v>
      </c>
      <c r="U185" s="37">
        <f t="shared" si="75"/>
        <v>7200</v>
      </c>
      <c r="V185" s="6"/>
      <c r="W185" s="51">
        <v>600</v>
      </c>
      <c r="X185" s="39"/>
      <c r="Y185" s="40"/>
      <c r="Z185" s="40"/>
      <c r="AA185" s="40" t="s">
        <v>45</v>
      </c>
      <c r="AB185" s="41">
        <v>0</v>
      </c>
      <c r="AD185" s="42" t="str">
        <f>C185&amp;A185</f>
        <v>INTERNET/COMUNICACOESAdm</v>
      </c>
      <c r="AE185" s="42" t="str">
        <f>IFERROR(VLOOKUP(C185,[34]Planilha1!$B:$C,2,0),"Não se Aplica")</f>
        <v>Sim</v>
      </c>
      <c r="AF185" s="42" t="str">
        <f>VLOOKUP(AD185,[34]Planilha1!$H:$J,3,0)</f>
        <v>Não</v>
      </c>
      <c r="AG185" s="43">
        <f t="shared" si="74"/>
        <v>7200</v>
      </c>
    </row>
    <row r="186" spans="1:33" x14ac:dyDescent="0.3">
      <c r="A186" s="1" t="s">
        <v>837</v>
      </c>
      <c r="B186" s="34" t="s">
        <v>20</v>
      </c>
      <c r="C186" s="35" t="s">
        <v>46</v>
      </c>
      <c r="D186" s="34" t="s">
        <v>289</v>
      </c>
      <c r="E186" s="36" t="s">
        <v>290</v>
      </c>
      <c r="F186" s="34" t="s">
        <v>49</v>
      </c>
      <c r="G186" s="34" t="s">
        <v>32</v>
      </c>
      <c r="H186" s="34" t="s">
        <v>50</v>
      </c>
      <c r="I186" s="37">
        <f t="shared" si="88"/>
        <v>4500</v>
      </c>
      <c r="J186" s="37">
        <f t="shared" si="89"/>
        <v>4500</v>
      </c>
      <c r="K186" s="37">
        <f t="shared" si="90"/>
        <v>4500</v>
      </c>
      <c r="L186" s="37">
        <f t="shared" si="91"/>
        <v>4500</v>
      </c>
      <c r="M186" s="37">
        <f t="shared" si="92"/>
        <v>4500</v>
      </c>
      <c r="N186" s="37">
        <f t="shared" si="93"/>
        <v>4500</v>
      </c>
      <c r="O186" s="37">
        <f t="shared" si="94"/>
        <v>4500</v>
      </c>
      <c r="P186" s="37">
        <f t="shared" si="95"/>
        <v>4500</v>
      </c>
      <c r="Q186" s="37">
        <f t="shared" si="96"/>
        <v>4500</v>
      </c>
      <c r="R186" s="37">
        <f t="shared" si="97"/>
        <v>4500</v>
      </c>
      <c r="S186" s="37">
        <f t="shared" si="98"/>
        <v>4500</v>
      </c>
      <c r="T186" s="37">
        <f t="shared" si="99"/>
        <v>4500</v>
      </c>
      <c r="U186" s="37">
        <f t="shared" si="75"/>
        <v>54000</v>
      </c>
      <c r="W186" s="51">
        <v>4500</v>
      </c>
      <c r="X186" s="39"/>
      <c r="Y186" s="40"/>
      <c r="Z186" s="40"/>
      <c r="AA186" s="40" t="s">
        <v>45</v>
      </c>
      <c r="AB186" s="41">
        <v>0</v>
      </c>
      <c r="AD186" s="42" t="str">
        <f>C186&amp;A186</f>
        <v>MANUTEN. SISTEMAS  INFORMATICAAdm</v>
      </c>
      <c r="AE186" s="42" t="str">
        <f>IFERROR(VLOOKUP(C186,[34]Planilha1!$B:$C,2,0),"Não se Aplica")</f>
        <v>Sim</v>
      </c>
      <c r="AF186" s="42" t="str">
        <f>VLOOKUP(AD186,[34]Planilha1!$H:$J,3,0)</f>
        <v>Sim</v>
      </c>
      <c r="AG186" s="43">
        <f t="shared" si="74"/>
        <v>49005</v>
      </c>
    </row>
    <row r="187" spans="1:33" x14ac:dyDescent="0.3">
      <c r="A187" s="1" t="s">
        <v>836</v>
      </c>
      <c r="B187" s="34" t="s">
        <v>20</v>
      </c>
      <c r="C187" s="35" t="s">
        <v>38</v>
      </c>
      <c r="D187" s="61" t="s">
        <v>291</v>
      </c>
      <c r="E187" s="36" t="s">
        <v>292</v>
      </c>
      <c r="F187" s="34" t="s">
        <v>36</v>
      </c>
      <c r="G187" s="34" t="s">
        <v>32</v>
      </c>
      <c r="H187" s="34" t="s">
        <v>50</v>
      </c>
      <c r="I187" s="37">
        <f t="shared" si="88"/>
        <v>3207.03</v>
      </c>
      <c r="J187" s="37">
        <f t="shared" si="89"/>
        <v>3207.03</v>
      </c>
      <c r="K187" s="37">
        <f t="shared" si="90"/>
        <v>3207.03</v>
      </c>
      <c r="L187" s="37">
        <f t="shared" si="91"/>
        <v>3207.03</v>
      </c>
      <c r="M187" s="37">
        <f t="shared" si="92"/>
        <v>3207.03</v>
      </c>
      <c r="N187" s="37">
        <f t="shared" si="93"/>
        <v>3207.03</v>
      </c>
      <c r="O187" s="37">
        <f t="shared" si="94"/>
        <v>3207.03</v>
      </c>
      <c r="P187" s="37">
        <f t="shared" si="95"/>
        <v>3207.03</v>
      </c>
      <c r="Q187" s="37">
        <f t="shared" si="96"/>
        <v>3207.03</v>
      </c>
      <c r="R187" s="37">
        <f t="shared" si="97"/>
        <v>3207.03</v>
      </c>
      <c r="S187" s="37">
        <f t="shared" si="98"/>
        <v>3207.03</v>
      </c>
      <c r="T187" s="37">
        <f t="shared" si="99"/>
        <v>3207.03</v>
      </c>
      <c r="U187" s="37">
        <f t="shared" si="75"/>
        <v>38484.359999999993</v>
      </c>
      <c r="V187" s="6"/>
      <c r="W187" s="38">
        <v>3207.03</v>
      </c>
      <c r="X187" s="39"/>
      <c r="Y187" s="40" t="s">
        <v>164</v>
      </c>
      <c r="Z187" s="40" t="s">
        <v>55</v>
      </c>
      <c r="AA187" s="40" t="s">
        <v>45</v>
      </c>
      <c r="AB187" s="41">
        <v>0</v>
      </c>
      <c r="AD187" s="42" t="str">
        <f>C187&amp;A187</f>
        <v>ALUGUEIS DE EQUIPAMENTOSOper</v>
      </c>
      <c r="AE187" s="42" t="str">
        <f>IFERROR(VLOOKUP(C187,[34]Planilha1!$B:$C,2,0),"Não se Aplica")</f>
        <v>Sim</v>
      </c>
      <c r="AF187" s="42" t="str">
        <f>VLOOKUP(AD187,[34]Planilha1!$H:$J,3,0)</f>
        <v>Sim</v>
      </c>
      <c r="AG187" s="43">
        <f t="shared" si="74"/>
        <v>34924.556699999994</v>
      </c>
    </row>
    <row r="188" spans="1:33" x14ac:dyDescent="0.3">
      <c r="A188" s="1" t="s">
        <v>837</v>
      </c>
      <c r="B188" s="34" t="s">
        <v>28</v>
      </c>
      <c r="C188" s="35" t="s">
        <v>117</v>
      </c>
      <c r="D188" s="34" t="s">
        <v>293</v>
      </c>
      <c r="E188" s="36" t="s">
        <v>294</v>
      </c>
      <c r="F188" s="34" t="s">
        <v>49</v>
      </c>
      <c r="G188" s="34" t="s">
        <v>32</v>
      </c>
      <c r="H188" s="34" t="s">
        <v>50</v>
      </c>
      <c r="I188" s="37">
        <f t="shared" si="88"/>
        <v>10.48</v>
      </c>
      <c r="J188" s="37">
        <f t="shared" si="89"/>
        <v>10.48</v>
      </c>
      <c r="K188" s="37">
        <f t="shared" si="90"/>
        <v>10.48</v>
      </c>
      <c r="L188" s="37">
        <f t="shared" si="91"/>
        <v>10.48</v>
      </c>
      <c r="M188" s="37">
        <f t="shared" si="92"/>
        <v>10.48</v>
      </c>
      <c r="N188" s="37">
        <f t="shared" si="93"/>
        <v>10.48</v>
      </c>
      <c r="O188" s="37">
        <f t="shared" si="94"/>
        <v>10.48</v>
      </c>
      <c r="P188" s="37">
        <f t="shared" si="95"/>
        <v>10.48</v>
      </c>
      <c r="Q188" s="37">
        <f t="shared" si="96"/>
        <v>10.48</v>
      </c>
      <c r="R188" s="37">
        <f t="shared" si="97"/>
        <v>10.48</v>
      </c>
      <c r="S188" s="37">
        <f t="shared" si="98"/>
        <v>10.48</v>
      </c>
      <c r="T188" s="37">
        <f t="shared" si="99"/>
        <v>10.48</v>
      </c>
      <c r="U188" s="37">
        <f t="shared" si="75"/>
        <v>125.76000000000003</v>
      </c>
      <c r="W188" s="38">
        <v>10.48</v>
      </c>
      <c r="X188" s="39"/>
      <c r="Y188" s="40"/>
      <c r="Z188" s="40"/>
      <c r="AA188" s="40" t="s">
        <v>45</v>
      </c>
      <c r="AB188" s="41">
        <v>0</v>
      </c>
      <c r="AD188" s="42" t="str">
        <f>C188&amp;A188</f>
        <v>ASSESSORIA ADMINISTRATIVAAdm</v>
      </c>
      <c r="AE188" s="42" t="str">
        <f>IFERROR(VLOOKUP(C188,[34]Planilha1!$B:$C,2,0),"Não se Aplica")</f>
        <v>Sim</v>
      </c>
      <c r="AF188" s="42" t="str">
        <f>VLOOKUP(AD188,[34]Planilha1!$H:$J,3,0)</f>
        <v>Não</v>
      </c>
      <c r="AG188" s="43">
        <f t="shared" si="74"/>
        <v>125.76000000000003</v>
      </c>
    </row>
    <row r="189" spans="1:33" x14ac:dyDescent="0.3">
      <c r="A189" s="1" t="s">
        <v>837</v>
      </c>
      <c r="B189" s="34" t="s">
        <v>28</v>
      </c>
      <c r="C189" s="35" t="s">
        <v>157</v>
      </c>
      <c r="D189" s="34" t="s">
        <v>293</v>
      </c>
      <c r="E189" s="36" t="s">
        <v>294</v>
      </c>
      <c r="F189" s="34" t="s">
        <v>49</v>
      </c>
      <c r="G189" s="34" t="s">
        <v>32</v>
      </c>
      <c r="H189" s="34" t="s">
        <v>50</v>
      </c>
      <c r="I189" s="37">
        <f t="shared" si="88"/>
        <v>867.24</v>
      </c>
      <c r="J189" s="37">
        <f t="shared" si="89"/>
        <v>867.24</v>
      </c>
      <c r="K189" s="37">
        <f t="shared" si="90"/>
        <v>867.24</v>
      </c>
      <c r="L189" s="37">
        <f t="shared" si="91"/>
        <v>867.24</v>
      </c>
      <c r="M189" s="37">
        <f t="shared" si="92"/>
        <v>867.24</v>
      </c>
      <c r="N189" s="37">
        <f t="shared" si="93"/>
        <v>867.24</v>
      </c>
      <c r="O189" s="37">
        <f t="shared" si="94"/>
        <v>867.24</v>
      </c>
      <c r="P189" s="37">
        <f t="shared" si="95"/>
        <v>867.24</v>
      </c>
      <c r="Q189" s="37">
        <f t="shared" si="96"/>
        <v>867.24</v>
      </c>
      <c r="R189" s="37">
        <f t="shared" si="97"/>
        <v>867.24</v>
      </c>
      <c r="S189" s="37">
        <f t="shared" si="98"/>
        <v>867.24</v>
      </c>
      <c r="T189" s="37">
        <f t="shared" si="99"/>
        <v>867.24</v>
      </c>
      <c r="U189" s="37">
        <f t="shared" si="75"/>
        <v>10406.879999999999</v>
      </c>
      <c r="V189" s="6"/>
      <c r="W189" s="51">
        <v>867.24</v>
      </c>
      <c r="X189" s="39"/>
      <c r="Y189" s="40"/>
      <c r="Z189" s="40"/>
      <c r="AA189" s="40" t="s">
        <v>45</v>
      </c>
      <c r="AB189" s="41">
        <v>0</v>
      </c>
      <c r="AD189" s="42" t="str">
        <f>C189&amp;A189</f>
        <v>ASSESSORIA GUARDA DE DOCUMENTOSAdm</v>
      </c>
      <c r="AE189" s="42" t="str">
        <f>IFERROR(VLOOKUP(C189,[34]Planilha1!$B:$C,2,0),"Não se Aplica")</f>
        <v>Sim</v>
      </c>
      <c r="AF189" s="42" t="str">
        <f>VLOOKUP(AD189,[34]Planilha1!$H:$J,3,0)</f>
        <v>Não</v>
      </c>
      <c r="AG189" s="43">
        <f t="shared" si="74"/>
        <v>10406.879999999999</v>
      </c>
    </row>
    <row r="190" spans="1:33" x14ac:dyDescent="0.3">
      <c r="A190" s="1" t="s">
        <v>837</v>
      </c>
      <c r="B190" s="34" t="s">
        <v>28</v>
      </c>
      <c r="C190" s="35" t="s">
        <v>240</v>
      </c>
      <c r="D190" s="34" t="s">
        <v>295</v>
      </c>
      <c r="E190" s="36" t="s">
        <v>296</v>
      </c>
      <c r="F190" s="34" t="s">
        <v>49</v>
      </c>
      <c r="G190" s="34" t="s">
        <v>31</v>
      </c>
      <c r="H190" s="34" t="s">
        <v>50</v>
      </c>
      <c r="I190" s="37">
        <f t="shared" si="88"/>
        <v>500</v>
      </c>
      <c r="J190" s="37">
        <f t="shared" si="89"/>
        <v>500</v>
      </c>
      <c r="K190" s="37">
        <f t="shared" si="90"/>
        <v>500</v>
      </c>
      <c r="L190" s="37">
        <f t="shared" si="91"/>
        <v>500</v>
      </c>
      <c r="M190" s="37">
        <f t="shared" si="92"/>
        <v>500</v>
      </c>
      <c r="N190" s="37">
        <f t="shared" si="93"/>
        <v>500</v>
      </c>
      <c r="O190" s="37">
        <f t="shared" si="94"/>
        <v>500</v>
      </c>
      <c r="P190" s="37">
        <f t="shared" si="95"/>
        <v>500</v>
      </c>
      <c r="Q190" s="37">
        <f t="shared" si="96"/>
        <v>515</v>
      </c>
      <c r="R190" s="37">
        <f t="shared" si="97"/>
        <v>515</v>
      </c>
      <c r="S190" s="37">
        <f t="shared" si="98"/>
        <v>515</v>
      </c>
      <c r="T190" s="37">
        <f t="shared" si="99"/>
        <v>515</v>
      </c>
      <c r="U190" s="37">
        <f t="shared" si="75"/>
        <v>6060</v>
      </c>
      <c r="V190" s="6"/>
      <c r="W190" s="51">
        <v>500</v>
      </c>
      <c r="X190" s="39">
        <v>45221</v>
      </c>
      <c r="Y190" s="40" t="s">
        <v>129</v>
      </c>
      <c r="Z190" s="40"/>
      <c r="AA190" s="40" t="s">
        <v>45</v>
      </c>
      <c r="AB190" s="41">
        <v>0.03</v>
      </c>
      <c r="AD190" s="42" t="str">
        <f>C190&amp;A190</f>
        <v>INTERNET/COMUNICACOESAdm</v>
      </c>
      <c r="AE190" s="42" t="str">
        <f>IFERROR(VLOOKUP(C190,[34]Planilha1!$B:$C,2,0),"Não se Aplica")</f>
        <v>Sim</v>
      </c>
      <c r="AF190" s="42" t="str">
        <f>VLOOKUP(AD190,[34]Planilha1!$H:$J,3,0)</f>
        <v>Não</v>
      </c>
      <c r="AG190" s="43">
        <f t="shared" si="74"/>
        <v>6060</v>
      </c>
    </row>
    <row r="191" spans="1:33" x14ac:dyDescent="0.3">
      <c r="A191" s="1" t="s">
        <v>837</v>
      </c>
      <c r="B191" s="34" t="s">
        <v>28</v>
      </c>
      <c r="C191" s="35" t="s">
        <v>240</v>
      </c>
      <c r="D191" s="34" t="s">
        <v>297</v>
      </c>
      <c r="E191" s="36" t="s">
        <v>296</v>
      </c>
      <c r="F191" s="34" t="s">
        <v>49</v>
      </c>
      <c r="G191" s="34" t="s">
        <v>31</v>
      </c>
      <c r="H191" s="34" t="s">
        <v>50</v>
      </c>
      <c r="I191" s="37">
        <f t="shared" si="88"/>
        <v>90</v>
      </c>
      <c r="J191" s="37">
        <f t="shared" si="89"/>
        <v>90</v>
      </c>
      <c r="K191" s="37">
        <f t="shared" si="90"/>
        <v>90</v>
      </c>
      <c r="L191" s="37">
        <f t="shared" si="91"/>
        <v>90</v>
      </c>
      <c r="M191" s="37">
        <f t="shared" si="92"/>
        <v>90</v>
      </c>
      <c r="N191" s="37">
        <f t="shared" si="93"/>
        <v>90</v>
      </c>
      <c r="O191" s="37">
        <f t="shared" si="94"/>
        <v>90</v>
      </c>
      <c r="P191" s="37">
        <f t="shared" si="95"/>
        <v>90</v>
      </c>
      <c r="Q191" s="37">
        <f t="shared" si="96"/>
        <v>92.7</v>
      </c>
      <c r="R191" s="37">
        <f t="shared" si="97"/>
        <v>92.7</v>
      </c>
      <c r="S191" s="37">
        <f t="shared" si="98"/>
        <v>92.7</v>
      </c>
      <c r="T191" s="37">
        <f t="shared" si="99"/>
        <v>92.7</v>
      </c>
      <c r="U191" s="37">
        <f t="shared" si="75"/>
        <v>1090.8000000000002</v>
      </c>
      <c r="W191" s="51">
        <v>90</v>
      </c>
      <c r="X191" s="39">
        <v>45221</v>
      </c>
      <c r="Y191" s="40" t="s">
        <v>129</v>
      </c>
      <c r="Z191" s="40"/>
      <c r="AA191" s="40" t="s">
        <v>45</v>
      </c>
      <c r="AB191" s="41">
        <v>0.03</v>
      </c>
      <c r="AD191" s="42" t="str">
        <f>C191&amp;A191</f>
        <v>INTERNET/COMUNICACOESAdm</v>
      </c>
      <c r="AE191" s="42" t="str">
        <f>IFERROR(VLOOKUP(C191,[34]Planilha1!$B:$C,2,0),"Não se Aplica")</f>
        <v>Sim</v>
      </c>
      <c r="AF191" s="42" t="str">
        <f>VLOOKUP(AD191,[34]Planilha1!$H:$J,3,0)</f>
        <v>Não</v>
      </c>
      <c r="AG191" s="43">
        <f t="shared" si="74"/>
        <v>1090.8000000000002</v>
      </c>
    </row>
    <row r="192" spans="1:33" x14ac:dyDescent="0.3">
      <c r="A192" s="1" t="s">
        <v>837</v>
      </c>
      <c r="B192" s="34" t="s">
        <v>20</v>
      </c>
      <c r="C192" s="35" t="s">
        <v>69</v>
      </c>
      <c r="D192" s="34" t="s">
        <v>298</v>
      </c>
      <c r="E192" s="36" t="s">
        <v>299</v>
      </c>
      <c r="F192" s="34" t="s">
        <v>49</v>
      </c>
      <c r="G192" s="34" t="s">
        <v>32</v>
      </c>
      <c r="H192" s="34" t="s">
        <v>50</v>
      </c>
      <c r="I192" s="37">
        <f t="shared" si="88"/>
        <v>2500</v>
      </c>
      <c r="J192" s="37">
        <f t="shared" si="89"/>
        <v>2500</v>
      </c>
      <c r="K192" s="37">
        <f t="shared" si="90"/>
        <v>2500</v>
      </c>
      <c r="L192" s="37">
        <f t="shared" si="91"/>
        <v>2500</v>
      </c>
      <c r="M192" s="37">
        <f t="shared" si="92"/>
        <v>2500</v>
      </c>
      <c r="N192" s="37">
        <f t="shared" si="93"/>
        <v>2500</v>
      </c>
      <c r="O192" s="37">
        <f t="shared" si="94"/>
        <v>2575</v>
      </c>
      <c r="P192" s="37">
        <f t="shared" si="95"/>
        <v>2575</v>
      </c>
      <c r="Q192" s="37">
        <f t="shared" si="96"/>
        <v>2575</v>
      </c>
      <c r="R192" s="37">
        <f t="shared" si="97"/>
        <v>2575</v>
      </c>
      <c r="S192" s="37">
        <f t="shared" si="98"/>
        <v>2575</v>
      </c>
      <c r="T192" s="37">
        <f t="shared" si="99"/>
        <v>2575</v>
      </c>
      <c r="U192" s="37">
        <f t="shared" si="75"/>
        <v>30450</v>
      </c>
      <c r="W192" s="51">
        <v>2500</v>
      </c>
      <c r="X192" s="39">
        <v>45849</v>
      </c>
      <c r="Y192" s="40" t="s">
        <v>102</v>
      </c>
      <c r="Z192" s="40"/>
      <c r="AA192" s="40" t="s">
        <v>45</v>
      </c>
      <c r="AB192" s="41">
        <v>0.03</v>
      </c>
      <c r="AD192" s="42" t="str">
        <f>C192&amp;A192</f>
        <v>ASSESSORIA E SERVICO INFORMATICAAdm</v>
      </c>
      <c r="AE192" s="42" t="str">
        <f>IFERROR(VLOOKUP(C192,[34]Planilha1!$B:$C,2,0),"Não se Aplica")</f>
        <v>Sim</v>
      </c>
      <c r="AF192" s="42" t="str">
        <f>VLOOKUP(AD192,[34]Planilha1!$H:$J,3,0)</f>
        <v>Não</v>
      </c>
      <c r="AG192" s="43">
        <f t="shared" si="74"/>
        <v>30450</v>
      </c>
    </row>
    <row r="193" spans="1:33" x14ac:dyDescent="0.3">
      <c r="A193" s="1" t="s">
        <v>836</v>
      </c>
      <c r="B193" s="34" t="s">
        <v>28</v>
      </c>
      <c r="C193" s="35" t="s">
        <v>38</v>
      </c>
      <c r="D193" s="34" t="s">
        <v>300</v>
      </c>
      <c r="E193" s="36" t="s">
        <v>301</v>
      </c>
      <c r="F193" s="34" t="s">
        <v>37</v>
      </c>
      <c r="G193" s="34" t="s">
        <v>32</v>
      </c>
      <c r="H193" s="34" t="s">
        <v>50</v>
      </c>
      <c r="I193" s="37">
        <f t="shared" si="88"/>
        <v>2100</v>
      </c>
      <c r="J193" s="37">
        <f t="shared" si="89"/>
        <v>2100</v>
      </c>
      <c r="K193" s="37">
        <f t="shared" si="90"/>
        <v>2100</v>
      </c>
      <c r="L193" s="37">
        <f t="shared" si="91"/>
        <v>2100</v>
      </c>
      <c r="M193" s="37">
        <f t="shared" si="92"/>
        <v>2100</v>
      </c>
      <c r="N193" s="37">
        <f t="shared" si="93"/>
        <v>2100</v>
      </c>
      <c r="O193" s="37">
        <f t="shared" si="94"/>
        <v>2100</v>
      </c>
      <c r="P193" s="37">
        <f t="shared" si="95"/>
        <v>2100</v>
      </c>
      <c r="Q193" s="37">
        <f t="shared" si="96"/>
        <v>2163</v>
      </c>
      <c r="R193" s="37">
        <f t="shared" si="97"/>
        <v>2163</v>
      </c>
      <c r="S193" s="37">
        <f t="shared" si="98"/>
        <v>2163</v>
      </c>
      <c r="T193" s="37">
        <f t="shared" si="99"/>
        <v>2163</v>
      </c>
      <c r="U193" s="37">
        <f t="shared" si="75"/>
        <v>25452</v>
      </c>
      <c r="W193" s="51">
        <v>2100</v>
      </c>
      <c r="X193" s="39">
        <v>46269</v>
      </c>
      <c r="Y193" s="40" t="s">
        <v>129</v>
      </c>
      <c r="Z193" s="40" t="s">
        <v>44</v>
      </c>
      <c r="AA193" s="40" t="s">
        <v>45</v>
      </c>
      <c r="AB193" s="41">
        <v>0.03</v>
      </c>
      <c r="AD193" s="42" t="str">
        <f>C193&amp;A193</f>
        <v>ALUGUEIS DE EQUIPAMENTOSOper</v>
      </c>
      <c r="AE193" s="42" t="str">
        <f>IFERROR(VLOOKUP(C193,[34]Planilha1!$B:$C,2,0),"Não se Aplica")</f>
        <v>Sim</v>
      </c>
      <c r="AF193" s="42" t="str">
        <f>VLOOKUP(AD193,[34]Planilha1!$H:$J,3,0)</f>
        <v>Sim</v>
      </c>
      <c r="AG193" s="43">
        <f t="shared" si="74"/>
        <v>23097.69</v>
      </c>
    </row>
    <row r="194" spans="1:33" x14ac:dyDescent="0.3">
      <c r="A194" s="1" t="s">
        <v>837</v>
      </c>
      <c r="B194" s="34" t="s">
        <v>28</v>
      </c>
      <c r="C194" s="35" t="s">
        <v>240</v>
      </c>
      <c r="D194" s="34" t="s">
        <v>243</v>
      </c>
      <c r="E194" s="36" t="s">
        <v>302</v>
      </c>
      <c r="F194" s="34" t="s">
        <v>49</v>
      </c>
      <c r="G194" s="34" t="s">
        <v>33</v>
      </c>
      <c r="H194" s="34" t="s">
        <v>50</v>
      </c>
      <c r="I194" s="37">
        <f t="shared" si="88"/>
        <v>900</v>
      </c>
      <c r="J194" s="37">
        <f t="shared" si="89"/>
        <v>927</v>
      </c>
      <c r="K194" s="37">
        <f t="shared" si="90"/>
        <v>927</v>
      </c>
      <c r="L194" s="37">
        <f t="shared" si="91"/>
        <v>927</v>
      </c>
      <c r="M194" s="37">
        <f t="shared" si="92"/>
        <v>927</v>
      </c>
      <c r="N194" s="37">
        <f t="shared" si="93"/>
        <v>927</v>
      </c>
      <c r="O194" s="37">
        <f t="shared" si="94"/>
        <v>927</v>
      </c>
      <c r="P194" s="37">
        <f t="shared" si="95"/>
        <v>927</v>
      </c>
      <c r="Q194" s="37">
        <f t="shared" si="96"/>
        <v>927</v>
      </c>
      <c r="R194" s="37">
        <f t="shared" si="97"/>
        <v>927</v>
      </c>
      <c r="S194" s="37">
        <f t="shared" si="98"/>
        <v>927</v>
      </c>
      <c r="T194" s="37">
        <f t="shared" si="99"/>
        <v>927</v>
      </c>
      <c r="U194" s="37">
        <f t="shared" si="75"/>
        <v>11097</v>
      </c>
      <c r="W194" s="51">
        <v>900</v>
      </c>
      <c r="X194" s="39">
        <v>46445</v>
      </c>
      <c r="Y194" s="40" t="s">
        <v>82</v>
      </c>
      <c r="Z194" s="40"/>
      <c r="AA194" s="40" t="s">
        <v>45</v>
      </c>
      <c r="AB194" s="41">
        <v>0.03</v>
      </c>
      <c r="AD194" s="42" t="str">
        <f>C194&amp;A194</f>
        <v>INTERNET/COMUNICACOESAdm</v>
      </c>
      <c r="AE194" s="42" t="str">
        <f>IFERROR(VLOOKUP(C194,[34]Planilha1!$B:$C,2,0),"Não se Aplica")</f>
        <v>Sim</v>
      </c>
      <c r="AF194" s="42" t="str">
        <f>VLOOKUP(AD194,[34]Planilha1!$H:$J,3,0)</f>
        <v>Não</v>
      </c>
      <c r="AG194" s="43">
        <f t="shared" si="74"/>
        <v>11097</v>
      </c>
    </row>
    <row r="195" spans="1:33" x14ac:dyDescent="0.3">
      <c r="A195" s="1" t="s">
        <v>837</v>
      </c>
      <c r="B195" s="34" t="s">
        <v>20</v>
      </c>
      <c r="C195" s="35" t="s">
        <v>69</v>
      </c>
      <c r="D195" s="34" t="s">
        <v>303</v>
      </c>
      <c r="E195" s="36" t="s">
        <v>304</v>
      </c>
      <c r="F195" s="34" t="s">
        <v>49</v>
      </c>
      <c r="G195" s="34" t="s">
        <v>32</v>
      </c>
      <c r="H195" s="34" t="s">
        <v>50</v>
      </c>
      <c r="I195" s="37">
        <f t="shared" si="88"/>
        <v>35992.6</v>
      </c>
      <c r="J195" s="37">
        <f t="shared" si="89"/>
        <v>35992.6</v>
      </c>
      <c r="K195" s="37">
        <f t="shared" si="90"/>
        <v>35992.6</v>
      </c>
      <c r="L195" s="37">
        <f t="shared" si="91"/>
        <v>37072.377999999997</v>
      </c>
      <c r="M195" s="37">
        <f t="shared" si="92"/>
        <v>37072.377999999997</v>
      </c>
      <c r="N195" s="37">
        <f t="shared" si="93"/>
        <v>37072.377999999997</v>
      </c>
      <c r="O195" s="37">
        <f t="shared" si="94"/>
        <v>37072.377999999997</v>
      </c>
      <c r="P195" s="37">
        <f t="shared" si="95"/>
        <v>37072.377999999997</v>
      </c>
      <c r="Q195" s="37">
        <f t="shared" si="96"/>
        <v>37072.377999999997</v>
      </c>
      <c r="R195" s="37">
        <f t="shared" si="97"/>
        <v>37072.377999999997</v>
      </c>
      <c r="S195" s="37">
        <f t="shared" si="98"/>
        <v>37072.377999999997</v>
      </c>
      <c r="T195" s="37">
        <f t="shared" si="99"/>
        <v>37072.377999999997</v>
      </c>
      <c r="U195" s="37">
        <f t="shared" si="75"/>
        <v>441629.20200000005</v>
      </c>
      <c r="W195" s="38">
        <v>35992.6</v>
      </c>
      <c r="X195" s="39">
        <v>46853</v>
      </c>
      <c r="Y195" s="40" t="s">
        <v>103</v>
      </c>
      <c r="Z195" s="40" t="s">
        <v>55</v>
      </c>
      <c r="AA195" s="40" t="s">
        <v>45</v>
      </c>
      <c r="AB195" s="41">
        <v>0.03</v>
      </c>
      <c r="AD195" s="42" t="str">
        <f>C195&amp;A195</f>
        <v>ASSESSORIA E SERVICO INFORMATICAAdm</v>
      </c>
      <c r="AE195" s="42" t="str">
        <f>IFERROR(VLOOKUP(C195,[34]Planilha1!$B:$C,2,0),"Não se Aplica")</f>
        <v>Sim</v>
      </c>
      <c r="AF195" s="42" t="str">
        <f>VLOOKUP(AD195,[34]Planilha1!$H:$J,3,0)</f>
        <v>Não</v>
      </c>
      <c r="AG195" s="43">
        <f t="shared" si="74"/>
        <v>441629.20200000005</v>
      </c>
    </row>
    <row r="196" spans="1:33" x14ac:dyDescent="0.3">
      <c r="A196" s="1" t="s">
        <v>837</v>
      </c>
      <c r="B196" s="34" t="s">
        <v>20</v>
      </c>
      <c r="C196" s="35" t="s">
        <v>46</v>
      </c>
      <c r="D196" s="34" t="s">
        <v>305</v>
      </c>
      <c r="E196" s="36" t="s">
        <v>306</v>
      </c>
      <c r="F196" s="34" t="s">
        <v>49</v>
      </c>
      <c r="G196" s="34" t="s">
        <v>32</v>
      </c>
      <c r="H196" s="34" t="s">
        <v>50</v>
      </c>
      <c r="I196" s="37">
        <f t="shared" si="88"/>
        <v>14974.07</v>
      </c>
      <c r="J196" s="37">
        <f t="shared" si="89"/>
        <v>14974.07</v>
      </c>
      <c r="K196" s="37">
        <f t="shared" si="90"/>
        <v>14974.07</v>
      </c>
      <c r="L196" s="37">
        <f t="shared" si="91"/>
        <v>14974.07</v>
      </c>
      <c r="M196" s="37">
        <f t="shared" si="92"/>
        <v>14974.07</v>
      </c>
      <c r="N196" s="37">
        <f t="shared" si="93"/>
        <v>14974.07</v>
      </c>
      <c r="O196" s="37">
        <f t="shared" si="94"/>
        <v>14974.07</v>
      </c>
      <c r="P196" s="37">
        <f t="shared" si="95"/>
        <v>14974.07</v>
      </c>
      <c r="Q196" s="37">
        <f t="shared" si="96"/>
        <v>14974.07</v>
      </c>
      <c r="R196" s="37">
        <f t="shared" si="97"/>
        <v>14974.07</v>
      </c>
      <c r="S196" s="37">
        <f t="shared" si="98"/>
        <v>14974.07</v>
      </c>
      <c r="T196" s="37">
        <f t="shared" si="99"/>
        <v>14974.07</v>
      </c>
      <c r="U196" s="37">
        <f t="shared" si="75"/>
        <v>179688.84000000005</v>
      </c>
      <c r="W196" s="38">
        <v>14974.07</v>
      </c>
      <c r="X196" s="39"/>
      <c r="Y196" s="40" t="s">
        <v>307</v>
      </c>
      <c r="Z196" s="40"/>
      <c r="AA196" s="40" t="s">
        <v>45</v>
      </c>
      <c r="AB196" s="41">
        <v>0</v>
      </c>
      <c r="AD196" s="42" t="str">
        <f>C196&amp;A196</f>
        <v>MANUTEN. SISTEMAS  INFORMATICAAdm</v>
      </c>
      <c r="AE196" s="42" t="str">
        <f>IFERROR(VLOOKUP(C196,[34]Planilha1!$B:$C,2,0),"Não se Aplica")</f>
        <v>Sim</v>
      </c>
      <c r="AF196" s="42" t="str">
        <f>VLOOKUP(AD196,[34]Planilha1!$H:$J,3,0)</f>
        <v>Sim</v>
      </c>
      <c r="AG196" s="43">
        <f t="shared" si="74"/>
        <v>163067.62230000005</v>
      </c>
    </row>
    <row r="197" spans="1:33" x14ac:dyDescent="0.3">
      <c r="A197" s="1" t="s">
        <v>837</v>
      </c>
      <c r="B197" s="34" t="s">
        <v>20</v>
      </c>
      <c r="C197" s="35" t="s">
        <v>69</v>
      </c>
      <c r="D197" s="34" t="s">
        <v>308</v>
      </c>
      <c r="E197" s="36" t="s">
        <v>71</v>
      </c>
      <c r="F197" s="34" t="s">
        <v>49</v>
      </c>
      <c r="G197" s="34" t="s">
        <v>32</v>
      </c>
      <c r="H197" s="34" t="s">
        <v>50</v>
      </c>
      <c r="I197" s="37">
        <f t="shared" si="88"/>
        <v>3600</v>
      </c>
      <c r="J197" s="37">
        <f t="shared" si="89"/>
        <v>3600</v>
      </c>
      <c r="K197" s="37">
        <f t="shared" si="90"/>
        <v>3600</v>
      </c>
      <c r="L197" s="37">
        <f t="shared" si="91"/>
        <v>3600</v>
      </c>
      <c r="M197" s="37">
        <f t="shared" si="92"/>
        <v>3600</v>
      </c>
      <c r="N197" s="37">
        <f t="shared" si="93"/>
        <v>3600</v>
      </c>
      <c r="O197" s="37">
        <f t="shared" si="94"/>
        <v>3600</v>
      </c>
      <c r="P197" s="37">
        <f t="shared" si="95"/>
        <v>3600</v>
      </c>
      <c r="Q197" s="37">
        <f t="shared" si="96"/>
        <v>3600</v>
      </c>
      <c r="R197" s="37">
        <f t="shared" si="97"/>
        <v>3600</v>
      </c>
      <c r="S197" s="37">
        <f t="shared" si="98"/>
        <v>3600</v>
      </c>
      <c r="T197" s="37">
        <f t="shared" si="99"/>
        <v>3600</v>
      </c>
      <c r="U197" s="37">
        <f t="shared" si="75"/>
        <v>43200</v>
      </c>
      <c r="V197" s="6"/>
      <c r="W197" s="51">
        <v>3600</v>
      </c>
      <c r="X197" s="39"/>
      <c r="Y197" s="40"/>
      <c r="Z197" s="40"/>
      <c r="AA197" s="40" t="s">
        <v>45</v>
      </c>
      <c r="AB197" s="41">
        <v>0</v>
      </c>
      <c r="AD197" s="42" t="str">
        <f>C197&amp;A197</f>
        <v>ASSESSORIA E SERVICO INFORMATICAAdm</v>
      </c>
      <c r="AE197" s="42" t="str">
        <f>IFERROR(VLOOKUP(C197,[34]Planilha1!$B:$C,2,0),"Não se Aplica")</f>
        <v>Sim</v>
      </c>
      <c r="AF197" s="42" t="str">
        <f>VLOOKUP(AD197,[34]Planilha1!$H:$J,3,0)</f>
        <v>Não</v>
      </c>
      <c r="AG197" s="43">
        <f t="shared" si="74"/>
        <v>43200</v>
      </c>
    </row>
    <row r="198" spans="1:33" x14ac:dyDescent="0.3">
      <c r="A198" s="1" t="s">
        <v>837</v>
      </c>
      <c r="B198" s="34" t="s">
        <v>20</v>
      </c>
      <c r="C198" s="35" t="s">
        <v>69</v>
      </c>
      <c r="D198" s="36" t="s">
        <v>309</v>
      </c>
      <c r="E198" s="36" t="s">
        <v>71</v>
      </c>
      <c r="F198" s="34" t="s">
        <v>49</v>
      </c>
      <c r="G198" s="34" t="s">
        <v>32</v>
      </c>
      <c r="H198" s="34" t="s">
        <v>50</v>
      </c>
      <c r="I198" s="37">
        <f t="shared" si="88"/>
        <v>7500</v>
      </c>
      <c r="J198" s="37">
        <f t="shared" si="89"/>
        <v>7500</v>
      </c>
      <c r="K198" s="37">
        <f t="shared" si="90"/>
        <v>7500</v>
      </c>
      <c r="L198" s="37">
        <f t="shared" si="91"/>
        <v>7500</v>
      </c>
      <c r="M198" s="37">
        <f t="shared" si="92"/>
        <v>7500</v>
      </c>
      <c r="N198" s="37">
        <f t="shared" si="93"/>
        <v>7500</v>
      </c>
      <c r="O198" s="37">
        <f t="shared" si="94"/>
        <v>7500</v>
      </c>
      <c r="P198" s="37">
        <f t="shared" si="95"/>
        <v>7500</v>
      </c>
      <c r="Q198" s="37">
        <f t="shared" si="96"/>
        <v>7500</v>
      </c>
      <c r="R198" s="37">
        <f t="shared" si="97"/>
        <v>7500</v>
      </c>
      <c r="S198" s="37">
        <f t="shared" si="98"/>
        <v>7500</v>
      </c>
      <c r="T198" s="37">
        <f t="shared" si="99"/>
        <v>7500</v>
      </c>
      <c r="U198" s="37">
        <f t="shared" si="75"/>
        <v>90000</v>
      </c>
      <c r="W198" s="51">
        <v>7500</v>
      </c>
      <c r="X198" s="39"/>
      <c r="Y198" s="40"/>
      <c r="Z198" s="40"/>
      <c r="AA198" s="40" t="s">
        <v>45</v>
      </c>
      <c r="AB198" s="41">
        <v>0</v>
      </c>
      <c r="AD198" s="42" t="str">
        <f>C198&amp;A198</f>
        <v>ASSESSORIA E SERVICO INFORMATICAAdm</v>
      </c>
      <c r="AE198" s="42" t="str">
        <f>IFERROR(VLOOKUP(C198,[34]Planilha1!$B:$C,2,0),"Não se Aplica")</f>
        <v>Sim</v>
      </c>
      <c r="AF198" s="42" t="str">
        <f>VLOOKUP(AD198,[34]Planilha1!$H:$J,3,0)</f>
        <v>Não</v>
      </c>
      <c r="AG198" s="43">
        <f t="shared" si="74"/>
        <v>90000</v>
      </c>
    </row>
    <row r="199" spans="1:33" x14ac:dyDescent="0.3">
      <c r="A199" s="1" t="s">
        <v>837</v>
      </c>
      <c r="B199" s="34" t="s">
        <v>20</v>
      </c>
      <c r="C199" s="35" t="s">
        <v>69</v>
      </c>
      <c r="D199" s="36" t="s">
        <v>310</v>
      </c>
      <c r="E199" s="36" t="s">
        <v>311</v>
      </c>
      <c r="F199" s="34" t="s">
        <v>49</v>
      </c>
      <c r="G199" s="34" t="s">
        <v>32</v>
      </c>
      <c r="H199" s="34" t="s">
        <v>50</v>
      </c>
      <c r="I199" s="37">
        <f t="shared" si="88"/>
        <v>32266.080000000002</v>
      </c>
      <c r="J199" s="37">
        <f t="shared" si="89"/>
        <v>32266.080000000002</v>
      </c>
      <c r="K199" s="37">
        <f t="shared" si="90"/>
        <v>32266.080000000002</v>
      </c>
      <c r="L199" s="37">
        <f t="shared" si="91"/>
        <v>32266.080000000002</v>
      </c>
      <c r="M199" s="37">
        <f t="shared" si="92"/>
        <v>32266.080000000002</v>
      </c>
      <c r="N199" s="37">
        <f t="shared" si="93"/>
        <v>32266.080000000002</v>
      </c>
      <c r="O199" s="37">
        <f t="shared" si="94"/>
        <v>32266.080000000002</v>
      </c>
      <c r="P199" s="37">
        <f t="shared" si="95"/>
        <v>32266.080000000002</v>
      </c>
      <c r="Q199" s="37">
        <f t="shared" si="96"/>
        <v>32266.080000000002</v>
      </c>
      <c r="R199" s="37">
        <f t="shared" si="97"/>
        <v>32266.080000000002</v>
      </c>
      <c r="S199" s="37">
        <f t="shared" si="98"/>
        <v>32266.080000000002</v>
      </c>
      <c r="T199" s="37">
        <f t="shared" si="99"/>
        <v>33234.062400000003</v>
      </c>
      <c r="U199" s="37">
        <f t="shared" si="75"/>
        <v>388160.94240000012</v>
      </c>
      <c r="V199" s="6"/>
      <c r="W199" s="51">
        <v>32266.080000000002</v>
      </c>
      <c r="X199" s="39">
        <v>45992</v>
      </c>
      <c r="Y199" s="40" t="s">
        <v>222</v>
      </c>
      <c r="Z199" s="40" t="s">
        <v>44</v>
      </c>
      <c r="AA199" s="40" t="s">
        <v>45</v>
      </c>
      <c r="AB199" s="41">
        <v>0.03</v>
      </c>
      <c r="AD199" s="42" t="str">
        <f>C199&amp;A199</f>
        <v>ASSESSORIA E SERVICO INFORMATICAAdm</v>
      </c>
      <c r="AE199" s="42" t="str">
        <f>IFERROR(VLOOKUP(C199,[34]Planilha1!$B:$C,2,0),"Não se Aplica")</f>
        <v>Sim</v>
      </c>
      <c r="AF199" s="42" t="str">
        <f>VLOOKUP(AD199,[34]Planilha1!$H:$J,3,0)</f>
        <v>Não</v>
      </c>
      <c r="AG199" s="43">
        <f t="shared" si="74"/>
        <v>388160.94240000012</v>
      </c>
    </row>
    <row r="200" spans="1:33" x14ac:dyDescent="0.3">
      <c r="A200" s="1" t="s">
        <v>837</v>
      </c>
      <c r="B200" s="34" t="s">
        <v>20</v>
      </c>
      <c r="C200" s="35" t="s">
        <v>46</v>
      </c>
      <c r="D200" s="34" t="s">
        <v>312</v>
      </c>
      <c r="E200" s="36" t="s">
        <v>313</v>
      </c>
      <c r="F200" s="34" t="s">
        <v>49</v>
      </c>
      <c r="G200" s="34" t="s">
        <v>32</v>
      </c>
      <c r="H200" s="34" t="s">
        <v>50</v>
      </c>
      <c r="I200" s="37">
        <f t="shared" si="88"/>
        <v>240.29</v>
      </c>
      <c r="J200" s="37">
        <f t="shared" si="89"/>
        <v>240.29</v>
      </c>
      <c r="K200" s="37">
        <f t="shared" si="90"/>
        <v>240.29</v>
      </c>
      <c r="L200" s="37">
        <f t="shared" si="91"/>
        <v>240.29</v>
      </c>
      <c r="M200" s="37">
        <f t="shared" si="92"/>
        <v>240.29</v>
      </c>
      <c r="N200" s="37">
        <f t="shared" si="93"/>
        <v>240.29</v>
      </c>
      <c r="O200" s="37">
        <f t="shared" si="94"/>
        <v>240.29</v>
      </c>
      <c r="P200" s="37">
        <f t="shared" si="95"/>
        <v>240.29</v>
      </c>
      <c r="Q200" s="37">
        <f t="shared" si="96"/>
        <v>240.29</v>
      </c>
      <c r="R200" s="37">
        <f t="shared" si="97"/>
        <v>240.29</v>
      </c>
      <c r="S200" s="37">
        <f t="shared" si="98"/>
        <v>240.29</v>
      </c>
      <c r="T200" s="37">
        <f t="shared" si="99"/>
        <v>240.29</v>
      </c>
      <c r="U200" s="37">
        <f t="shared" si="75"/>
        <v>2883.48</v>
      </c>
      <c r="V200" s="6"/>
      <c r="W200" s="51">
        <v>240.29</v>
      </c>
      <c r="X200" s="39"/>
      <c r="Y200" s="40" t="s">
        <v>51</v>
      </c>
      <c r="Z200" s="40"/>
      <c r="AA200" s="40" t="s">
        <v>45</v>
      </c>
      <c r="AB200" s="41">
        <v>0</v>
      </c>
      <c r="AD200" s="42" t="str">
        <f>C200&amp;A200</f>
        <v>MANUTEN. SISTEMAS  INFORMATICAAdm</v>
      </c>
      <c r="AE200" s="42" t="str">
        <f>IFERROR(VLOOKUP(C200,[34]Planilha1!$B:$C,2,0),"Não se Aplica")</f>
        <v>Sim</v>
      </c>
      <c r="AF200" s="42" t="str">
        <f>VLOOKUP(AD200,[34]Planilha1!$H:$J,3,0)</f>
        <v>Sim</v>
      </c>
      <c r="AG200" s="43">
        <f t="shared" si="74"/>
        <v>2616.7581</v>
      </c>
    </row>
    <row r="201" spans="1:33" x14ac:dyDescent="0.3">
      <c r="A201" s="1" t="s">
        <v>837</v>
      </c>
      <c r="B201" s="34" t="s">
        <v>28</v>
      </c>
      <c r="C201" s="35" t="s">
        <v>240</v>
      </c>
      <c r="D201" s="34" t="s">
        <v>314</v>
      </c>
      <c r="E201" s="36" t="s">
        <v>315</v>
      </c>
      <c r="F201" s="34" t="s">
        <v>49</v>
      </c>
      <c r="G201" s="34" t="s">
        <v>27</v>
      </c>
      <c r="H201" s="34" t="s">
        <v>50</v>
      </c>
      <c r="I201" s="37">
        <f t="shared" si="88"/>
        <v>651</v>
      </c>
      <c r="J201" s="37">
        <f t="shared" si="89"/>
        <v>670.53</v>
      </c>
      <c r="K201" s="37">
        <f t="shared" si="90"/>
        <v>670.53</v>
      </c>
      <c r="L201" s="37">
        <f t="shared" si="91"/>
        <v>670.53</v>
      </c>
      <c r="M201" s="37">
        <f t="shared" si="92"/>
        <v>670.53</v>
      </c>
      <c r="N201" s="37">
        <f t="shared" si="93"/>
        <v>670.53</v>
      </c>
      <c r="O201" s="37">
        <f t="shared" si="94"/>
        <v>670.53</v>
      </c>
      <c r="P201" s="37">
        <f t="shared" si="95"/>
        <v>670.53</v>
      </c>
      <c r="Q201" s="37">
        <f t="shared" si="96"/>
        <v>670.53</v>
      </c>
      <c r="R201" s="37">
        <f t="shared" si="97"/>
        <v>670.53</v>
      </c>
      <c r="S201" s="37">
        <f t="shared" si="98"/>
        <v>670.53</v>
      </c>
      <c r="T201" s="37">
        <f t="shared" si="99"/>
        <v>670.53</v>
      </c>
      <c r="U201" s="37">
        <f t="shared" si="75"/>
        <v>8026.8299999999981</v>
      </c>
      <c r="W201" s="38">
        <v>651</v>
      </c>
      <c r="X201" s="39">
        <v>46442</v>
      </c>
      <c r="Y201" s="40" t="s">
        <v>82</v>
      </c>
      <c r="Z201" s="40" t="s">
        <v>55</v>
      </c>
      <c r="AA201" s="40" t="s">
        <v>45</v>
      </c>
      <c r="AB201" s="41">
        <v>0.03</v>
      </c>
      <c r="AD201" s="42" t="str">
        <f>C201&amp;A201</f>
        <v>INTERNET/COMUNICACOESAdm</v>
      </c>
      <c r="AE201" s="42" t="str">
        <f>IFERROR(VLOOKUP(C201,[34]Planilha1!$B:$C,2,0),"Não se Aplica")</f>
        <v>Sim</v>
      </c>
      <c r="AF201" s="42" t="str">
        <f>VLOOKUP(AD201,[34]Planilha1!$H:$J,3,0)</f>
        <v>Não</v>
      </c>
      <c r="AG201" s="43">
        <f t="shared" si="74"/>
        <v>8026.8299999999981</v>
      </c>
    </row>
    <row r="202" spans="1:33" x14ac:dyDescent="0.3">
      <c r="A202" s="1" t="s">
        <v>837</v>
      </c>
      <c r="B202" s="34" t="s">
        <v>20</v>
      </c>
      <c r="C202" s="35" t="s">
        <v>240</v>
      </c>
      <c r="D202" s="34" t="s">
        <v>316</v>
      </c>
      <c r="E202" s="36" t="s">
        <v>315</v>
      </c>
      <c r="F202" s="34" t="s">
        <v>49</v>
      </c>
      <c r="G202" s="34" t="s">
        <v>27</v>
      </c>
      <c r="H202" s="34" t="s">
        <v>50</v>
      </c>
      <c r="I202" s="37">
        <f t="shared" si="88"/>
        <v>1162</v>
      </c>
      <c r="J202" s="37">
        <f t="shared" si="89"/>
        <v>1196.8600000000001</v>
      </c>
      <c r="K202" s="37">
        <f t="shared" si="90"/>
        <v>1196.8600000000001</v>
      </c>
      <c r="L202" s="37">
        <f t="shared" si="91"/>
        <v>1196.8600000000001</v>
      </c>
      <c r="M202" s="37">
        <f t="shared" si="92"/>
        <v>1196.8600000000001</v>
      </c>
      <c r="N202" s="37">
        <f t="shared" si="93"/>
        <v>1196.8600000000001</v>
      </c>
      <c r="O202" s="37">
        <f t="shared" si="94"/>
        <v>1196.8600000000001</v>
      </c>
      <c r="P202" s="37">
        <f t="shared" si="95"/>
        <v>1196.8600000000001</v>
      </c>
      <c r="Q202" s="37">
        <f t="shared" si="96"/>
        <v>1196.8600000000001</v>
      </c>
      <c r="R202" s="37">
        <f t="shared" si="97"/>
        <v>1196.8600000000001</v>
      </c>
      <c r="S202" s="37">
        <f t="shared" si="98"/>
        <v>1196.8600000000001</v>
      </c>
      <c r="T202" s="37">
        <f t="shared" si="99"/>
        <v>1196.8600000000001</v>
      </c>
      <c r="U202" s="37">
        <f t="shared" si="75"/>
        <v>14327.460000000005</v>
      </c>
      <c r="V202" s="6"/>
      <c r="W202" s="51">
        <v>1162</v>
      </c>
      <c r="X202" s="39">
        <v>46442</v>
      </c>
      <c r="Y202" s="40" t="s">
        <v>82</v>
      </c>
      <c r="Z202" s="40" t="s">
        <v>55</v>
      </c>
      <c r="AA202" s="40" t="s">
        <v>45</v>
      </c>
      <c r="AB202" s="41">
        <v>0.03</v>
      </c>
      <c r="AD202" s="42" t="str">
        <f>C202&amp;A202</f>
        <v>INTERNET/COMUNICACOESAdm</v>
      </c>
      <c r="AE202" s="42" t="str">
        <f>IFERROR(VLOOKUP(C202,[34]Planilha1!$B:$C,2,0),"Não se Aplica")</f>
        <v>Sim</v>
      </c>
      <c r="AF202" s="42" t="str">
        <f>VLOOKUP(AD202,[34]Planilha1!$H:$J,3,0)</f>
        <v>Não</v>
      </c>
      <c r="AG202" s="43">
        <f t="shared" si="74"/>
        <v>14327.460000000005</v>
      </c>
    </row>
    <row r="203" spans="1:33" x14ac:dyDescent="0.3">
      <c r="A203" s="1" t="s">
        <v>837</v>
      </c>
      <c r="B203" s="34" t="s">
        <v>28</v>
      </c>
      <c r="C203" s="35" t="s">
        <v>46</v>
      </c>
      <c r="D203" s="34" t="s">
        <v>317</v>
      </c>
      <c r="E203" s="36" t="s">
        <v>48</v>
      </c>
      <c r="F203" s="34" t="s">
        <v>49</v>
      </c>
      <c r="G203" s="34" t="s">
        <v>32</v>
      </c>
      <c r="H203" s="34" t="s">
        <v>50</v>
      </c>
      <c r="I203" s="37">
        <f t="shared" si="88"/>
        <v>2069</v>
      </c>
      <c r="J203" s="37">
        <f t="shared" si="89"/>
        <v>2069</v>
      </c>
      <c r="K203" s="37">
        <f t="shared" si="90"/>
        <v>2069</v>
      </c>
      <c r="L203" s="37">
        <f t="shared" si="91"/>
        <v>2069</v>
      </c>
      <c r="M203" s="37">
        <f t="shared" si="92"/>
        <v>2069</v>
      </c>
      <c r="N203" s="37">
        <f t="shared" si="93"/>
        <v>2069</v>
      </c>
      <c r="O203" s="37">
        <f t="shared" si="94"/>
        <v>2069</v>
      </c>
      <c r="P203" s="37">
        <f t="shared" si="95"/>
        <v>2069</v>
      </c>
      <c r="Q203" s="37">
        <f t="shared" si="96"/>
        <v>2069</v>
      </c>
      <c r="R203" s="37">
        <f t="shared" si="97"/>
        <v>2069</v>
      </c>
      <c r="S203" s="37">
        <f t="shared" si="98"/>
        <v>2069</v>
      </c>
      <c r="T203" s="37">
        <f t="shared" si="99"/>
        <v>2069</v>
      </c>
      <c r="U203" s="37">
        <f t="shared" si="75"/>
        <v>24828</v>
      </c>
      <c r="W203" s="51">
        <v>2069</v>
      </c>
      <c r="X203" s="39"/>
      <c r="Y203" s="40"/>
      <c r="Z203" s="40"/>
      <c r="AA203" s="40" t="s">
        <v>45</v>
      </c>
      <c r="AB203" s="41">
        <v>0</v>
      </c>
      <c r="AD203" s="42" t="str">
        <f>C203&amp;A203</f>
        <v>MANUTEN. SISTEMAS  INFORMATICAAdm</v>
      </c>
      <c r="AE203" s="42" t="str">
        <f>IFERROR(VLOOKUP(C203,[34]Planilha1!$B:$C,2,0),"Não se Aplica")</f>
        <v>Sim</v>
      </c>
      <c r="AF203" s="42" t="str">
        <f>VLOOKUP(AD203,[34]Planilha1!$H:$J,3,0)</f>
        <v>Sim</v>
      </c>
      <c r="AG203" s="43">
        <f t="shared" si="74"/>
        <v>22531.41</v>
      </c>
    </row>
    <row r="204" spans="1:33" x14ac:dyDescent="0.3">
      <c r="A204" s="1" t="s">
        <v>837</v>
      </c>
      <c r="B204" s="34" t="s">
        <v>20</v>
      </c>
      <c r="C204" s="35" t="s">
        <v>46</v>
      </c>
      <c r="D204" s="36" t="s">
        <v>317</v>
      </c>
      <c r="E204" s="36" t="s">
        <v>48</v>
      </c>
      <c r="F204" s="34" t="s">
        <v>49</v>
      </c>
      <c r="G204" s="34" t="s">
        <v>32</v>
      </c>
      <c r="H204" s="34" t="s">
        <v>50</v>
      </c>
      <c r="I204" s="37">
        <f t="shared" si="88"/>
        <v>2069</v>
      </c>
      <c r="J204" s="37">
        <f t="shared" si="89"/>
        <v>2069</v>
      </c>
      <c r="K204" s="37">
        <f t="shared" si="90"/>
        <v>2069</v>
      </c>
      <c r="L204" s="37">
        <f t="shared" si="91"/>
        <v>2069</v>
      </c>
      <c r="M204" s="37">
        <f t="shared" si="92"/>
        <v>2069</v>
      </c>
      <c r="N204" s="37">
        <f t="shared" si="93"/>
        <v>2069</v>
      </c>
      <c r="O204" s="37">
        <f t="shared" si="94"/>
        <v>2069</v>
      </c>
      <c r="P204" s="37">
        <f t="shared" si="95"/>
        <v>2069</v>
      </c>
      <c r="Q204" s="37">
        <f t="shared" si="96"/>
        <v>2069</v>
      </c>
      <c r="R204" s="37">
        <f t="shared" si="97"/>
        <v>2069</v>
      </c>
      <c r="S204" s="37">
        <f t="shared" si="98"/>
        <v>2069</v>
      </c>
      <c r="T204" s="37">
        <f t="shared" si="99"/>
        <v>2069</v>
      </c>
      <c r="U204" s="37">
        <f t="shared" si="75"/>
        <v>24828</v>
      </c>
      <c r="W204" s="51">
        <v>2069</v>
      </c>
      <c r="X204" s="39"/>
      <c r="Y204" s="40" t="s">
        <v>51</v>
      </c>
      <c r="Z204" s="40"/>
      <c r="AA204" s="40" t="s">
        <v>45</v>
      </c>
      <c r="AB204" s="41">
        <v>0</v>
      </c>
      <c r="AD204" s="42" t="str">
        <f>C204&amp;A204</f>
        <v>MANUTEN. SISTEMAS  INFORMATICAAdm</v>
      </c>
      <c r="AE204" s="42" t="str">
        <f>IFERROR(VLOOKUP(C204,[34]Planilha1!$B:$C,2,0),"Não se Aplica")</f>
        <v>Sim</v>
      </c>
      <c r="AF204" s="42" t="str">
        <f>VLOOKUP(AD204,[34]Planilha1!$H:$J,3,0)</f>
        <v>Sim</v>
      </c>
      <c r="AG204" s="43">
        <f t="shared" si="74"/>
        <v>22531.41</v>
      </c>
    </row>
    <row r="205" spans="1:33" x14ac:dyDescent="0.3">
      <c r="A205" s="1" t="s">
        <v>837</v>
      </c>
      <c r="B205" s="34" t="s">
        <v>28</v>
      </c>
      <c r="C205" s="35" t="s">
        <v>69</v>
      </c>
      <c r="D205" s="34" t="s">
        <v>318</v>
      </c>
      <c r="E205" s="36" t="s">
        <v>304</v>
      </c>
      <c r="F205" s="34" t="s">
        <v>49</v>
      </c>
      <c r="G205" s="34" t="s">
        <v>32</v>
      </c>
      <c r="H205" s="34" t="s">
        <v>50</v>
      </c>
      <c r="I205" s="37">
        <f t="shared" si="88"/>
        <v>160</v>
      </c>
      <c r="J205" s="37">
        <f t="shared" si="89"/>
        <v>160</v>
      </c>
      <c r="K205" s="37">
        <f t="shared" si="90"/>
        <v>160</v>
      </c>
      <c r="L205" s="37">
        <f t="shared" si="91"/>
        <v>164.8</v>
      </c>
      <c r="M205" s="37">
        <f t="shared" si="92"/>
        <v>164.8</v>
      </c>
      <c r="N205" s="37">
        <f t="shared" si="93"/>
        <v>164.8</v>
      </c>
      <c r="O205" s="37">
        <f t="shared" si="94"/>
        <v>164.8</v>
      </c>
      <c r="P205" s="37">
        <f t="shared" si="95"/>
        <v>164.8</v>
      </c>
      <c r="Q205" s="37">
        <f t="shared" si="96"/>
        <v>164.8</v>
      </c>
      <c r="R205" s="37">
        <f t="shared" si="97"/>
        <v>164.8</v>
      </c>
      <c r="S205" s="37">
        <f t="shared" si="98"/>
        <v>164.8</v>
      </c>
      <c r="T205" s="37">
        <f t="shared" si="99"/>
        <v>164.8</v>
      </c>
      <c r="U205" s="37">
        <f t="shared" si="75"/>
        <v>1963.1999999999996</v>
      </c>
      <c r="V205" s="6"/>
      <c r="W205" s="38">
        <v>160</v>
      </c>
      <c r="X205" s="39">
        <v>46853</v>
      </c>
      <c r="Y205" s="40" t="s">
        <v>103</v>
      </c>
      <c r="Z205" s="40" t="s">
        <v>55</v>
      </c>
      <c r="AA205" s="40" t="s">
        <v>45</v>
      </c>
      <c r="AB205" s="41">
        <v>0.03</v>
      </c>
      <c r="AD205" s="42" t="str">
        <f>C205&amp;A205</f>
        <v>ASSESSORIA E SERVICO INFORMATICAAdm</v>
      </c>
      <c r="AE205" s="42" t="str">
        <f>IFERROR(VLOOKUP(C205,[34]Planilha1!$B:$C,2,0),"Não se Aplica")</f>
        <v>Sim</v>
      </c>
      <c r="AF205" s="42" t="str">
        <f>VLOOKUP(AD205,[34]Planilha1!$H:$J,3,0)</f>
        <v>Não</v>
      </c>
      <c r="AG205" s="43">
        <f t="shared" si="74"/>
        <v>1963.1999999999996</v>
      </c>
    </row>
    <row r="206" spans="1:33" x14ac:dyDescent="0.3">
      <c r="A206" s="1" t="s">
        <v>837</v>
      </c>
      <c r="B206" s="34" t="s">
        <v>28</v>
      </c>
      <c r="C206" s="35" t="s">
        <v>240</v>
      </c>
      <c r="D206" s="36" t="s">
        <v>319</v>
      </c>
      <c r="E206" s="36" t="s">
        <v>320</v>
      </c>
      <c r="F206" s="34" t="s">
        <v>49</v>
      </c>
      <c r="G206" s="34" t="s">
        <v>90</v>
      </c>
      <c r="H206" s="34" t="s">
        <v>50</v>
      </c>
      <c r="I206" s="37">
        <f t="shared" si="88"/>
        <v>700</v>
      </c>
      <c r="J206" s="37">
        <f t="shared" si="89"/>
        <v>700</v>
      </c>
      <c r="K206" s="37">
        <f t="shared" si="90"/>
        <v>700</v>
      </c>
      <c r="L206" s="37">
        <f t="shared" si="91"/>
        <v>700</v>
      </c>
      <c r="M206" s="37">
        <f t="shared" si="92"/>
        <v>700</v>
      </c>
      <c r="N206" s="37">
        <f t="shared" si="93"/>
        <v>700</v>
      </c>
      <c r="O206" s="37">
        <f t="shared" si="94"/>
        <v>700</v>
      </c>
      <c r="P206" s="37">
        <f t="shared" si="95"/>
        <v>700</v>
      </c>
      <c r="Q206" s="37">
        <f t="shared" si="96"/>
        <v>700</v>
      </c>
      <c r="R206" s="37">
        <f t="shared" si="97"/>
        <v>700</v>
      </c>
      <c r="S206" s="37">
        <f t="shared" si="98"/>
        <v>700</v>
      </c>
      <c r="T206" s="37">
        <f t="shared" si="99"/>
        <v>700</v>
      </c>
      <c r="U206" s="37">
        <f t="shared" si="75"/>
        <v>8400</v>
      </c>
      <c r="V206" s="6"/>
      <c r="W206" s="38">
        <v>700</v>
      </c>
      <c r="X206" s="39"/>
      <c r="Y206" s="40"/>
      <c r="Z206" s="40" t="s">
        <v>55</v>
      </c>
      <c r="AA206" s="40" t="s">
        <v>45</v>
      </c>
      <c r="AB206" s="41">
        <v>0</v>
      </c>
      <c r="AD206" s="42" t="str">
        <f>C206&amp;A206</f>
        <v>INTERNET/COMUNICACOESAdm</v>
      </c>
      <c r="AE206" s="42" t="str">
        <f>IFERROR(VLOOKUP(C206,[34]Planilha1!$B:$C,2,0),"Não se Aplica")</f>
        <v>Sim</v>
      </c>
      <c r="AF206" s="42" t="str">
        <f>VLOOKUP(AD206,[34]Planilha1!$H:$J,3,0)</f>
        <v>Não</v>
      </c>
      <c r="AG206" s="43">
        <f t="shared" si="74"/>
        <v>8400</v>
      </c>
    </row>
    <row r="207" spans="1:33" x14ac:dyDescent="0.3">
      <c r="A207" s="1" t="s">
        <v>837</v>
      </c>
      <c r="B207" s="34" t="s">
        <v>28</v>
      </c>
      <c r="C207" s="35" t="s">
        <v>240</v>
      </c>
      <c r="D207" s="34" t="s">
        <v>321</v>
      </c>
      <c r="E207" s="36" t="s">
        <v>315</v>
      </c>
      <c r="F207" s="34" t="s">
        <v>49</v>
      </c>
      <c r="G207" s="34" t="s">
        <v>27</v>
      </c>
      <c r="H207" s="34" t="s">
        <v>50</v>
      </c>
      <c r="I207" s="37">
        <f t="shared" si="88"/>
        <v>600</v>
      </c>
      <c r="J207" s="37">
        <f t="shared" si="89"/>
        <v>618</v>
      </c>
      <c r="K207" s="37">
        <f t="shared" si="90"/>
        <v>618</v>
      </c>
      <c r="L207" s="37">
        <f t="shared" si="91"/>
        <v>618</v>
      </c>
      <c r="M207" s="37">
        <f t="shared" si="92"/>
        <v>618</v>
      </c>
      <c r="N207" s="37">
        <f t="shared" si="93"/>
        <v>618</v>
      </c>
      <c r="O207" s="37">
        <f t="shared" si="94"/>
        <v>618</v>
      </c>
      <c r="P207" s="37">
        <f t="shared" si="95"/>
        <v>618</v>
      </c>
      <c r="Q207" s="37">
        <f t="shared" si="96"/>
        <v>618</v>
      </c>
      <c r="R207" s="37">
        <f t="shared" si="97"/>
        <v>618</v>
      </c>
      <c r="S207" s="37">
        <f t="shared" si="98"/>
        <v>618</v>
      </c>
      <c r="T207" s="37">
        <f t="shared" si="99"/>
        <v>618</v>
      </c>
      <c r="U207" s="37">
        <f t="shared" si="75"/>
        <v>7398</v>
      </c>
      <c r="V207" s="6"/>
      <c r="W207" s="38">
        <v>600</v>
      </c>
      <c r="X207" s="39">
        <v>46442</v>
      </c>
      <c r="Y207" s="40" t="s">
        <v>82</v>
      </c>
      <c r="Z207" s="40" t="s">
        <v>55</v>
      </c>
      <c r="AA207" s="40" t="s">
        <v>45</v>
      </c>
      <c r="AB207" s="41">
        <v>0.03</v>
      </c>
      <c r="AD207" s="42" t="str">
        <f>C207&amp;A207</f>
        <v>INTERNET/COMUNICACOESAdm</v>
      </c>
      <c r="AE207" s="42" t="str">
        <f>IFERROR(VLOOKUP(C207,[34]Planilha1!$B:$C,2,0),"Não se Aplica")</f>
        <v>Sim</v>
      </c>
      <c r="AF207" s="42" t="str">
        <f>VLOOKUP(AD207,[34]Planilha1!$H:$J,3,0)</f>
        <v>Não</v>
      </c>
      <c r="AG207" s="43">
        <f t="shared" si="74"/>
        <v>7398</v>
      </c>
    </row>
    <row r="208" spans="1:33" x14ac:dyDescent="0.3">
      <c r="A208" s="1" t="s">
        <v>837</v>
      </c>
      <c r="B208" s="34" t="s">
        <v>20</v>
      </c>
      <c r="C208" s="35" t="s">
        <v>38</v>
      </c>
      <c r="D208" s="36" t="s">
        <v>322</v>
      </c>
      <c r="E208" s="36" t="s">
        <v>323</v>
      </c>
      <c r="F208" s="34" t="s">
        <v>49</v>
      </c>
      <c r="G208" s="34" t="s">
        <v>32</v>
      </c>
      <c r="H208" s="34" t="s">
        <v>50</v>
      </c>
      <c r="I208" s="37">
        <f t="shared" si="88"/>
        <v>13000</v>
      </c>
      <c r="J208" s="37">
        <f t="shared" si="89"/>
        <v>13000</v>
      </c>
      <c r="K208" s="37">
        <f t="shared" si="90"/>
        <v>13000</v>
      </c>
      <c r="L208" s="37">
        <f t="shared" si="91"/>
        <v>13000</v>
      </c>
      <c r="M208" s="37">
        <f t="shared" si="92"/>
        <v>13000</v>
      </c>
      <c r="N208" s="37">
        <f t="shared" si="93"/>
        <v>13000</v>
      </c>
      <c r="O208" s="37">
        <f t="shared" si="94"/>
        <v>13000</v>
      </c>
      <c r="P208" s="37">
        <f t="shared" si="95"/>
        <v>13000</v>
      </c>
      <c r="Q208" s="37">
        <f t="shared" si="96"/>
        <v>13000</v>
      </c>
      <c r="R208" s="37">
        <f t="shared" si="97"/>
        <v>13000</v>
      </c>
      <c r="S208" s="37">
        <f t="shared" si="98"/>
        <v>13000</v>
      </c>
      <c r="T208" s="37">
        <f t="shared" si="99"/>
        <v>13000</v>
      </c>
      <c r="U208" s="37">
        <f t="shared" si="75"/>
        <v>156000</v>
      </c>
      <c r="W208" s="38">
        <v>13000</v>
      </c>
      <c r="X208" s="39">
        <v>46356</v>
      </c>
      <c r="Y208" s="40" t="s">
        <v>129</v>
      </c>
      <c r="Z208" s="40" t="s">
        <v>55</v>
      </c>
      <c r="AA208" s="40" t="s">
        <v>56</v>
      </c>
      <c r="AB208" s="41">
        <v>0</v>
      </c>
      <c r="AD208" s="42" t="str">
        <f>C208&amp;A208</f>
        <v>ALUGUEIS DE EQUIPAMENTOSAdm</v>
      </c>
      <c r="AE208" s="42" t="str">
        <f>IFERROR(VLOOKUP(C208,[34]Planilha1!$B:$C,2,0),"Não se Aplica")</f>
        <v>Sim</v>
      </c>
      <c r="AF208" s="42" t="str">
        <f>VLOOKUP(AD208,[34]Planilha1!$H:$J,3,0)</f>
        <v>Sim</v>
      </c>
      <c r="AG208" s="43">
        <f t="shared" si="74"/>
        <v>141570</v>
      </c>
    </row>
    <row r="209" spans="1:33" x14ac:dyDescent="0.3">
      <c r="A209" s="1" t="s">
        <v>837</v>
      </c>
      <c r="B209" s="34" t="s">
        <v>20</v>
      </c>
      <c r="C209" s="35" t="s">
        <v>46</v>
      </c>
      <c r="D209" s="36" t="s">
        <v>324</v>
      </c>
      <c r="E209" s="36" t="s">
        <v>325</v>
      </c>
      <c r="F209" s="34" t="s">
        <v>49</v>
      </c>
      <c r="G209" s="34" t="s">
        <v>32</v>
      </c>
      <c r="H209" s="34" t="s">
        <v>50</v>
      </c>
      <c r="I209" s="37">
        <f t="shared" si="88"/>
        <v>2080</v>
      </c>
      <c r="J209" s="37">
        <f t="shared" si="89"/>
        <v>2080</v>
      </c>
      <c r="K209" s="37">
        <f t="shared" si="90"/>
        <v>2080</v>
      </c>
      <c r="L209" s="37">
        <f t="shared" si="91"/>
        <v>2080</v>
      </c>
      <c r="M209" s="37">
        <f t="shared" si="92"/>
        <v>2080</v>
      </c>
      <c r="N209" s="37">
        <f t="shared" si="93"/>
        <v>2080</v>
      </c>
      <c r="O209" s="37">
        <f t="shared" si="94"/>
        <v>2080</v>
      </c>
      <c r="P209" s="37">
        <f t="shared" si="95"/>
        <v>2080</v>
      </c>
      <c r="Q209" s="37">
        <f t="shared" si="96"/>
        <v>2080</v>
      </c>
      <c r="R209" s="37">
        <f t="shared" si="97"/>
        <v>2080</v>
      </c>
      <c r="S209" s="37">
        <f t="shared" si="98"/>
        <v>2080</v>
      </c>
      <c r="T209" s="37">
        <f t="shared" si="99"/>
        <v>2080</v>
      </c>
      <c r="U209" s="37">
        <f t="shared" si="75"/>
        <v>24960</v>
      </c>
      <c r="V209" s="6"/>
      <c r="W209" s="38">
        <v>2080</v>
      </c>
      <c r="X209" s="39"/>
      <c r="Y209" s="40"/>
      <c r="Z209" s="40"/>
      <c r="AA209" s="40" t="s">
        <v>56</v>
      </c>
      <c r="AB209" s="41">
        <v>0</v>
      </c>
      <c r="AD209" s="42" t="str">
        <f>C209&amp;A209</f>
        <v>MANUTEN. SISTEMAS  INFORMATICAAdm</v>
      </c>
      <c r="AE209" s="42" t="str">
        <f>IFERROR(VLOOKUP(C209,[34]Planilha1!$B:$C,2,0),"Não se Aplica")</f>
        <v>Sim</v>
      </c>
      <c r="AF209" s="42" t="str">
        <f>VLOOKUP(AD209,[34]Planilha1!$H:$J,3,0)</f>
        <v>Sim</v>
      </c>
      <c r="AG209" s="43">
        <f t="shared" si="74"/>
        <v>22651.200000000001</v>
      </c>
    </row>
    <row r="210" spans="1:33" x14ac:dyDescent="0.3">
      <c r="A210" s="1" t="s">
        <v>837</v>
      </c>
      <c r="B210" s="34" t="s">
        <v>20</v>
      </c>
      <c r="C210" s="35" t="s">
        <v>46</v>
      </c>
      <c r="D210" s="34" t="s">
        <v>326</v>
      </c>
      <c r="E210" s="36" t="s">
        <v>325</v>
      </c>
      <c r="F210" s="34" t="s">
        <v>49</v>
      </c>
      <c r="G210" s="34" t="s">
        <v>32</v>
      </c>
      <c r="H210" s="34" t="s">
        <v>50</v>
      </c>
      <c r="I210" s="37">
        <f t="shared" si="88"/>
        <v>8000</v>
      </c>
      <c r="J210" s="37">
        <f t="shared" si="89"/>
        <v>8000</v>
      </c>
      <c r="K210" s="37">
        <f t="shared" si="90"/>
        <v>8000</v>
      </c>
      <c r="L210" s="37">
        <f t="shared" si="91"/>
        <v>8000</v>
      </c>
      <c r="M210" s="37">
        <f t="shared" si="92"/>
        <v>8000</v>
      </c>
      <c r="N210" s="37">
        <f t="shared" si="93"/>
        <v>8000</v>
      </c>
      <c r="O210" s="37">
        <f t="shared" si="94"/>
        <v>8000</v>
      </c>
      <c r="P210" s="37">
        <f t="shared" si="95"/>
        <v>8000</v>
      </c>
      <c r="Q210" s="37">
        <f t="shared" si="96"/>
        <v>8000</v>
      </c>
      <c r="R210" s="37">
        <f t="shared" si="97"/>
        <v>8000</v>
      </c>
      <c r="S210" s="37">
        <f t="shared" si="98"/>
        <v>8000</v>
      </c>
      <c r="T210" s="37">
        <f t="shared" si="99"/>
        <v>8000</v>
      </c>
      <c r="U210" s="37">
        <f t="shared" si="75"/>
        <v>96000</v>
      </c>
      <c r="V210" s="6"/>
      <c r="W210" s="38">
        <v>8000</v>
      </c>
      <c r="X210" s="39"/>
      <c r="Y210" s="40"/>
      <c r="Z210" s="40"/>
      <c r="AA210" s="40" t="s">
        <v>56</v>
      </c>
      <c r="AB210" s="41">
        <v>0</v>
      </c>
      <c r="AD210" s="42" t="str">
        <f>C210&amp;A210</f>
        <v>MANUTEN. SISTEMAS  INFORMATICAAdm</v>
      </c>
      <c r="AE210" s="42" t="str">
        <f>IFERROR(VLOOKUP(C210,[34]Planilha1!$B:$C,2,0),"Não se Aplica")</f>
        <v>Sim</v>
      </c>
      <c r="AF210" s="42" t="str">
        <f>VLOOKUP(AD210,[34]Planilha1!$H:$J,3,0)</f>
        <v>Sim</v>
      </c>
      <c r="AG210" s="43">
        <f t="shared" ref="AG210:AG273" si="100">IF(AF210="Sim", U210 * 0.9075, U210)</f>
        <v>87120</v>
      </c>
    </row>
    <row r="211" spans="1:33" x14ac:dyDescent="0.3">
      <c r="A211" s="1" t="s">
        <v>837</v>
      </c>
      <c r="B211" s="34" t="s">
        <v>28</v>
      </c>
      <c r="C211" s="35" t="s">
        <v>46</v>
      </c>
      <c r="D211" s="60" t="s">
        <v>327</v>
      </c>
      <c r="E211" s="36" t="s">
        <v>328</v>
      </c>
      <c r="F211" s="34" t="s">
        <v>49</v>
      </c>
      <c r="G211" s="34" t="s">
        <v>32</v>
      </c>
      <c r="H211" s="34" t="s">
        <v>50</v>
      </c>
      <c r="I211" s="37">
        <f t="shared" si="88"/>
        <v>3050</v>
      </c>
      <c r="J211" s="37">
        <f t="shared" si="89"/>
        <v>3050</v>
      </c>
      <c r="K211" s="37">
        <f t="shared" si="90"/>
        <v>3050</v>
      </c>
      <c r="L211" s="37">
        <f t="shared" si="91"/>
        <v>3050</v>
      </c>
      <c r="M211" s="37">
        <f t="shared" si="92"/>
        <v>3050</v>
      </c>
      <c r="N211" s="37">
        <f t="shared" si="93"/>
        <v>3050</v>
      </c>
      <c r="O211" s="37">
        <f t="shared" si="94"/>
        <v>3050</v>
      </c>
      <c r="P211" s="37">
        <f t="shared" si="95"/>
        <v>3050</v>
      </c>
      <c r="Q211" s="37">
        <f t="shared" si="96"/>
        <v>3050</v>
      </c>
      <c r="R211" s="37">
        <f t="shared" si="97"/>
        <v>3050</v>
      </c>
      <c r="S211" s="37">
        <f t="shared" si="98"/>
        <v>3050</v>
      </c>
      <c r="T211" s="37">
        <f t="shared" si="99"/>
        <v>3050</v>
      </c>
      <c r="U211" s="37">
        <f t="shared" si="75"/>
        <v>36600</v>
      </c>
      <c r="V211" s="33"/>
      <c r="W211" s="38">
        <v>3050</v>
      </c>
      <c r="X211" s="39"/>
      <c r="Y211" s="40"/>
      <c r="Z211" s="40"/>
      <c r="AA211" s="40" t="s">
        <v>56</v>
      </c>
      <c r="AB211" s="41">
        <v>0</v>
      </c>
      <c r="AD211" s="42" t="str">
        <f>C211&amp;A211</f>
        <v>MANUTEN. SISTEMAS  INFORMATICAAdm</v>
      </c>
      <c r="AE211" s="42" t="str">
        <f>IFERROR(VLOOKUP(C211,[34]Planilha1!$B:$C,2,0),"Não se Aplica")</f>
        <v>Sim</v>
      </c>
      <c r="AF211" s="42" t="str">
        <f>VLOOKUP(AD211,[34]Planilha1!$H:$J,3,0)</f>
        <v>Sim</v>
      </c>
      <c r="AG211" s="43">
        <f t="shared" si="100"/>
        <v>33214.5</v>
      </c>
    </row>
    <row r="212" spans="1:33" x14ac:dyDescent="0.3">
      <c r="A212" s="1" t="s">
        <v>837</v>
      </c>
      <c r="B212" s="34" t="s">
        <v>28</v>
      </c>
      <c r="C212" s="35" t="s">
        <v>240</v>
      </c>
      <c r="D212" s="60" t="s">
        <v>329</v>
      </c>
      <c r="E212" s="36" t="s">
        <v>288</v>
      </c>
      <c r="F212" s="34" t="s">
        <v>49</v>
      </c>
      <c r="G212" s="34" t="s">
        <v>31</v>
      </c>
      <c r="H212" s="34" t="s">
        <v>50</v>
      </c>
      <c r="I212" s="37">
        <f t="shared" si="88"/>
        <v>1100</v>
      </c>
      <c r="J212" s="37">
        <f t="shared" si="89"/>
        <v>1100</v>
      </c>
      <c r="K212" s="37">
        <f t="shared" si="90"/>
        <v>1100</v>
      </c>
      <c r="L212" s="37">
        <f t="shared" si="91"/>
        <v>1100</v>
      </c>
      <c r="M212" s="37">
        <f t="shared" si="92"/>
        <v>1100</v>
      </c>
      <c r="N212" s="37">
        <f t="shared" si="93"/>
        <v>1100</v>
      </c>
      <c r="O212" s="37">
        <f t="shared" si="94"/>
        <v>1100</v>
      </c>
      <c r="P212" s="37">
        <f t="shared" si="95"/>
        <v>1100</v>
      </c>
      <c r="Q212" s="37">
        <f t="shared" si="96"/>
        <v>1100</v>
      </c>
      <c r="R212" s="37">
        <f t="shared" si="97"/>
        <v>1100</v>
      </c>
      <c r="S212" s="37">
        <f t="shared" si="98"/>
        <v>1100</v>
      </c>
      <c r="T212" s="37">
        <f t="shared" si="99"/>
        <v>1100</v>
      </c>
      <c r="U212" s="37">
        <f t="shared" si="75"/>
        <v>13200</v>
      </c>
      <c r="V212" s="62"/>
      <c r="W212" s="38">
        <v>1100</v>
      </c>
      <c r="X212" s="39"/>
      <c r="Y212" s="40"/>
      <c r="Z212" s="40"/>
      <c r="AA212" s="40" t="s">
        <v>45</v>
      </c>
      <c r="AB212" s="41">
        <v>0</v>
      </c>
      <c r="AD212" s="42" t="str">
        <f>C212&amp;A212</f>
        <v>INTERNET/COMUNICACOESAdm</v>
      </c>
      <c r="AE212" s="42" t="str">
        <f>IFERROR(VLOOKUP(C212,[34]Planilha1!$B:$C,2,0),"Não se Aplica")</f>
        <v>Sim</v>
      </c>
      <c r="AF212" s="42" t="str">
        <f>VLOOKUP(AD212,[34]Planilha1!$H:$J,3,0)</f>
        <v>Não</v>
      </c>
      <c r="AG212" s="43">
        <f t="shared" si="100"/>
        <v>13200</v>
      </c>
    </row>
    <row r="213" spans="1:33" x14ac:dyDescent="0.3">
      <c r="A213" s="1" t="s">
        <v>836</v>
      </c>
      <c r="B213" s="34" t="s">
        <v>20</v>
      </c>
      <c r="C213" s="35" t="s">
        <v>240</v>
      </c>
      <c r="D213" s="34" t="s">
        <v>330</v>
      </c>
      <c r="E213" s="36" t="s">
        <v>256</v>
      </c>
      <c r="F213" s="34" t="s">
        <v>36</v>
      </c>
      <c r="G213" s="34" t="s">
        <v>32</v>
      </c>
      <c r="H213" s="34" t="s">
        <v>50</v>
      </c>
      <c r="I213" s="37">
        <f t="shared" si="88"/>
        <v>98.94</v>
      </c>
      <c r="J213" s="37">
        <f t="shared" si="89"/>
        <v>98.94</v>
      </c>
      <c r="K213" s="37">
        <f t="shared" si="90"/>
        <v>98.94</v>
      </c>
      <c r="L213" s="37">
        <f t="shared" si="91"/>
        <v>98.94</v>
      </c>
      <c r="M213" s="37">
        <f t="shared" si="92"/>
        <v>98.94</v>
      </c>
      <c r="N213" s="37">
        <f t="shared" si="93"/>
        <v>98.94</v>
      </c>
      <c r="O213" s="37">
        <f t="shared" si="94"/>
        <v>101.90819999999999</v>
      </c>
      <c r="P213" s="37">
        <f t="shared" si="95"/>
        <v>101.90819999999999</v>
      </c>
      <c r="Q213" s="37">
        <f t="shared" si="96"/>
        <v>101.90819999999999</v>
      </c>
      <c r="R213" s="37">
        <f t="shared" si="97"/>
        <v>101.90819999999999</v>
      </c>
      <c r="S213" s="37">
        <f t="shared" si="98"/>
        <v>101.90819999999999</v>
      </c>
      <c r="T213" s="37">
        <f t="shared" si="99"/>
        <v>101.90819999999999</v>
      </c>
      <c r="U213" s="37">
        <f t="shared" si="75"/>
        <v>1205.0891999999999</v>
      </c>
      <c r="V213" s="6"/>
      <c r="W213" s="38">
        <v>98.94</v>
      </c>
      <c r="X213" s="39">
        <v>45891</v>
      </c>
      <c r="Y213" s="40" t="s">
        <v>102</v>
      </c>
      <c r="Z213" s="40" t="s">
        <v>55</v>
      </c>
      <c r="AA213" s="40" t="s">
        <v>45</v>
      </c>
      <c r="AB213" s="41">
        <v>0.03</v>
      </c>
      <c r="AD213" s="42" t="str">
        <f>C213&amp;A213</f>
        <v>INTERNET/COMUNICACOESOper</v>
      </c>
      <c r="AE213" s="42" t="str">
        <f>IFERROR(VLOOKUP(C213,[34]Planilha1!$B:$C,2,0),"Não se Aplica")</f>
        <v>Sim</v>
      </c>
      <c r="AF213" s="42" t="str">
        <f>VLOOKUP(AD213,[34]Planilha1!$H:$J,3,0)</f>
        <v>Não</v>
      </c>
      <c r="AG213" s="43">
        <f t="shared" si="100"/>
        <v>1205.0891999999999</v>
      </c>
    </row>
    <row r="214" spans="1:33" x14ac:dyDescent="0.3">
      <c r="A214" s="1" t="s">
        <v>836</v>
      </c>
      <c r="B214" s="34" t="s">
        <v>20</v>
      </c>
      <c r="C214" s="35" t="s">
        <v>38</v>
      </c>
      <c r="D214" s="34" t="s">
        <v>331</v>
      </c>
      <c r="E214" s="36" t="s">
        <v>256</v>
      </c>
      <c r="F214" s="34" t="s">
        <v>36</v>
      </c>
      <c r="G214" s="34" t="s">
        <v>32</v>
      </c>
      <c r="H214" s="34" t="s">
        <v>50</v>
      </c>
      <c r="I214" s="37">
        <f t="shared" si="88"/>
        <v>607.80999999999995</v>
      </c>
      <c r="J214" s="37">
        <f t="shared" si="89"/>
        <v>607.80999999999995</v>
      </c>
      <c r="K214" s="37">
        <f t="shared" si="90"/>
        <v>607.80999999999995</v>
      </c>
      <c r="L214" s="37">
        <f t="shared" si="91"/>
        <v>607.80999999999995</v>
      </c>
      <c r="M214" s="37">
        <f t="shared" si="92"/>
        <v>607.80999999999995</v>
      </c>
      <c r="N214" s="37">
        <f t="shared" si="93"/>
        <v>607.80999999999995</v>
      </c>
      <c r="O214" s="37">
        <f t="shared" si="94"/>
        <v>626.04429999999991</v>
      </c>
      <c r="P214" s="37">
        <f t="shared" si="95"/>
        <v>626.04429999999991</v>
      </c>
      <c r="Q214" s="37">
        <f t="shared" si="96"/>
        <v>626.04429999999991</v>
      </c>
      <c r="R214" s="37">
        <f t="shared" si="97"/>
        <v>626.04429999999991</v>
      </c>
      <c r="S214" s="37">
        <f t="shared" si="98"/>
        <v>626.04429999999991</v>
      </c>
      <c r="T214" s="37">
        <f t="shared" si="99"/>
        <v>626.04429999999991</v>
      </c>
      <c r="U214" s="37">
        <f t="shared" si="75"/>
        <v>7403.1257999999971</v>
      </c>
      <c r="W214" s="38">
        <v>607.80999999999995</v>
      </c>
      <c r="X214" s="39">
        <v>45891</v>
      </c>
      <c r="Y214" s="40" t="s">
        <v>102</v>
      </c>
      <c r="Z214" s="40" t="s">
        <v>55</v>
      </c>
      <c r="AA214" s="40" t="s">
        <v>45</v>
      </c>
      <c r="AB214" s="41">
        <v>0.03</v>
      </c>
      <c r="AD214" s="42" t="str">
        <f>C214&amp;A214</f>
        <v>ALUGUEIS DE EQUIPAMENTOSOper</v>
      </c>
      <c r="AE214" s="42" t="str">
        <f>IFERROR(VLOOKUP(C214,[34]Planilha1!$B:$C,2,0),"Não se Aplica")</f>
        <v>Sim</v>
      </c>
      <c r="AF214" s="42" t="str">
        <f>VLOOKUP(AD214,[34]Planilha1!$H:$J,3,0)</f>
        <v>Sim</v>
      </c>
      <c r="AG214" s="43">
        <f t="shared" si="100"/>
        <v>6718.3366634999975</v>
      </c>
    </row>
    <row r="215" spans="1:33" x14ac:dyDescent="0.3">
      <c r="A215" s="1" t="s">
        <v>838</v>
      </c>
      <c r="B215" s="34" t="s">
        <v>20</v>
      </c>
      <c r="C215" s="35" t="s">
        <v>38</v>
      </c>
      <c r="D215" s="34" t="s">
        <v>332</v>
      </c>
      <c r="E215" s="36" t="s">
        <v>323</v>
      </c>
      <c r="F215" s="34" t="s">
        <v>77</v>
      </c>
      <c r="G215" s="34" t="s">
        <v>32</v>
      </c>
      <c r="H215" s="34" t="s">
        <v>50</v>
      </c>
      <c r="I215" s="37">
        <f t="shared" si="88"/>
        <v>1005</v>
      </c>
      <c r="J215" s="37">
        <f t="shared" si="89"/>
        <v>1005</v>
      </c>
      <c r="K215" s="37">
        <f t="shared" si="90"/>
        <v>1005</v>
      </c>
      <c r="L215" s="37">
        <f t="shared" si="91"/>
        <v>1005</v>
      </c>
      <c r="M215" s="37">
        <f t="shared" si="92"/>
        <v>1005</v>
      </c>
      <c r="N215" s="37">
        <f t="shared" si="93"/>
        <v>1005</v>
      </c>
      <c r="O215" s="37">
        <f t="shared" si="94"/>
        <v>1005</v>
      </c>
      <c r="P215" s="37">
        <f t="shared" si="95"/>
        <v>1005</v>
      </c>
      <c r="Q215" s="37">
        <f t="shared" si="96"/>
        <v>1005</v>
      </c>
      <c r="R215" s="37">
        <f t="shared" si="97"/>
        <v>1005</v>
      </c>
      <c r="S215" s="37">
        <f t="shared" si="98"/>
        <v>1005</v>
      </c>
      <c r="T215" s="37">
        <f t="shared" si="99"/>
        <v>1005</v>
      </c>
      <c r="U215" s="37">
        <f t="shared" ref="U215:U278" si="101">SUM(I215:T215)</f>
        <v>12060</v>
      </c>
      <c r="V215" s="6"/>
      <c r="W215" s="51">
        <v>1005</v>
      </c>
      <c r="X215" s="39">
        <v>46356</v>
      </c>
      <c r="Y215" s="40" t="s">
        <v>129</v>
      </c>
      <c r="Z215" s="40" t="s">
        <v>55</v>
      </c>
      <c r="AA215" s="40" t="s">
        <v>56</v>
      </c>
      <c r="AB215" s="41">
        <v>0</v>
      </c>
      <c r="AD215" s="42" t="str">
        <f>C215&amp;A215</f>
        <v>ALUGUEIS DE EQUIPAMENTOSCom</v>
      </c>
      <c r="AE215" s="42" t="str">
        <f>IFERROR(VLOOKUP(C215,[34]Planilha1!$B:$C,2,0),"Não se Aplica")</f>
        <v>Sim</v>
      </c>
      <c r="AF215" s="42" t="str">
        <f>VLOOKUP(AD215,[34]Planilha1!$H:$J,3,0)</f>
        <v>Sim</v>
      </c>
      <c r="AG215" s="43">
        <f t="shared" si="100"/>
        <v>10944.449999999999</v>
      </c>
    </row>
    <row r="216" spans="1:33" x14ac:dyDescent="0.3">
      <c r="A216" s="1" t="s">
        <v>837</v>
      </c>
      <c r="B216" s="34" t="s">
        <v>20</v>
      </c>
      <c r="C216" s="35" t="s">
        <v>38</v>
      </c>
      <c r="D216" s="34" t="s">
        <v>332</v>
      </c>
      <c r="E216" s="36" t="s">
        <v>323</v>
      </c>
      <c r="F216" s="34" t="s">
        <v>253</v>
      </c>
      <c r="G216" s="34" t="s">
        <v>32</v>
      </c>
      <c r="H216" s="34" t="s">
        <v>50</v>
      </c>
      <c r="I216" s="37">
        <f t="shared" si="88"/>
        <v>62.8752</v>
      </c>
      <c r="J216" s="37">
        <f t="shared" si="89"/>
        <v>62.8752</v>
      </c>
      <c r="K216" s="37">
        <f t="shared" si="90"/>
        <v>62.8752</v>
      </c>
      <c r="L216" s="37">
        <f t="shared" si="91"/>
        <v>62.8752</v>
      </c>
      <c r="M216" s="37">
        <f t="shared" si="92"/>
        <v>62.8752</v>
      </c>
      <c r="N216" s="37">
        <f t="shared" si="93"/>
        <v>62.8752</v>
      </c>
      <c r="O216" s="37">
        <f t="shared" si="94"/>
        <v>62.8752</v>
      </c>
      <c r="P216" s="37">
        <f t="shared" si="95"/>
        <v>62.8752</v>
      </c>
      <c r="Q216" s="37">
        <f t="shared" si="96"/>
        <v>62.8752</v>
      </c>
      <c r="R216" s="37">
        <f t="shared" si="97"/>
        <v>62.8752</v>
      </c>
      <c r="S216" s="37">
        <f t="shared" si="98"/>
        <v>62.8752</v>
      </c>
      <c r="T216" s="37">
        <f t="shared" si="99"/>
        <v>62.8752</v>
      </c>
      <c r="U216" s="37">
        <f t="shared" si="101"/>
        <v>754.50239999999985</v>
      </c>
      <c r="V216" s="6"/>
      <c r="W216" s="51">
        <v>62.8752</v>
      </c>
      <c r="X216" s="39">
        <v>46356</v>
      </c>
      <c r="Y216" s="40" t="s">
        <v>129</v>
      </c>
      <c r="Z216" s="40" t="s">
        <v>55</v>
      </c>
      <c r="AA216" s="40" t="s">
        <v>56</v>
      </c>
      <c r="AB216" s="41">
        <v>0</v>
      </c>
      <c r="AD216" s="42" t="str">
        <f>C216&amp;A216</f>
        <v>ALUGUEIS DE EQUIPAMENTOSAdm</v>
      </c>
      <c r="AE216" s="42" t="str">
        <f>IFERROR(VLOOKUP(C216,[34]Planilha1!$B:$C,2,0),"Não se Aplica")</f>
        <v>Sim</v>
      </c>
      <c r="AF216" s="42" t="str">
        <f>VLOOKUP(AD216,[34]Planilha1!$H:$J,3,0)</f>
        <v>Sim</v>
      </c>
      <c r="AG216" s="43">
        <f t="shared" si="100"/>
        <v>684.71092799999985</v>
      </c>
    </row>
    <row r="217" spans="1:33" x14ac:dyDescent="0.3">
      <c r="A217" s="1" t="s">
        <v>836</v>
      </c>
      <c r="B217" s="34" t="s">
        <v>20</v>
      </c>
      <c r="C217" s="35" t="s">
        <v>38</v>
      </c>
      <c r="D217" s="34" t="s">
        <v>332</v>
      </c>
      <c r="E217" s="36" t="s">
        <v>323</v>
      </c>
      <c r="F217" s="34" t="s">
        <v>60</v>
      </c>
      <c r="G217" s="34" t="s">
        <v>32</v>
      </c>
      <c r="H217" s="34" t="s">
        <v>50</v>
      </c>
      <c r="I217" s="37">
        <f t="shared" si="88"/>
        <v>55.6738</v>
      </c>
      <c r="J217" s="37">
        <f t="shared" si="89"/>
        <v>55.6738</v>
      </c>
      <c r="K217" s="37">
        <f t="shared" si="90"/>
        <v>55.6738</v>
      </c>
      <c r="L217" s="37">
        <f t="shared" si="91"/>
        <v>55.6738</v>
      </c>
      <c r="M217" s="37">
        <f t="shared" si="92"/>
        <v>55.6738</v>
      </c>
      <c r="N217" s="37">
        <f t="shared" si="93"/>
        <v>55.6738</v>
      </c>
      <c r="O217" s="37">
        <f t="shared" si="94"/>
        <v>55.6738</v>
      </c>
      <c r="P217" s="37">
        <f t="shared" si="95"/>
        <v>55.6738</v>
      </c>
      <c r="Q217" s="37">
        <f t="shared" si="96"/>
        <v>55.6738</v>
      </c>
      <c r="R217" s="37">
        <f t="shared" si="97"/>
        <v>55.6738</v>
      </c>
      <c r="S217" s="37">
        <f t="shared" si="98"/>
        <v>55.6738</v>
      </c>
      <c r="T217" s="37">
        <f t="shared" si="99"/>
        <v>55.6738</v>
      </c>
      <c r="U217" s="37">
        <f t="shared" si="101"/>
        <v>668.08560000000023</v>
      </c>
      <c r="V217" s="6"/>
      <c r="W217" s="51">
        <v>55.6738</v>
      </c>
      <c r="X217" s="39">
        <v>46356</v>
      </c>
      <c r="Y217" s="40" t="s">
        <v>129</v>
      </c>
      <c r="Z217" s="40" t="s">
        <v>55</v>
      </c>
      <c r="AA217" s="40" t="s">
        <v>56</v>
      </c>
      <c r="AB217" s="41">
        <v>0</v>
      </c>
      <c r="AD217" s="42" t="str">
        <f>C217&amp;A217</f>
        <v>ALUGUEIS DE EQUIPAMENTOSOper</v>
      </c>
      <c r="AE217" s="42" t="str">
        <f>IFERROR(VLOOKUP(C217,[34]Planilha1!$B:$C,2,0),"Não se Aplica")</f>
        <v>Sim</v>
      </c>
      <c r="AF217" s="42" t="str">
        <f>VLOOKUP(AD217,[34]Planilha1!$H:$J,3,0)</f>
        <v>Sim</v>
      </c>
      <c r="AG217" s="43">
        <f t="shared" si="100"/>
        <v>606.28768200000013</v>
      </c>
    </row>
    <row r="218" spans="1:33" x14ac:dyDescent="0.3">
      <c r="A218" s="1" t="s">
        <v>836</v>
      </c>
      <c r="B218" s="34" t="s">
        <v>20</v>
      </c>
      <c r="C218" s="35" t="s">
        <v>38</v>
      </c>
      <c r="D218" s="34" t="s">
        <v>332</v>
      </c>
      <c r="E218" s="36" t="s">
        <v>323</v>
      </c>
      <c r="F218" s="28" t="s">
        <v>122</v>
      </c>
      <c r="G218" s="34" t="s">
        <v>32</v>
      </c>
      <c r="H218" s="34" t="s">
        <v>50</v>
      </c>
      <c r="I218" s="37">
        <f t="shared" si="88"/>
        <v>198.3331</v>
      </c>
      <c r="J218" s="37">
        <f t="shared" si="89"/>
        <v>198.3331</v>
      </c>
      <c r="K218" s="37">
        <f t="shared" si="90"/>
        <v>198.3331</v>
      </c>
      <c r="L218" s="37">
        <f t="shared" si="91"/>
        <v>198.3331</v>
      </c>
      <c r="M218" s="37">
        <f t="shared" si="92"/>
        <v>198.3331</v>
      </c>
      <c r="N218" s="37">
        <f t="shared" si="93"/>
        <v>198.3331</v>
      </c>
      <c r="O218" s="37">
        <f t="shared" si="94"/>
        <v>198.3331</v>
      </c>
      <c r="P218" s="37">
        <f t="shared" si="95"/>
        <v>198.3331</v>
      </c>
      <c r="Q218" s="37">
        <f t="shared" si="96"/>
        <v>198.3331</v>
      </c>
      <c r="R218" s="37">
        <f t="shared" si="97"/>
        <v>198.3331</v>
      </c>
      <c r="S218" s="37">
        <f t="shared" si="98"/>
        <v>198.3331</v>
      </c>
      <c r="T218" s="37">
        <f t="shared" si="99"/>
        <v>198.3331</v>
      </c>
      <c r="U218" s="37">
        <f t="shared" si="101"/>
        <v>2379.9972000000002</v>
      </c>
      <c r="V218" s="6"/>
      <c r="W218" s="51">
        <v>198.3331</v>
      </c>
      <c r="X218" s="39">
        <v>46356</v>
      </c>
      <c r="Y218" s="40" t="s">
        <v>129</v>
      </c>
      <c r="Z218" s="40" t="s">
        <v>55</v>
      </c>
      <c r="AA218" s="40" t="s">
        <v>56</v>
      </c>
      <c r="AB218" s="41">
        <v>0</v>
      </c>
      <c r="AD218" s="42" t="str">
        <f>C218&amp;A218</f>
        <v>ALUGUEIS DE EQUIPAMENTOSOper</v>
      </c>
      <c r="AE218" s="42" t="str">
        <f>IFERROR(VLOOKUP(C218,[34]Planilha1!$B:$C,2,0),"Não se Aplica")</f>
        <v>Sim</v>
      </c>
      <c r="AF218" s="42" t="str">
        <f>VLOOKUP(AD218,[34]Planilha1!$H:$J,3,0)</f>
        <v>Sim</v>
      </c>
      <c r="AG218" s="43">
        <f t="shared" si="100"/>
        <v>2159.8474590000001</v>
      </c>
    </row>
    <row r="219" spans="1:33" x14ac:dyDescent="0.3">
      <c r="A219" s="1" t="s">
        <v>836</v>
      </c>
      <c r="B219" s="34" t="s">
        <v>20</v>
      </c>
      <c r="C219" s="35" t="s">
        <v>38</v>
      </c>
      <c r="D219" s="34" t="s">
        <v>332</v>
      </c>
      <c r="E219" s="36" t="s">
        <v>323</v>
      </c>
      <c r="F219" s="34" t="s">
        <v>23</v>
      </c>
      <c r="G219" s="34" t="s">
        <v>32</v>
      </c>
      <c r="H219" s="34" t="s">
        <v>50</v>
      </c>
      <c r="I219" s="37">
        <f t="shared" si="88"/>
        <v>97.354399999999998</v>
      </c>
      <c r="J219" s="37">
        <f t="shared" si="89"/>
        <v>97.354399999999998</v>
      </c>
      <c r="K219" s="37">
        <f t="shared" si="90"/>
        <v>97.354399999999998</v>
      </c>
      <c r="L219" s="37">
        <f t="shared" si="91"/>
        <v>97.354399999999998</v>
      </c>
      <c r="M219" s="37">
        <f t="shared" si="92"/>
        <v>97.354399999999998</v>
      </c>
      <c r="N219" s="37">
        <f t="shared" si="93"/>
        <v>97.354399999999998</v>
      </c>
      <c r="O219" s="37">
        <f t="shared" si="94"/>
        <v>97.354399999999998</v>
      </c>
      <c r="P219" s="37">
        <f t="shared" si="95"/>
        <v>97.354399999999998</v>
      </c>
      <c r="Q219" s="37">
        <f t="shared" si="96"/>
        <v>97.354399999999998</v>
      </c>
      <c r="R219" s="37">
        <f t="shared" si="97"/>
        <v>97.354399999999998</v>
      </c>
      <c r="S219" s="37">
        <f t="shared" si="98"/>
        <v>97.354399999999998</v>
      </c>
      <c r="T219" s="37">
        <f t="shared" si="99"/>
        <v>97.354399999999998</v>
      </c>
      <c r="U219" s="37">
        <f t="shared" si="101"/>
        <v>1168.2527999999998</v>
      </c>
      <c r="V219" s="6"/>
      <c r="W219" s="51">
        <v>97.354399999999998</v>
      </c>
      <c r="X219" s="39">
        <v>46356</v>
      </c>
      <c r="Y219" s="40" t="s">
        <v>129</v>
      </c>
      <c r="Z219" s="40" t="s">
        <v>55</v>
      </c>
      <c r="AA219" s="40" t="s">
        <v>56</v>
      </c>
      <c r="AB219" s="41">
        <v>0</v>
      </c>
      <c r="AD219" s="42" t="str">
        <f>C219&amp;A219</f>
        <v>ALUGUEIS DE EQUIPAMENTOSOper</v>
      </c>
      <c r="AE219" s="42" t="str">
        <f>IFERROR(VLOOKUP(C219,[34]Planilha1!$B:$C,2,0),"Não se Aplica")</f>
        <v>Sim</v>
      </c>
      <c r="AF219" s="42" t="str">
        <f>VLOOKUP(AD219,[34]Planilha1!$H:$J,3,0)</f>
        <v>Sim</v>
      </c>
      <c r="AG219" s="43">
        <f t="shared" si="100"/>
        <v>1060.1894159999997</v>
      </c>
    </row>
    <row r="220" spans="1:33" x14ac:dyDescent="0.3">
      <c r="A220" s="1" t="s">
        <v>837</v>
      </c>
      <c r="B220" s="34" t="s">
        <v>20</v>
      </c>
      <c r="C220" s="35" t="s">
        <v>38</v>
      </c>
      <c r="D220" s="34" t="s">
        <v>332</v>
      </c>
      <c r="E220" s="36" t="s">
        <v>323</v>
      </c>
      <c r="F220" s="34" t="s">
        <v>127</v>
      </c>
      <c r="G220" s="34" t="s">
        <v>32</v>
      </c>
      <c r="H220" s="34" t="s">
        <v>50</v>
      </c>
      <c r="I220" s="37">
        <f t="shared" si="88"/>
        <v>708.06190000000004</v>
      </c>
      <c r="J220" s="37">
        <f t="shared" si="89"/>
        <v>708.06190000000004</v>
      </c>
      <c r="K220" s="37">
        <f t="shared" si="90"/>
        <v>708.06190000000004</v>
      </c>
      <c r="L220" s="37">
        <f t="shared" si="91"/>
        <v>708.06190000000004</v>
      </c>
      <c r="M220" s="37">
        <f t="shared" si="92"/>
        <v>708.06190000000004</v>
      </c>
      <c r="N220" s="37">
        <f t="shared" si="93"/>
        <v>708.06190000000004</v>
      </c>
      <c r="O220" s="37">
        <f t="shared" si="94"/>
        <v>708.06190000000004</v>
      </c>
      <c r="P220" s="37">
        <f t="shared" si="95"/>
        <v>708.06190000000004</v>
      </c>
      <c r="Q220" s="37">
        <f t="shared" si="96"/>
        <v>708.06190000000004</v>
      </c>
      <c r="R220" s="37">
        <f t="shared" si="97"/>
        <v>708.06190000000004</v>
      </c>
      <c r="S220" s="37">
        <f t="shared" si="98"/>
        <v>708.06190000000004</v>
      </c>
      <c r="T220" s="37">
        <f t="shared" si="99"/>
        <v>708.06190000000004</v>
      </c>
      <c r="U220" s="37">
        <f t="shared" si="101"/>
        <v>8496.7427999999982</v>
      </c>
      <c r="V220" s="6"/>
      <c r="W220" s="51">
        <v>708.06190000000004</v>
      </c>
      <c r="X220" s="39">
        <v>46356</v>
      </c>
      <c r="Y220" s="40" t="s">
        <v>129</v>
      </c>
      <c r="Z220" s="40" t="s">
        <v>55</v>
      </c>
      <c r="AA220" s="40" t="s">
        <v>56</v>
      </c>
      <c r="AB220" s="41">
        <v>0</v>
      </c>
      <c r="AD220" s="42" t="str">
        <f>C220&amp;A220</f>
        <v>ALUGUEIS DE EQUIPAMENTOSAdm</v>
      </c>
      <c r="AE220" s="42" t="str">
        <f>IFERROR(VLOOKUP(C220,[34]Planilha1!$B:$C,2,0),"Não se Aplica")</f>
        <v>Sim</v>
      </c>
      <c r="AF220" s="42" t="str">
        <f>VLOOKUP(AD220,[34]Planilha1!$H:$J,3,0)</f>
        <v>Sim</v>
      </c>
      <c r="AG220" s="43">
        <f t="shared" si="100"/>
        <v>7710.7940909999979</v>
      </c>
    </row>
    <row r="221" spans="1:33" x14ac:dyDescent="0.3">
      <c r="A221" s="1" t="s">
        <v>836</v>
      </c>
      <c r="B221" s="34" t="s">
        <v>20</v>
      </c>
      <c r="C221" s="35" t="s">
        <v>38</v>
      </c>
      <c r="D221" s="34" t="s">
        <v>332</v>
      </c>
      <c r="E221" s="36" t="s">
        <v>323</v>
      </c>
      <c r="F221" s="34" t="s">
        <v>36</v>
      </c>
      <c r="G221" s="34" t="s">
        <v>32</v>
      </c>
      <c r="H221" s="34" t="s">
        <v>50</v>
      </c>
      <c r="I221" s="37">
        <f t="shared" si="88"/>
        <v>5325.7031999999999</v>
      </c>
      <c r="J221" s="37">
        <f t="shared" si="89"/>
        <v>5325.7031999999999</v>
      </c>
      <c r="K221" s="37">
        <f t="shared" si="90"/>
        <v>5325.7031999999999</v>
      </c>
      <c r="L221" s="37">
        <f t="shared" si="91"/>
        <v>5325.7031999999999</v>
      </c>
      <c r="M221" s="37">
        <f t="shared" si="92"/>
        <v>5325.7031999999999</v>
      </c>
      <c r="N221" s="37">
        <f t="shared" si="93"/>
        <v>5325.7031999999999</v>
      </c>
      <c r="O221" s="37">
        <f t="shared" si="94"/>
        <v>5325.7031999999999</v>
      </c>
      <c r="P221" s="37">
        <f t="shared" si="95"/>
        <v>5325.7031999999999</v>
      </c>
      <c r="Q221" s="37">
        <f t="shared" si="96"/>
        <v>5325.7031999999999</v>
      </c>
      <c r="R221" s="37">
        <f t="shared" si="97"/>
        <v>5325.7031999999999</v>
      </c>
      <c r="S221" s="37">
        <f t="shared" si="98"/>
        <v>5325.7031999999999</v>
      </c>
      <c r="T221" s="37">
        <f t="shared" si="99"/>
        <v>5325.7031999999999</v>
      </c>
      <c r="U221" s="37">
        <f t="shared" si="101"/>
        <v>63908.438400000014</v>
      </c>
      <c r="V221" s="6"/>
      <c r="W221" s="51">
        <v>5325.7031999999999</v>
      </c>
      <c r="X221" s="39">
        <v>46356</v>
      </c>
      <c r="Y221" s="40" t="s">
        <v>129</v>
      </c>
      <c r="Z221" s="40" t="s">
        <v>55</v>
      </c>
      <c r="AA221" s="40" t="s">
        <v>56</v>
      </c>
      <c r="AB221" s="41">
        <v>0</v>
      </c>
      <c r="AD221" s="42" t="str">
        <f>C221&amp;A221</f>
        <v>ALUGUEIS DE EQUIPAMENTOSOper</v>
      </c>
      <c r="AE221" s="42" t="str">
        <f>IFERROR(VLOOKUP(C221,[34]Planilha1!$B:$C,2,0),"Não se Aplica")</f>
        <v>Sim</v>
      </c>
      <c r="AF221" s="42" t="str">
        <f>VLOOKUP(AD221,[34]Planilha1!$H:$J,3,0)</f>
        <v>Sim</v>
      </c>
      <c r="AG221" s="43">
        <f t="shared" si="100"/>
        <v>57996.90784800001</v>
      </c>
    </row>
    <row r="222" spans="1:33" x14ac:dyDescent="0.3">
      <c r="A222" s="1" t="s">
        <v>836</v>
      </c>
      <c r="B222" s="34" t="s">
        <v>20</v>
      </c>
      <c r="C222" s="35" t="s">
        <v>38</v>
      </c>
      <c r="D222" s="34" t="s">
        <v>332</v>
      </c>
      <c r="E222" s="36" t="s">
        <v>323</v>
      </c>
      <c r="F222" s="34" t="s">
        <v>37</v>
      </c>
      <c r="G222" s="34" t="s">
        <v>32</v>
      </c>
      <c r="H222" s="34" t="s">
        <v>50</v>
      </c>
      <c r="I222" s="37">
        <f t="shared" si="88"/>
        <v>2396.2833000000001</v>
      </c>
      <c r="J222" s="37">
        <f t="shared" si="89"/>
        <v>2396.2833000000001</v>
      </c>
      <c r="K222" s="37">
        <f t="shared" si="90"/>
        <v>2396.2833000000001</v>
      </c>
      <c r="L222" s="37">
        <f t="shared" si="91"/>
        <v>2396.2833000000001</v>
      </c>
      <c r="M222" s="37">
        <f t="shared" si="92"/>
        <v>2396.2833000000001</v>
      </c>
      <c r="N222" s="37">
        <f t="shared" si="93"/>
        <v>2396.2833000000001</v>
      </c>
      <c r="O222" s="37">
        <f t="shared" si="94"/>
        <v>2396.2833000000001</v>
      </c>
      <c r="P222" s="37">
        <f t="shared" si="95"/>
        <v>2396.2833000000001</v>
      </c>
      <c r="Q222" s="37">
        <f t="shared" si="96"/>
        <v>2396.2833000000001</v>
      </c>
      <c r="R222" s="37">
        <f t="shared" si="97"/>
        <v>2396.2833000000001</v>
      </c>
      <c r="S222" s="37">
        <f t="shared" si="98"/>
        <v>2396.2833000000001</v>
      </c>
      <c r="T222" s="37">
        <f t="shared" si="99"/>
        <v>2396.2833000000001</v>
      </c>
      <c r="U222" s="37">
        <f t="shared" si="101"/>
        <v>28755.399599999993</v>
      </c>
      <c r="V222" s="6"/>
      <c r="W222" s="51">
        <v>2396.2833000000001</v>
      </c>
      <c r="X222" s="39">
        <v>46356</v>
      </c>
      <c r="Y222" s="40" t="s">
        <v>129</v>
      </c>
      <c r="Z222" s="40" t="s">
        <v>55</v>
      </c>
      <c r="AA222" s="40" t="s">
        <v>56</v>
      </c>
      <c r="AB222" s="41">
        <v>0</v>
      </c>
      <c r="AD222" s="42" t="str">
        <f>C222&amp;A222</f>
        <v>ALUGUEIS DE EQUIPAMENTOSOper</v>
      </c>
      <c r="AE222" s="42" t="str">
        <f>IFERROR(VLOOKUP(C222,[34]Planilha1!$B:$C,2,0),"Não se Aplica")</f>
        <v>Sim</v>
      </c>
      <c r="AF222" s="42" t="str">
        <f>VLOOKUP(AD222,[34]Planilha1!$H:$J,3,0)</f>
        <v>Sim</v>
      </c>
      <c r="AG222" s="43">
        <f t="shared" si="100"/>
        <v>26095.525136999993</v>
      </c>
    </row>
    <row r="223" spans="1:33" x14ac:dyDescent="0.3">
      <c r="A223" s="1" t="s">
        <v>837</v>
      </c>
      <c r="B223" s="34" t="s">
        <v>20</v>
      </c>
      <c r="C223" s="35" t="s">
        <v>38</v>
      </c>
      <c r="D223" s="34" t="s">
        <v>332</v>
      </c>
      <c r="E223" s="36" t="s">
        <v>323</v>
      </c>
      <c r="F223" s="34" t="s">
        <v>34</v>
      </c>
      <c r="G223" s="34" t="s">
        <v>32</v>
      </c>
      <c r="H223" s="34" t="s">
        <v>50</v>
      </c>
      <c r="I223" s="37">
        <f t="shared" si="88"/>
        <v>613.90679999999998</v>
      </c>
      <c r="J223" s="37">
        <f t="shared" si="89"/>
        <v>613.90679999999998</v>
      </c>
      <c r="K223" s="37">
        <f t="shared" si="90"/>
        <v>613.90679999999998</v>
      </c>
      <c r="L223" s="37">
        <f t="shared" si="91"/>
        <v>613.90679999999998</v>
      </c>
      <c r="M223" s="37">
        <f t="shared" si="92"/>
        <v>613.90679999999998</v>
      </c>
      <c r="N223" s="37">
        <f t="shared" si="93"/>
        <v>613.90679999999998</v>
      </c>
      <c r="O223" s="37">
        <f t="shared" si="94"/>
        <v>613.90679999999998</v>
      </c>
      <c r="P223" s="37">
        <f t="shared" si="95"/>
        <v>613.90679999999998</v>
      </c>
      <c r="Q223" s="37">
        <f t="shared" si="96"/>
        <v>613.90679999999998</v>
      </c>
      <c r="R223" s="37">
        <f t="shared" si="97"/>
        <v>613.90679999999998</v>
      </c>
      <c r="S223" s="37">
        <f t="shared" si="98"/>
        <v>613.90679999999998</v>
      </c>
      <c r="T223" s="37">
        <f t="shared" si="99"/>
        <v>613.90679999999998</v>
      </c>
      <c r="U223" s="37">
        <f t="shared" si="101"/>
        <v>7366.8815999999979</v>
      </c>
      <c r="V223" s="6"/>
      <c r="W223" s="51">
        <v>613.90679999999998</v>
      </c>
      <c r="X223" s="39">
        <v>46356</v>
      </c>
      <c r="Y223" s="40" t="s">
        <v>129</v>
      </c>
      <c r="Z223" s="40" t="s">
        <v>55</v>
      </c>
      <c r="AA223" s="40" t="s">
        <v>56</v>
      </c>
      <c r="AB223" s="41">
        <v>0</v>
      </c>
      <c r="AD223" s="42" t="str">
        <f>C223&amp;A223</f>
        <v>ALUGUEIS DE EQUIPAMENTOSAdm</v>
      </c>
      <c r="AE223" s="42" t="str">
        <f>IFERROR(VLOOKUP(C223,[34]Planilha1!$B:$C,2,0),"Não se Aplica")</f>
        <v>Sim</v>
      </c>
      <c r="AF223" s="42" t="str">
        <f>VLOOKUP(AD223,[34]Planilha1!$H:$J,3,0)</f>
        <v>Sim</v>
      </c>
      <c r="AG223" s="43">
        <f t="shared" si="100"/>
        <v>6685.4450519999982</v>
      </c>
    </row>
    <row r="224" spans="1:33" x14ac:dyDescent="0.3">
      <c r="A224" s="1" t="s">
        <v>836</v>
      </c>
      <c r="B224" s="34" t="s">
        <v>20</v>
      </c>
      <c r="C224" s="35" t="s">
        <v>38</v>
      </c>
      <c r="D224" s="34" t="s">
        <v>332</v>
      </c>
      <c r="E224" s="36" t="s">
        <v>323</v>
      </c>
      <c r="F224" s="34" t="s">
        <v>41</v>
      </c>
      <c r="G224" s="34" t="s">
        <v>32</v>
      </c>
      <c r="H224" s="34" t="s">
        <v>50</v>
      </c>
      <c r="I224" s="37">
        <f t="shared" si="88"/>
        <v>1621.3274999999999</v>
      </c>
      <c r="J224" s="37">
        <f t="shared" si="89"/>
        <v>1621.3274999999999</v>
      </c>
      <c r="K224" s="37">
        <f t="shared" si="90"/>
        <v>1621.3274999999999</v>
      </c>
      <c r="L224" s="37">
        <f t="shared" si="91"/>
        <v>1621.3274999999999</v>
      </c>
      <c r="M224" s="37">
        <f t="shared" si="92"/>
        <v>1621.3274999999999</v>
      </c>
      <c r="N224" s="37">
        <f t="shared" si="93"/>
        <v>1621.3274999999999</v>
      </c>
      <c r="O224" s="37">
        <f t="shared" si="94"/>
        <v>1621.3274999999999</v>
      </c>
      <c r="P224" s="37">
        <f t="shared" si="95"/>
        <v>1621.3274999999999</v>
      </c>
      <c r="Q224" s="37">
        <f t="shared" si="96"/>
        <v>1621.3274999999999</v>
      </c>
      <c r="R224" s="37">
        <f t="shared" si="97"/>
        <v>1621.3274999999999</v>
      </c>
      <c r="S224" s="37">
        <f t="shared" si="98"/>
        <v>1621.3274999999999</v>
      </c>
      <c r="T224" s="37">
        <f t="shared" si="99"/>
        <v>1621.3274999999999</v>
      </c>
      <c r="U224" s="37">
        <f t="shared" si="101"/>
        <v>19455.929999999997</v>
      </c>
      <c r="V224" s="6"/>
      <c r="W224" s="51">
        <v>1621.3274999999999</v>
      </c>
      <c r="X224" s="39">
        <v>46356</v>
      </c>
      <c r="Y224" s="40" t="s">
        <v>129</v>
      </c>
      <c r="Z224" s="40" t="s">
        <v>55</v>
      </c>
      <c r="AA224" s="40" t="s">
        <v>56</v>
      </c>
      <c r="AB224" s="41">
        <v>0</v>
      </c>
      <c r="AD224" s="42" t="str">
        <f>C224&amp;A224</f>
        <v>ALUGUEIS DE EQUIPAMENTOSOper</v>
      </c>
      <c r="AE224" s="42" t="str">
        <f>IFERROR(VLOOKUP(C224,[34]Planilha1!$B:$C,2,0),"Não se Aplica")</f>
        <v>Sim</v>
      </c>
      <c r="AF224" s="42" t="str">
        <f>VLOOKUP(AD224,[34]Planilha1!$H:$J,3,0)</f>
        <v>Sim</v>
      </c>
      <c r="AG224" s="43">
        <f t="shared" si="100"/>
        <v>17656.256474999995</v>
      </c>
    </row>
    <row r="225" spans="1:33" x14ac:dyDescent="0.3">
      <c r="A225" s="1" t="s">
        <v>837</v>
      </c>
      <c r="B225" s="34" t="s">
        <v>20</v>
      </c>
      <c r="C225" s="35" t="s">
        <v>38</v>
      </c>
      <c r="D225" s="34" t="s">
        <v>332</v>
      </c>
      <c r="E225" s="36" t="s">
        <v>323</v>
      </c>
      <c r="F225" s="34" t="s">
        <v>21</v>
      </c>
      <c r="G225" s="34" t="s">
        <v>32</v>
      </c>
      <c r="H225" s="34" t="s">
        <v>50</v>
      </c>
      <c r="I225" s="37">
        <f t="shared" si="88"/>
        <v>401.13839999999999</v>
      </c>
      <c r="J225" s="37">
        <f t="shared" si="89"/>
        <v>401.13839999999999</v>
      </c>
      <c r="K225" s="37">
        <f t="shared" si="90"/>
        <v>401.13839999999999</v>
      </c>
      <c r="L225" s="37">
        <f t="shared" si="91"/>
        <v>401.13839999999999</v>
      </c>
      <c r="M225" s="37">
        <f t="shared" si="92"/>
        <v>401.13839999999999</v>
      </c>
      <c r="N225" s="37">
        <f t="shared" si="93"/>
        <v>401.13839999999999</v>
      </c>
      <c r="O225" s="37">
        <f t="shared" si="94"/>
        <v>401.13839999999999</v>
      </c>
      <c r="P225" s="37">
        <f t="shared" si="95"/>
        <v>401.13839999999999</v>
      </c>
      <c r="Q225" s="37">
        <f t="shared" si="96"/>
        <v>401.13839999999999</v>
      </c>
      <c r="R225" s="37">
        <f t="shared" si="97"/>
        <v>401.13839999999999</v>
      </c>
      <c r="S225" s="37">
        <f t="shared" si="98"/>
        <v>401.13839999999999</v>
      </c>
      <c r="T225" s="37">
        <f t="shared" si="99"/>
        <v>401.13839999999999</v>
      </c>
      <c r="U225" s="37">
        <f t="shared" si="101"/>
        <v>4813.6607999999987</v>
      </c>
      <c r="V225" s="6"/>
      <c r="W225" s="51">
        <v>401.13839999999999</v>
      </c>
      <c r="X225" s="39">
        <v>46356</v>
      </c>
      <c r="Y225" s="40" t="s">
        <v>129</v>
      </c>
      <c r="Z225" s="40" t="s">
        <v>55</v>
      </c>
      <c r="AA225" s="40" t="s">
        <v>56</v>
      </c>
      <c r="AB225" s="41">
        <v>0</v>
      </c>
      <c r="AD225" s="42" t="str">
        <f>C225&amp;A225</f>
        <v>ALUGUEIS DE EQUIPAMENTOSAdm</v>
      </c>
      <c r="AE225" s="42" t="str">
        <f>IFERROR(VLOOKUP(C225,[34]Planilha1!$B:$C,2,0),"Não se Aplica")</f>
        <v>Sim</v>
      </c>
      <c r="AF225" s="42" t="str">
        <f>VLOOKUP(AD225,[34]Planilha1!$H:$J,3,0)</f>
        <v>Sim</v>
      </c>
      <c r="AG225" s="43">
        <f t="shared" si="100"/>
        <v>4368.3971759999986</v>
      </c>
    </row>
    <row r="226" spans="1:33" x14ac:dyDescent="0.3">
      <c r="A226" s="1" t="s">
        <v>836</v>
      </c>
      <c r="B226" s="34" t="s">
        <v>20</v>
      </c>
      <c r="C226" s="35" t="s">
        <v>38</v>
      </c>
      <c r="D226" s="34" t="s">
        <v>332</v>
      </c>
      <c r="E226" s="36" t="s">
        <v>323</v>
      </c>
      <c r="F226" s="34" t="s">
        <v>252</v>
      </c>
      <c r="G226" s="34" t="s">
        <v>32</v>
      </c>
      <c r="H226" s="34" t="s">
        <v>50</v>
      </c>
      <c r="I226" s="37">
        <f t="shared" si="88"/>
        <v>901.12620000000004</v>
      </c>
      <c r="J226" s="37">
        <f t="shared" si="89"/>
        <v>901.12620000000004</v>
      </c>
      <c r="K226" s="37">
        <f t="shared" si="90"/>
        <v>901.12620000000004</v>
      </c>
      <c r="L226" s="37">
        <f t="shared" si="91"/>
        <v>901.12620000000004</v>
      </c>
      <c r="M226" s="37">
        <f t="shared" si="92"/>
        <v>901.12620000000004</v>
      </c>
      <c r="N226" s="37">
        <f t="shared" si="93"/>
        <v>901.12620000000004</v>
      </c>
      <c r="O226" s="37">
        <f t="shared" si="94"/>
        <v>901.12620000000004</v>
      </c>
      <c r="P226" s="37">
        <f t="shared" si="95"/>
        <v>901.12620000000004</v>
      </c>
      <c r="Q226" s="37">
        <f t="shared" si="96"/>
        <v>901.12620000000004</v>
      </c>
      <c r="R226" s="37">
        <f t="shared" si="97"/>
        <v>901.12620000000004</v>
      </c>
      <c r="S226" s="37">
        <f t="shared" si="98"/>
        <v>901.12620000000004</v>
      </c>
      <c r="T226" s="37">
        <f t="shared" si="99"/>
        <v>901.12620000000004</v>
      </c>
      <c r="U226" s="37">
        <f t="shared" si="101"/>
        <v>10813.5144</v>
      </c>
      <c r="V226" s="6"/>
      <c r="W226" s="51">
        <v>901.12620000000004</v>
      </c>
      <c r="X226" s="39">
        <v>46356</v>
      </c>
      <c r="Y226" s="40" t="s">
        <v>129</v>
      </c>
      <c r="Z226" s="40" t="s">
        <v>55</v>
      </c>
      <c r="AA226" s="40" t="s">
        <v>56</v>
      </c>
      <c r="AB226" s="41">
        <v>0</v>
      </c>
      <c r="AD226" s="42" t="str">
        <f>C226&amp;A226</f>
        <v>ALUGUEIS DE EQUIPAMENTOSOper</v>
      </c>
      <c r="AE226" s="42" t="str">
        <f>IFERROR(VLOOKUP(C226,[34]Planilha1!$B:$C,2,0),"Não se Aplica")</f>
        <v>Sim</v>
      </c>
      <c r="AF226" s="42" t="str">
        <f>VLOOKUP(AD226,[34]Planilha1!$H:$J,3,0)</f>
        <v>Sim</v>
      </c>
      <c r="AG226" s="43">
        <f t="shared" si="100"/>
        <v>9813.2643179999995</v>
      </c>
    </row>
    <row r="227" spans="1:33" x14ac:dyDescent="0.3">
      <c r="A227" s="1" t="s">
        <v>837</v>
      </c>
      <c r="B227" s="34" t="s">
        <v>20</v>
      </c>
      <c r="C227" s="35" t="s">
        <v>38</v>
      </c>
      <c r="D227" s="34" t="s">
        <v>332</v>
      </c>
      <c r="E227" s="36" t="s">
        <v>323</v>
      </c>
      <c r="F227" s="34" t="s">
        <v>254</v>
      </c>
      <c r="G227" s="34" t="s">
        <v>32</v>
      </c>
      <c r="H227" s="34" t="s">
        <v>50</v>
      </c>
      <c r="I227" s="37">
        <f t="shared" si="88"/>
        <v>10</v>
      </c>
      <c r="J227" s="37">
        <f t="shared" si="89"/>
        <v>10</v>
      </c>
      <c r="K227" s="37">
        <f t="shared" si="90"/>
        <v>10</v>
      </c>
      <c r="L227" s="37">
        <f t="shared" si="91"/>
        <v>10</v>
      </c>
      <c r="M227" s="37">
        <f t="shared" si="92"/>
        <v>10</v>
      </c>
      <c r="N227" s="37">
        <f t="shared" si="93"/>
        <v>10</v>
      </c>
      <c r="O227" s="37">
        <f t="shared" si="94"/>
        <v>10</v>
      </c>
      <c r="P227" s="37">
        <f t="shared" si="95"/>
        <v>10</v>
      </c>
      <c r="Q227" s="37">
        <f t="shared" si="96"/>
        <v>10</v>
      </c>
      <c r="R227" s="37">
        <f t="shared" si="97"/>
        <v>10</v>
      </c>
      <c r="S227" s="37">
        <f t="shared" si="98"/>
        <v>10</v>
      </c>
      <c r="T227" s="37">
        <f t="shared" si="99"/>
        <v>10</v>
      </c>
      <c r="U227" s="37">
        <f t="shared" si="101"/>
        <v>120</v>
      </c>
      <c r="V227" s="6"/>
      <c r="W227" s="51">
        <v>10</v>
      </c>
      <c r="X227" s="39">
        <v>46356</v>
      </c>
      <c r="Y227" s="40" t="s">
        <v>129</v>
      </c>
      <c r="Z227" s="40" t="s">
        <v>55</v>
      </c>
      <c r="AA227" s="40" t="s">
        <v>56</v>
      </c>
      <c r="AB227" s="41">
        <v>0</v>
      </c>
      <c r="AD227" s="42" t="str">
        <f>C227&amp;A227</f>
        <v>ALUGUEIS DE EQUIPAMENTOSAdm</v>
      </c>
      <c r="AE227" s="42" t="str">
        <f>IFERROR(VLOOKUP(C227,[34]Planilha1!$B:$C,2,0),"Não se Aplica")</f>
        <v>Sim</v>
      </c>
      <c r="AF227" s="42" t="str">
        <f>VLOOKUP(AD227,[34]Planilha1!$H:$J,3,0)</f>
        <v>Sim</v>
      </c>
      <c r="AG227" s="43">
        <f t="shared" si="100"/>
        <v>108.89999999999999</v>
      </c>
    </row>
    <row r="228" spans="1:33" x14ac:dyDescent="0.3">
      <c r="A228" s="1" t="s">
        <v>837</v>
      </c>
      <c r="B228" s="34" t="s">
        <v>20</v>
      </c>
      <c r="C228" s="35" t="s">
        <v>38</v>
      </c>
      <c r="D228" s="34" t="s">
        <v>332</v>
      </c>
      <c r="E228" s="36" t="s">
        <v>323</v>
      </c>
      <c r="F228" s="34" t="s">
        <v>236</v>
      </c>
      <c r="G228" s="34" t="s">
        <v>32</v>
      </c>
      <c r="H228" s="34" t="s">
        <v>50</v>
      </c>
      <c r="I228" s="37">
        <f t="shared" si="88"/>
        <v>150</v>
      </c>
      <c r="J228" s="37">
        <f t="shared" si="89"/>
        <v>150</v>
      </c>
      <c r="K228" s="37">
        <f t="shared" si="90"/>
        <v>150</v>
      </c>
      <c r="L228" s="37">
        <f t="shared" si="91"/>
        <v>150</v>
      </c>
      <c r="M228" s="37">
        <f t="shared" si="92"/>
        <v>150</v>
      </c>
      <c r="N228" s="37">
        <f t="shared" si="93"/>
        <v>150</v>
      </c>
      <c r="O228" s="37">
        <f t="shared" si="94"/>
        <v>150</v>
      </c>
      <c r="P228" s="37">
        <f t="shared" si="95"/>
        <v>150</v>
      </c>
      <c r="Q228" s="37">
        <f t="shared" si="96"/>
        <v>150</v>
      </c>
      <c r="R228" s="37">
        <f t="shared" si="97"/>
        <v>150</v>
      </c>
      <c r="S228" s="37">
        <f t="shared" si="98"/>
        <v>150</v>
      </c>
      <c r="T228" s="37">
        <f t="shared" si="99"/>
        <v>150</v>
      </c>
      <c r="U228" s="37">
        <f t="shared" si="101"/>
        <v>1800</v>
      </c>
      <c r="V228" s="6"/>
      <c r="W228" s="59">
        <v>150</v>
      </c>
      <c r="X228" s="39">
        <v>46356</v>
      </c>
      <c r="Y228" s="40" t="s">
        <v>129</v>
      </c>
      <c r="Z228" s="40" t="s">
        <v>55</v>
      </c>
      <c r="AA228" s="40" t="s">
        <v>56</v>
      </c>
      <c r="AB228" s="41">
        <v>0</v>
      </c>
      <c r="AD228" s="42" t="str">
        <f>C228&amp;A228</f>
        <v>ALUGUEIS DE EQUIPAMENTOSAdm</v>
      </c>
      <c r="AE228" s="42" t="str">
        <f>IFERROR(VLOOKUP(C228,[34]Planilha1!$B:$C,2,0),"Não se Aplica")</f>
        <v>Sim</v>
      </c>
      <c r="AF228" s="42" t="str">
        <f>VLOOKUP(AD228,[34]Planilha1!$H:$J,3,0)</f>
        <v>Sim</v>
      </c>
      <c r="AG228" s="43">
        <f t="shared" si="100"/>
        <v>1633.5</v>
      </c>
    </row>
    <row r="229" spans="1:33" x14ac:dyDescent="0.3">
      <c r="A229" s="1" t="s">
        <v>836</v>
      </c>
      <c r="B229" s="34" t="s">
        <v>28</v>
      </c>
      <c r="C229" s="35" t="s">
        <v>249</v>
      </c>
      <c r="D229" s="36" t="s">
        <v>333</v>
      </c>
      <c r="E229" s="36" t="s">
        <v>334</v>
      </c>
      <c r="F229" s="34" t="s">
        <v>335</v>
      </c>
      <c r="G229" s="34" t="s">
        <v>32</v>
      </c>
      <c r="H229" s="34" t="s">
        <v>50</v>
      </c>
      <c r="I229" s="37">
        <f t="shared" si="88"/>
        <v>178.84</v>
      </c>
      <c r="J229" s="37">
        <f t="shared" si="89"/>
        <v>178.84</v>
      </c>
      <c r="K229" s="37">
        <f t="shared" si="90"/>
        <v>178.84</v>
      </c>
      <c r="L229" s="37">
        <f t="shared" si="91"/>
        <v>178.84</v>
      </c>
      <c r="M229" s="37">
        <f t="shared" si="92"/>
        <v>178.84</v>
      </c>
      <c r="N229" s="37">
        <f t="shared" si="93"/>
        <v>178.84</v>
      </c>
      <c r="O229" s="37">
        <f t="shared" si="94"/>
        <v>178.84</v>
      </c>
      <c r="P229" s="37">
        <f t="shared" si="95"/>
        <v>178.84</v>
      </c>
      <c r="Q229" s="37">
        <f t="shared" si="96"/>
        <v>178.84</v>
      </c>
      <c r="R229" s="37">
        <f t="shared" si="97"/>
        <v>178.84</v>
      </c>
      <c r="S229" s="37">
        <f t="shared" si="98"/>
        <v>178.84</v>
      </c>
      <c r="T229" s="37">
        <f t="shared" si="99"/>
        <v>178.84</v>
      </c>
      <c r="U229" s="37">
        <f t="shared" si="101"/>
        <v>2146.0799999999995</v>
      </c>
      <c r="V229" s="6"/>
      <c r="W229" s="51">
        <v>178.84</v>
      </c>
      <c r="X229" s="39">
        <v>46304</v>
      </c>
      <c r="Y229" s="40" t="s">
        <v>54</v>
      </c>
      <c r="Z229" s="40"/>
      <c r="AA229" s="40" t="s">
        <v>56</v>
      </c>
      <c r="AB229" s="41">
        <v>0</v>
      </c>
      <c r="AD229" s="42" t="str">
        <f>C229&amp;A229</f>
        <v>TELEFONESOper</v>
      </c>
      <c r="AE229" s="42" t="str">
        <f>IFERROR(VLOOKUP(C229,[34]Planilha1!$B:$C,2,0),"Não se Aplica")</f>
        <v>Sim</v>
      </c>
      <c r="AF229" s="42" t="str">
        <f>VLOOKUP(AD229,[34]Planilha1!$H:$J,3,0)</f>
        <v>Não</v>
      </c>
      <c r="AG229" s="43">
        <f t="shared" si="100"/>
        <v>2146.0799999999995</v>
      </c>
    </row>
    <row r="230" spans="1:33" x14ac:dyDescent="0.3">
      <c r="A230" s="1" t="s">
        <v>836</v>
      </c>
      <c r="B230" s="34" t="s">
        <v>28</v>
      </c>
      <c r="C230" s="35" t="s">
        <v>249</v>
      </c>
      <c r="D230" s="36" t="s">
        <v>333</v>
      </c>
      <c r="E230" s="36" t="s">
        <v>334</v>
      </c>
      <c r="F230" s="34" t="s">
        <v>336</v>
      </c>
      <c r="G230" s="34" t="s">
        <v>32</v>
      </c>
      <c r="H230" s="34" t="s">
        <v>50</v>
      </c>
      <c r="I230" s="37">
        <f t="shared" si="88"/>
        <v>156.56</v>
      </c>
      <c r="J230" s="37">
        <f t="shared" si="89"/>
        <v>156.56</v>
      </c>
      <c r="K230" s="37">
        <f t="shared" si="90"/>
        <v>156.56</v>
      </c>
      <c r="L230" s="37">
        <f t="shared" si="91"/>
        <v>156.56</v>
      </c>
      <c r="M230" s="37">
        <f t="shared" si="92"/>
        <v>156.56</v>
      </c>
      <c r="N230" s="37">
        <f t="shared" si="93"/>
        <v>156.56</v>
      </c>
      <c r="O230" s="37">
        <f t="shared" si="94"/>
        <v>156.56</v>
      </c>
      <c r="P230" s="37">
        <f t="shared" si="95"/>
        <v>156.56</v>
      </c>
      <c r="Q230" s="37">
        <f t="shared" si="96"/>
        <v>156.56</v>
      </c>
      <c r="R230" s="37">
        <f t="shared" si="97"/>
        <v>156.56</v>
      </c>
      <c r="S230" s="37">
        <f t="shared" si="98"/>
        <v>156.56</v>
      </c>
      <c r="T230" s="37">
        <f t="shared" si="99"/>
        <v>156.56</v>
      </c>
      <c r="U230" s="37">
        <f t="shared" si="101"/>
        <v>1878.7199999999996</v>
      </c>
      <c r="V230" s="6"/>
      <c r="W230" s="51">
        <v>156.56</v>
      </c>
      <c r="X230" s="39">
        <v>46304</v>
      </c>
      <c r="Y230" s="40" t="s">
        <v>54</v>
      </c>
      <c r="Z230" s="40"/>
      <c r="AA230" s="40" t="s">
        <v>56</v>
      </c>
      <c r="AB230" s="41">
        <v>0</v>
      </c>
      <c r="AD230" s="42" t="str">
        <f>C230&amp;A230</f>
        <v>TELEFONESOper</v>
      </c>
      <c r="AE230" s="42" t="str">
        <f>IFERROR(VLOOKUP(C230,[34]Planilha1!$B:$C,2,0),"Não se Aplica")</f>
        <v>Sim</v>
      </c>
      <c r="AF230" s="42" t="str">
        <f>VLOOKUP(AD230,[34]Planilha1!$H:$J,3,0)</f>
        <v>Não</v>
      </c>
      <c r="AG230" s="43">
        <f t="shared" si="100"/>
        <v>1878.7199999999996</v>
      </c>
    </row>
    <row r="231" spans="1:33" x14ac:dyDescent="0.3">
      <c r="A231" s="1" t="s">
        <v>836</v>
      </c>
      <c r="B231" s="34" t="s">
        <v>28</v>
      </c>
      <c r="C231" s="35" t="s">
        <v>249</v>
      </c>
      <c r="D231" s="36" t="s">
        <v>333</v>
      </c>
      <c r="E231" s="36" t="s">
        <v>334</v>
      </c>
      <c r="F231" s="34" t="s">
        <v>252</v>
      </c>
      <c r="G231" s="34" t="s">
        <v>32</v>
      </c>
      <c r="H231" s="34" t="s">
        <v>50</v>
      </c>
      <c r="I231" s="37">
        <f t="shared" si="88"/>
        <v>67.900000000000006</v>
      </c>
      <c r="J231" s="37">
        <f t="shared" si="89"/>
        <v>67.900000000000006</v>
      </c>
      <c r="K231" s="37">
        <f t="shared" si="90"/>
        <v>67.900000000000006</v>
      </c>
      <c r="L231" s="37">
        <f t="shared" si="91"/>
        <v>67.900000000000006</v>
      </c>
      <c r="M231" s="37">
        <f t="shared" si="92"/>
        <v>67.900000000000006</v>
      </c>
      <c r="N231" s="37">
        <f t="shared" si="93"/>
        <v>67.900000000000006</v>
      </c>
      <c r="O231" s="37">
        <f t="shared" si="94"/>
        <v>67.900000000000006</v>
      </c>
      <c r="P231" s="37">
        <f t="shared" si="95"/>
        <v>67.900000000000006</v>
      </c>
      <c r="Q231" s="37">
        <f t="shared" si="96"/>
        <v>67.900000000000006</v>
      </c>
      <c r="R231" s="37">
        <f t="shared" si="97"/>
        <v>67.900000000000006</v>
      </c>
      <c r="S231" s="37">
        <f t="shared" si="98"/>
        <v>67.900000000000006</v>
      </c>
      <c r="T231" s="37">
        <f t="shared" si="99"/>
        <v>67.900000000000006</v>
      </c>
      <c r="U231" s="37">
        <f t="shared" si="101"/>
        <v>814.79999999999984</v>
      </c>
      <c r="V231" s="6"/>
      <c r="W231" s="51">
        <v>67.900000000000006</v>
      </c>
      <c r="X231" s="39">
        <v>46304</v>
      </c>
      <c r="Y231" s="40" t="s">
        <v>54</v>
      </c>
      <c r="Z231" s="40"/>
      <c r="AA231" s="40" t="s">
        <v>56</v>
      </c>
      <c r="AB231" s="41">
        <v>0</v>
      </c>
      <c r="AD231" s="42" t="str">
        <f>C231&amp;A231</f>
        <v>TELEFONESOper</v>
      </c>
      <c r="AE231" s="42" t="str">
        <f>IFERROR(VLOOKUP(C231,[34]Planilha1!$B:$C,2,0),"Não se Aplica")</f>
        <v>Sim</v>
      </c>
      <c r="AF231" s="42" t="str">
        <f>VLOOKUP(AD231,[34]Planilha1!$H:$J,3,0)</f>
        <v>Não</v>
      </c>
      <c r="AG231" s="43">
        <f t="shared" si="100"/>
        <v>814.79999999999984</v>
      </c>
    </row>
    <row r="232" spans="1:33" x14ac:dyDescent="0.3">
      <c r="A232" s="1" t="s">
        <v>836</v>
      </c>
      <c r="B232" s="34" t="s">
        <v>28</v>
      </c>
      <c r="C232" s="35" t="s">
        <v>249</v>
      </c>
      <c r="D232" s="36" t="s">
        <v>333</v>
      </c>
      <c r="E232" s="36" t="s">
        <v>334</v>
      </c>
      <c r="F232" s="34" t="s">
        <v>37</v>
      </c>
      <c r="G232" s="34" t="s">
        <v>32</v>
      </c>
      <c r="H232" s="34" t="s">
        <v>50</v>
      </c>
      <c r="I232" s="37">
        <f t="shared" si="88"/>
        <v>166.09</v>
      </c>
      <c r="J232" s="37">
        <f t="shared" si="89"/>
        <v>166.09</v>
      </c>
      <c r="K232" s="37">
        <f t="shared" si="90"/>
        <v>166.09</v>
      </c>
      <c r="L232" s="37">
        <f t="shared" si="91"/>
        <v>166.09</v>
      </c>
      <c r="M232" s="37">
        <f t="shared" si="92"/>
        <v>166.09</v>
      </c>
      <c r="N232" s="37">
        <f t="shared" si="93"/>
        <v>166.09</v>
      </c>
      <c r="O232" s="37">
        <f t="shared" si="94"/>
        <v>166.09</v>
      </c>
      <c r="P232" s="37">
        <f t="shared" si="95"/>
        <v>166.09</v>
      </c>
      <c r="Q232" s="37">
        <f t="shared" si="96"/>
        <v>166.09</v>
      </c>
      <c r="R232" s="37">
        <f t="shared" si="97"/>
        <v>166.09</v>
      </c>
      <c r="S232" s="37">
        <f t="shared" si="98"/>
        <v>166.09</v>
      </c>
      <c r="T232" s="37">
        <f t="shared" si="99"/>
        <v>166.09</v>
      </c>
      <c r="U232" s="37">
        <f t="shared" si="101"/>
        <v>1993.0799999999997</v>
      </c>
      <c r="V232" s="6"/>
      <c r="W232" s="51">
        <v>166.09</v>
      </c>
      <c r="X232" s="39">
        <v>46304</v>
      </c>
      <c r="Y232" s="40" t="s">
        <v>54</v>
      </c>
      <c r="Z232" s="40"/>
      <c r="AA232" s="40" t="s">
        <v>56</v>
      </c>
      <c r="AB232" s="41">
        <v>0</v>
      </c>
      <c r="AD232" s="42" t="str">
        <f>C232&amp;A232</f>
        <v>TELEFONESOper</v>
      </c>
      <c r="AE232" s="42" t="str">
        <f>IFERROR(VLOOKUP(C232,[34]Planilha1!$B:$C,2,0),"Não se Aplica")</f>
        <v>Sim</v>
      </c>
      <c r="AF232" s="42" t="str">
        <f>VLOOKUP(AD232,[34]Planilha1!$H:$J,3,0)</f>
        <v>Não</v>
      </c>
      <c r="AG232" s="43">
        <f t="shared" si="100"/>
        <v>1993.0799999999997</v>
      </c>
    </row>
    <row r="233" spans="1:33" x14ac:dyDescent="0.3">
      <c r="A233" s="1" t="s">
        <v>836</v>
      </c>
      <c r="B233" s="34" t="s">
        <v>28</v>
      </c>
      <c r="C233" s="35" t="s">
        <v>249</v>
      </c>
      <c r="D233" s="36" t="s">
        <v>333</v>
      </c>
      <c r="E233" s="36" t="s">
        <v>334</v>
      </c>
      <c r="F233" s="34" t="s">
        <v>25</v>
      </c>
      <c r="G233" s="34" t="s">
        <v>32</v>
      </c>
      <c r="H233" s="34" t="s">
        <v>50</v>
      </c>
      <c r="I233" s="37">
        <f t="shared" si="88"/>
        <v>33.99</v>
      </c>
      <c r="J233" s="37">
        <f t="shared" si="89"/>
        <v>33.99</v>
      </c>
      <c r="K233" s="37">
        <f t="shared" si="90"/>
        <v>33.99</v>
      </c>
      <c r="L233" s="37">
        <f t="shared" si="91"/>
        <v>33.99</v>
      </c>
      <c r="M233" s="37">
        <f t="shared" si="92"/>
        <v>33.99</v>
      </c>
      <c r="N233" s="37">
        <f t="shared" si="93"/>
        <v>33.99</v>
      </c>
      <c r="O233" s="37">
        <f t="shared" si="94"/>
        <v>33.99</v>
      </c>
      <c r="P233" s="37">
        <f t="shared" si="95"/>
        <v>33.99</v>
      </c>
      <c r="Q233" s="37">
        <f t="shared" si="96"/>
        <v>33.99</v>
      </c>
      <c r="R233" s="37">
        <f t="shared" si="97"/>
        <v>33.99</v>
      </c>
      <c r="S233" s="37">
        <f t="shared" si="98"/>
        <v>33.99</v>
      </c>
      <c r="T233" s="37">
        <f t="shared" si="99"/>
        <v>33.99</v>
      </c>
      <c r="U233" s="37">
        <f t="shared" si="101"/>
        <v>407.88000000000005</v>
      </c>
      <c r="V233" s="6"/>
      <c r="W233" s="51">
        <v>33.99</v>
      </c>
      <c r="X233" s="39">
        <v>46304</v>
      </c>
      <c r="Y233" s="40" t="s">
        <v>54</v>
      </c>
      <c r="Z233" s="40"/>
      <c r="AA233" s="40" t="s">
        <v>56</v>
      </c>
      <c r="AB233" s="41">
        <v>0</v>
      </c>
      <c r="AD233" s="42" t="str">
        <f>C233&amp;A233</f>
        <v>TELEFONESOper</v>
      </c>
      <c r="AE233" s="42" t="str">
        <f>IFERROR(VLOOKUP(C233,[34]Planilha1!$B:$C,2,0),"Não se Aplica")</f>
        <v>Sim</v>
      </c>
      <c r="AF233" s="42" t="str">
        <f>VLOOKUP(AD233,[34]Planilha1!$H:$J,3,0)</f>
        <v>Não</v>
      </c>
      <c r="AG233" s="43">
        <f t="shared" si="100"/>
        <v>407.88000000000005</v>
      </c>
    </row>
    <row r="234" spans="1:33" x14ac:dyDescent="0.3">
      <c r="A234" s="1" t="s">
        <v>837</v>
      </c>
      <c r="B234" s="34" t="s">
        <v>28</v>
      </c>
      <c r="C234" s="35" t="s">
        <v>249</v>
      </c>
      <c r="D234" s="36" t="s">
        <v>333</v>
      </c>
      <c r="E234" s="36" t="s">
        <v>334</v>
      </c>
      <c r="F234" s="34" t="s">
        <v>26</v>
      </c>
      <c r="G234" s="34" t="s">
        <v>32</v>
      </c>
      <c r="H234" s="34" t="s">
        <v>50</v>
      </c>
      <c r="I234" s="37">
        <f t="shared" si="88"/>
        <v>38.99</v>
      </c>
      <c r="J234" s="37">
        <f t="shared" si="89"/>
        <v>38.99</v>
      </c>
      <c r="K234" s="37">
        <f t="shared" si="90"/>
        <v>38.99</v>
      </c>
      <c r="L234" s="37">
        <f t="shared" si="91"/>
        <v>38.99</v>
      </c>
      <c r="M234" s="37">
        <f t="shared" si="92"/>
        <v>38.99</v>
      </c>
      <c r="N234" s="37">
        <f t="shared" si="93"/>
        <v>38.99</v>
      </c>
      <c r="O234" s="37">
        <f t="shared" si="94"/>
        <v>38.99</v>
      </c>
      <c r="P234" s="37">
        <f t="shared" si="95"/>
        <v>38.99</v>
      </c>
      <c r="Q234" s="37">
        <f t="shared" si="96"/>
        <v>38.99</v>
      </c>
      <c r="R234" s="37">
        <f t="shared" si="97"/>
        <v>38.99</v>
      </c>
      <c r="S234" s="37">
        <f t="shared" si="98"/>
        <v>38.99</v>
      </c>
      <c r="T234" s="37">
        <f t="shared" si="99"/>
        <v>38.99</v>
      </c>
      <c r="U234" s="37">
        <f t="shared" si="101"/>
        <v>467.88000000000005</v>
      </c>
      <c r="V234" s="6"/>
      <c r="W234" s="51">
        <v>38.99</v>
      </c>
      <c r="X234" s="39">
        <v>46304</v>
      </c>
      <c r="Y234" s="40" t="s">
        <v>54</v>
      </c>
      <c r="Z234" s="40"/>
      <c r="AA234" s="40" t="s">
        <v>56</v>
      </c>
      <c r="AB234" s="41">
        <v>0</v>
      </c>
      <c r="AD234" s="42" t="str">
        <f>C234&amp;A234</f>
        <v>TELEFONESAdm</v>
      </c>
      <c r="AE234" s="42" t="str">
        <f>IFERROR(VLOOKUP(C234,[34]Planilha1!$B:$C,2,0),"Não se Aplica")</f>
        <v>Sim</v>
      </c>
      <c r="AF234" s="42" t="str">
        <f>VLOOKUP(AD234,[34]Planilha1!$H:$J,3,0)</f>
        <v>Não</v>
      </c>
      <c r="AG234" s="43">
        <f t="shared" si="100"/>
        <v>467.88000000000005</v>
      </c>
    </row>
    <row r="235" spans="1:33" x14ac:dyDescent="0.3">
      <c r="A235" s="1" t="s">
        <v>836</v>
      </c>
      <c r="B235" s="34" t="s">
        <v>28</v>
      </c>
      <c r="C235" s="35" t="s">
        <v>249</v>
      </c>
      <c r="D235" s="36" t="s">
        <v>333</v>
      </c>
      <c r="E235" s="36" t="s">
        <v>334</v>
      </c>
      <c r="F235" s="34" t="s">
        <v>41</v>
      </c>
      <c r="G235" s="34" t="s">
        <v>32</v>
      </c>
      <c r="H235" s="34" t="s">
        <v>50</v>
      </c>
      <c r="I235" s="37">
        <f t="shared" si="88"/>
        <v>80.08</v>
      </c>
      <c r="J235" s="37">
        <f t="shared" si="89"/>
        <v>80.08</v>
      </c>
      <c r="K235" s="37">
        <f t="shared" si="90"/>
        <v>80.08</v>
      </c>
      <c r="L235" s="37">
        <f t="shared" si="91"/>
        <v>80.08</v>
      </c>
      <c r="M235" s="37">
        <f t="shared" si="92"/>
        <v>80.08</v>
      </c>
      <c r="N235" s="37">
        <f t="shared" si="93"/>
        <v>80.08</v>
      </c>
      <c r="O235" s="37">
        <f t="shared" si="94"/>
        <v>80.08</v>
      </c>
      <c r="P235" s="37">
        <f t="shared" si="95"/>
        <v>80.08</v>
      </c>
      <c r="Q235" s="37">
        <f t="shared" si="96"/>
        <v>80.08</v>
      </c>
      <c r="R235" s="37">
        <f t="shared" si="97"/>
        <v>80.08</v>
      </c>
      <c r="S235" s="37">
        <f t="shared" si="98"/>
        <v>80.08</v>
      </c>
      <c r="T235" s="37">
        <f t="shared" si="99"/>
        <v>80.08</v>
      </c>
      <c r="U235" s="37">
        <f t="shared" si="101"/>
        <v>960.96000000000015</v>
      </c>
      <c r="V235" s="6"/>
      <c r="W235" s="51">
        <v>80.08</v>
      </c>
      <c r="X235" s="39">
        <v>46304</v>
      </c>
      <c r="Y235" s="40" t="s">
        <v>54</v>
      </c>
      <c r="Z235" s="40"/>
      <c r="AA235" s="40" t="s">
        <v>56</v>
      </c>
      <c r="AB235" s="41">
        <v>0</v>
      </c>
      <c r="AD235" s="42" t="str">
        <f>C235&amp;A235</f>
        <v>TELEFONESOper</v>
      </c>
      <c r="AE235" s="42" t="str">
        <f>IFERROR(VLOOKUP(C235,[34]Planilha1!$B:$C,2,0),"Não se Aplica")</f>
        <v>Sim</v>
      </c>
      <c r="AF235" s="42" t="str">
        <f>VLOOKUP(AD235,[34]Planilha1!$H:$J,3,0)</f>
        <v>Não</v>
      </c>
      <c r="AG235" s="43">
        <f t="shared" si="100"/>
        <v>960.96000000000015</v>
      </c>
    </row>
    <row r="236" spans="1:33" x14ac:dyDescent="0.3">
      <c r="A236" s="1" t="s">
        <v>836</v>
      </c>
      <c r="B236" s="34" t="s">
        <v>28</v>
      </c>
      <c r="C236" s="35" t="s">
        <v>249</v>
      </c>
      <c r="D236" s="36" t="s">
        <v>333</v>
      </c>
      <c r="E236" s="36" t="s">
        <v>334</v>
      </c>
      <c r="F236" s="34" t="s">
        <v>60</v>
      </c>
      <c r="G236" s="34" t="s">
        <v>32</v>
      </c>
      <c r="H236" s="34" t="s">
        <v>50</v>
      </c>
      <c r="I236" s="37">
        <f t="shared" si="88"/>
        <v>33.99</v>
      </c>
      <c r="J236" s="37">
        <f t="shared" si="89"/>
        <v>33.99</v>
      </c>
      <c r="K236" s="37">
        <f t="shared" si="90"/>
        <v>33.99</v>
      </c>
      <c r="L236" s="37">
        <f t="shared" si="91"/>
        <v>33.99</v>
      </c>
      <c r="M236" s="37">
        <f t="shared" si="92"/>
        <v>33.99</v>
      </c>
      <c r="N236" s="37">
        <f t="shared" si="93"/>
        <v>33.99</v>
      </c>
      <c r="O236" s="37">
        <f t="shared" si="94"/>
        <v>33.99</v>
      </c>
      <c r="P236" s="37">
        <f t="shared" si="95"/>
        <v>33.99</v>
      </c>
      <c r="Q236" s="37">
        <f t="shared" si="96"/>
        <v>33.99</v>
      </c>
      <c r="R236" s="37">
        <f t="shared" si="97"/>
        <v>33.99</v>
      </c>
      <c r="S236" s="37">
        <f t="shared" si="98"/>
        <v>33.99</v>
      </c>
      <c r="T236" s="37">
        <f t="shared" si="99"/>
        <v>33.99</v>
      </c>
      <c r="U236" s="37">
        <f t="shared" si="101"/>
        <v>407.88000000000005</v>
      </c>
      <c r="V236" s="6"/>
      <c r="W236" s="51">
        <v>33.99</v>
      </c>
      <c r="X236" s="39">
        <v>46304</v>
      </c>
      <c r="Y236" s="40" t="s">
        <v>54</v>
      </c>
      <c r="Z236" s="40"/>
      <c r="AA236" s="40" t="s">
        <v>56</v>
      </c>
      <c r="AB236" s="41">
        <v>0</v>
      </c>
      <c r="AD236" s="42" t="str">
        <f>C236&amp;A236</f>
        <v>TELEFONESOper</v>
      </c>
      <c r="AE236" s="42" t="str">
        <f>IFERROR(VLOOKUP(C236,[34]Planilha1!$B:$C,2,0),"Não se Aplica")</f>
        <v>Sim</v>
      </c>
      <c r="AF236" s="42" t="str">
        <f>VLOOKUP(AD236,[34]Planilha1!$H:$J,3,0)</f>
        <v>Não</v>
      </c>
      <c r="AG236" s="43">
        <f t="shared" si="100"/>
        <v>407.88000000000005</v>
      </c>
    </row>
    <row r="237" spans="1:33" x14ac:dyDescent="0.3">
      <c r="A237" s="1" t="s">
        <v>836</v>
      </c>
      <c r="B237" s="34" t="s">
        <v>28</v>
      </c>
      <c r="C237" s="35" t="s">
        <v>249</v>
      </c>
      <c r="D237" s="36" t="s">
        <v>333</v>
      </c>
      <c r="E237" s="36" t="s">
        <v>334</v>
      </c>
      <c r="F237" s="34" t="s">
        <v>36</v>
      </c>
      <c r="G237" s="34" t="s">
        <v>32</v>
      </c>
      <c r="H237" s="34" t="s">
        <v>50</v>
      </c>
      <c r="I237" s="37">
        <f t="shared" si="88"/>
        <v>209.25</v>
      </c>
      <c r="J237" s="37">
        <f t="shared" si="89"/>
        <v>209.25</v>
      </c>
      <c r="K237" s="37">
        <f t="shared" si="90"/>
        <v>209.25</v>
      </c>
      <c r="L237" s="37">
        <f t="shared" si="91"/>
        <v>209.25</v>
      </c>
      <c r="M237" s="37">
        <f t="shared" si="92"/>
        <v>209.25</v>
      </c>
      <c r="N237" s="37">
        <f t="shared" si="93"/>
        <v>209.25</v>
      </c>
      <c r="O237" s="37">
        <f t="shared" si="94"/>
        <v>209.25</v>
      </c>
      <c r="P237" s="37">
        <f t="shared" si="95"/>
        <v>209.25</v>
      </c>
      <c r="Q237" s="37">
        <f t="shared" si="96"/>
        <v>209.25</v>
      </c>
      <c r="R237" s="37">
        <f t="shared" si="97"/>
        <v>209.25</v>
      </c>
      <c r="S237" s="37">
        <f t="shared" si="98"/>
        <v>209.25</v>
      </c>
      <c r="T237" s="37">
        <f t="shared" si="99"/>
        <v>209.25</v>
      </c>
      <c r="U237" s="37">
        <f t="shared" si="101"/>
        <v>2511</v>
      </c>
      <c r="V237" s="6"/>
      <c r="W237" s="51">
        <v>209.25</v>
      </c>
      <c r="X237" s="39">
        <v>46304</v>
      </c>
      <c r="Y237" s="40" t="s">
        <v>54</v>
      </c>
      <c r="Z237" s="40"/>
      <c r="AA237" s="40" t="s">
        <v>56</v>
      </c>
      <c r="AB237" s="41">
        <v>0</v>
      </c>
      <c r="AD237" s="42" t="str">
        <f>C237&amp;A237</f>
        <v>TELEFONESOper</v>
      </c>
      <c r="AE237" s="42" t="str">
        <f>IFERROR(VLOOKUP(C237,[34]Planilha1!$B:$C,2,0),"Não se Aplica")</f>
        <v>Sim</v>
      </c>
      <c r="AF237" s="42" t="str">
        <f>VLOOKUP(AD237,[34]Planilha1!$H:$J,3,0)</f>
        <v>Não</v>
      </c>
      <c r="AG237" s="43">
        <f t="shared" si="100"/>
        <v>2511</v>
      </c>
    </row>
    <row r="238" spans="1:33" x14ac:dyDescent="0.3">
      <c r="A238" s="1" t="s">
        <v>837</v>
      </c>
      <c r="B238" s="34" t="s">
        <v>28</v>
      </c>
      <c r="C238" s="35" t="s">
        <v>249</v>
      </c>
      <c r="D238" s="36" t="s">
        <v>333</v>
      </c>
      <c r="E238" s="36" t="s">
        <v>334</v>
      </c>
      <c r="F238" s="34" t="s">
        <v>34</v>
      </c>
      <c r="G238" s="34" t="s">
        <v>32</v>
      </c>
      <c r="H238" s="34" t="s">
        <v>50</v>
      </c>
      <c r="I238" s="37">
        <f t="shared" si="88"/>
        <v>116.95</v>
      </c>
      <c r="J238" s="37">
        <f t="shared" si="89"/>
        <v>116.95</v>
      </c>
      <c r="K238" s="37">
        <f t="shared" si="90"/>
        <v>116.95</v>
      </c>
      <c r="L238" s="37">
        <f t="shared" si="91"/>
        <v>116.95</v>
      </c>
      <c r="M238" s="37">
        <f t="shared" si="92"/>
        <v>116.95</v>
      </c>
      <c r="N238" s="37">
        <f t="shared" si="93"/>
        <v>116.95</v>
      </c>
      <c r="O238" s="37">
        <f t="shared" si="94"/>
        <v>116.95</v>
      </c>
      <c r="P238" s="37">
        <f t="shared" si="95"/>
        <v>116.95</v>
      </c>
      <c r="Q238" s="37">
        <f t="shared" si="96"/>
        <v>116.95</v>
      </c>
      <c r="R238" s="37">
        <f t="shared" si="97"/>
        <v>116.95</v>
      </c>
      <c r="S238" s="37">
        <f t="shared" si="98"/>
        <v>116.95</v>
      </c>
      <c r="T238" s="37">
        <f t="shared" si="99"/>
        <v>116.95</v>
      </c>
      <c r="U238" s="37">
        <f t="shared" si="101"/>
        <v>1403.4000000000003</v>
      </c>
      <c r="V238" s="6"/>
      <c r="W238" s="51">
        <v>116.95</v>
      </c>
      <c r="X238" s="39">
        <v>46304</v>
      </c>
      <c r="Y238" s="40" t="s">
        <v>54</v>
      </c>
      <c r="Z238" s="40"/>
      <c r="AA238" s="40" t="s">
        <v>56</v>
      </c>
      <c r="AB238" s="41">
        <v>0</v>
      </c>
      <c r="AD238" s="42" t="str">
        <f>C238&amp;A238</f>
        <v>TELEFONESAdm</v>
      </c>
      <c r="AE238" s="42" t="str">
        <f>IFERROR(VLOOKUP(C238,[34]Planilha1!$B:$C,2,0),"Não se Aplica")</f>
        <v>Sim</v>
      </c>
      <c r="AF238" s="42" t="str">
        <f>VLOOKUP(AD238,[34]Planilha1!$H:$J,3,0)</f>
        <v>Não</v>
      </c>
      <c r="AG238" s="43">
        <f t="shared" si="100"/>
        <v>1403.4000000000003</v>
      </c>
    </row>
    <row r="239" spans="1:33" x14ac:dyDescent="0.3">
      <c r="A239" s="1" t="s">
        <v>838</v>
      </c>
      <c r="B239" s="34" t="s">
        <v>28</v>
      </c>
      <c r="C239" s="35" t="s">
        <v>249</v>
      </c>
      <c r="D239" s="36" t="s">
        <v>333</v>
      </c>
      <c r="E239" s="36" t="s">
        <v>334</v>
      </c>
      <c r="F239" s="34" t="s">
        <v>77</v>
      </c>
      <c r="G239" s="34" t="s">
        <v>32</v>
      </c>
      <c r="H239" s="34" t="s">
        <v>50</v>
      </c>
      <c r="I239" s="37">
        <f t="shared" si="88"/>
        <v>110.97</v>
      </c>
      <c r="J239" s="37">
        <f t="shared" si="89"/>
        <v>110.97</v>
      </c>
      <c r="K239" s="37">
        <f t="shared" si="90"/>
        <v>110.97</v>
      </c>
      <c r="L239" s="37">
        <f t="shared" si="91"/>
        <v>110.97</v>
      </c>
      <c r="M239" s="37">
        <f t="shared" si="92"/>
        <v>110.97</v>
      </c>
      <c r="N239" s="37">
        <f t="shared" si="93"/>
        <v>110.97</v>
      </c>
      <c r="O239" s="37">
        <f t="shared" si="94"/>
        <v>110.97</v>
      </c>
      <c r="P239" s="37">
        <f t="shared" si="95"/>
        <v>110.97</v>
      </c>
      <c r="Q239" s="37">
        <f t="shared" si="96"/>
        <v>110.97</v>
      </c>
      <c r="R239" s="37">
        <f t="shared" si="97"/>
        <v>110.97</v>
      </c>
      <c r="S239" s="37">
        <f t="shared" si="98"/>
        <v>110.97</v>
      </c>
      <c r="T239" s="37">
        <f t="shared" si="99"/>
        <v>110.97</v>
      </c>
      <c r="U239" s="37">
        <f t="shared" si="101"/>
        <v>1331.64</v>
      </c>
      <c r="V239" s="6"/>
      <c r="W239" s="51">
        <v>110.97</v>
      </c>
      <c r="X239" s="39">
        <v>46304</v>
      </c>
      <c r="Y239" s="40" t="s">
        <v>54</v>
      </c>
      <c r="Z239" s="40"/>
      <c r="AA239" s="40" t="s">
        <v>56</v>
      </c>
      <c r="AB239" s="41">
        <v>0</v>
      </c>
      <c r="AD239" s="42" t="str">
        <f>C239&amp;A239</f>
        <v>TELEFONESCom</v>
      </c>
      <c r="AE239" s="42" t="str">
        <f>IFERROR(VLOOKUP(C239,[34]Planilha1!$B:$C,2,0),"Não se Aplica")</f>
        <v>Sim</v>
      </c>
      <c r="AF239" s="42" t="str">
        <f>VLOOKUP(AD239,[34]Planilha1!$H:$J,3,0)</f>
        <v>Não</v>
      </c>
      <c r="AG239" s="43">
        <f t="shared" si="100"/>
        <v>1331.64</v>
      </c>
    </row>
    <row r="240" spans="1:33" x14ac:dyDescent="0.3">
      <c r="A240" s="1" t="s">
        <v>837</v>
      </c>
      <c r="B240" s="34" t="s">
        <v>28</v>
      </c>
      <c r="C240" s="35" t="s">
        <v>249</v>
      </c>
      <c r="D240" s="36" t="s">
        <v>333</v>
      </c>
      <c r="E240" s="36" t="s">
        <v>334</v>
      </c>
      <c r="F240" s="34" t="s">
        <v>21</v>
      </c>
      <c r="G240" s="34" t="s">
        <v>32</v>
      </c>
      <c r="H240" s="34" t="s">
        <v>50</v>
      </c>
      <c r="I240" s="37">
        <f t="shared" si="88"/>
        <v>145.66999999999999</v>
      </c>
      <c r="J240" s="37">
        <f t="shared" si="89"/>
        <v>145.66999999999999</v>
      </c>
      <c r="K240" s="37">
        <f t="shared" si="90"/>
        <v>145.66999999999999</v>
      </c>
      <c r="L240" s="37">
        <f t="shared" si="91"/>
        <v>145.66999999999999</v>
      </c>
      <c r="M240" s="37">
        <f t="shared" si="92"/>
        <v>145.66999999999999</v>
      </c>
      <c r="N240" s="37">
        <f t="shared" si="93"/>
        <v>145.66999999999999</v>
      </c>
      <c r="O240" s="37">
        <f t="shared" si="94"/>
        <v>145.66999999999999</v>
      </c>
      <c r="P240" s="37">
        <f t="shared" si="95"/>
        <v>145.66999999999999</v>
      </c>
      <c r="Q240" s="37">
        <f t="shared" si="96"/>
        <v>145.66999999999999</v>
      </c>
      <c r="R240" s="37">
        <f t="shared" si="97"/>
        <v>145.66999999999999</v>
      </c>
      <c r="S240" s="37">
        <f t="shared" si="98"/>
        <v>145.66999999999999</v>
      </c>
      <c r="T240" s="37">
        <f t="shared" si="99"/>
        <v>145.66999999999999</v>
      </c>
      <c r="U240" s="37">
        <f t="shared" si="101"/>
        <v>1748.0400000000002</v>
      </c>
      <c r="V240" s="6"/>
      <c r="W240" s="51">
        <v>145.66999999999999</v>
      </c>
      <c r="X240" s="39">
        <v>46304</v>
      </c>
      <c r="Y240" s="40" t="s">
        <v>54</v>
      </c>
      <c r="Z240" s="40"/>
      <c r="AA240" s="40" t="s">
        <v>56</v>
      </c>
      <c r="AB240" s="41">
        <v>0</v>
      </c>
      <c r="AD240" s="42" t="str">
        <f>C240&amp;A240</f>
        <v>TELEFONESAdm</v>
      </c>
      <c r="AE240" s="42" t="str">
        <f>IFERROR(VLOOKUP(C240,[34]Planilha1!$B:$C,2,0),"Não se Aplica")</f>
        <v>Sim</v>
      </c>
      <c r="AF240" s="42" t="str">
        <f>VLOOKUP(AD240,[34]Planilha1!$H:$J,3,0)</f>
        <v>Não</v>
      </c>
      <c r="AG240" s="43">
        <f t="shared" si="100"/>
        <v>1748.0400000000002</v>
      </c>
    </row>
    <row r="241" spans="1:33" x14ac:dyDescent="0.3">
      <c r="A241" s="1" t="s">
        <v>837</v>
      </c>
      <c r="B241" s="34" t="s">
        <v>28</v>
      </c>
      <c r="C241" s="35" t="s">
        <v>249</v>
      </c>
      <c r="D241" s="36" t="s">
        <v>333</v>
      </c>
      <c r="E241" s="36" t="s">
        <v>334</v>
      </c>
      <c r="F241" s="34" t="s">
        <v>49</v>
      </c>
      <c r="G241" s="34" t="s">
        <v>32</v>
      </c>
      <c r="H241" s="34" t="s">
        <v>50</v>
      </c>
      <c r="I241" s="37">
        <f t="shared" si="88"/>
        <v>248.99</v>
      </c>
      <c r="J241" s="37">
        <f t="shared" si="89"/>
        <v>248.99</v>
      </c>
      <c r="K241" s="37">
        <f t="shared" si="90"/>
        <v>248.99</v>
      </c>
      <c r="L241" s="37">
        <f t="shared" si="91"/>
        <v>248.99</v>
      </c>
      <c r="M241" s="37">
        <f t="shared" si="92"/>
        <v>248.99</v>
      </c>
      <c r="N241" s="37">
        <f t="shared" si="93"/>
        <v>248.99</v>
      </c>
      <c r="O241" s="37">
        <f t="shared" si="94"/>
        <v>248.99</v>
      </c>
      <c r="P241" s="37">
        <f t="shared" si="95"/>
        <v>248.99</v>
      </c>
      <c r="Q241" s="37">
        <f t="shared" si="96"/>
        <v>248.99</v>
      </c>
      <c r="R241" s="37">
        <f t="shared" si="97"/>
        <v>248.99</v>
      </c>
      <c r="S241" s="37">
        <f t="shared" si="98"/>
        <v>248.99</v>
      </c>
      <c r="T241" s="37">
        <f t="shared" si="99"/>
        <v>248.99</v>
      </c>
      <c r="U241" s="37">
        <f t="shared" si="101"/>
        <v>2987.8799999999992</v>
      </c>
      <c r="V241" s="6"/>
      <c r="W241" s="51">
        <v>248.99</v>
      </c>
      <c r="X241" s="39">
        <v>46304</v>
      </c>
      <c r="Y241" s="40" t="s">
        <v>54</v>
      </c>
      <c r="Z241" s="40"/>
      <c r="AA241" s="40" t="s">
        <v>56</v>
      </c>
      <c r="AB241" s="41">
        <v>0</v>
      </c>
      <c r="AD241" s="42" t="str">
        <f>C241&amp;A241</f>
        <v>TELEFONESAdm</v>
      </c>
      <c r="AE241" s="42" t="str">
        <f>IFERROR(VLOOKUP(C241,[34]Planilha1!$B:$C,2,0),"Não se Aplica")</f>
        <v>Sim</v>
      </c>
      <c r="AF241" s="42" t="str">
        <f>VLOOKUP(AD241,[34]Planilha1!$H:$J,3,0)</f>
        <v>Não</v>
      </c>
      <c r="AG241" s="43">
        <f t="shared" si="100"/>
        <v>2987.8799999999992</v>
      </c>
    </row>
    <row r="242" spans="1:33" x14ac:dyDescent="0.3">
      <c r="A242" s="1" t="s">
        <v>836</v>
      </c>
      <c r="B242" s="34" t="s">
        <v>28</v>
      </c>
      <c r="C242" s="35" t="s">
        <v>249</v>
      </c>
      <c r="D242" s="36" t="s">
        <v>337</v>
      </c>
      <c r="E242" s="36" t="s">
        <v>334</v>
      </c>
      <c r="F242" s="34" t="s">
        <v>335</v>
      </c>
      <c r="G242" s="34" t="s">
        <v>32</v>
      </c>
      <c r="H242" s="34" t="s">
        <v>50</v>
      </c>
      <c r="I242" s="37">
        <f t="shared" si="88"/>
        <v>175.85</v>
      </c>
      <c r="J242" s="37">
        <f t="shared" si="89"/>
        <v>175.85</v>
      </c>
      <c r="K242" s="37">
        <f t="shared" si="90"/>
        <v>175.85</v>
      </c>
      <c r="L242" s="37">
        <f t="shared" si="91"/>
        <v>175.85</v>
      </c>
      <c r="M242" s="37">
        <f t="shared" si="92"/>
        <v>175.85</v>
      </c>
      <c r="N242" s="37">
        <f t="shared" si="93"/>
        <v>175.85</v>
      </c>
      <c r="O242" s="37">
        <f t="shared" si="94"/>
        <v>175.85</v>
      </c>
      <c r="P242" s="37">
        <f t="shared" si="95"/>
        <v>175.85</v>
      </c>
      <c r="Q242" s="37">
        <f t="shared" si="96"/>
        <v>175.85</v>
      </c>
      <c r="R242" s="37">
        <f t="shared" si="97"/>
        <v>175.85</v>
      </c>
      <c r="S242" s="37">
        <f t="shared" si="98"/>
        <v>175.85</v>
      </c>
      <c r="T242" s="37">
        <f t="shared" si="99"/>
        <v>175.85</v>
      </c>
      <c r="U242" s="37">
        <f t="shared" si="101"/>
        <v>2110.1999999999994</v>
      </c>
      <c r="V242" s="6"/>
      <c r="W242" s="51">
        <v>175.85</v>
      </c>
      <c r="X242" s="39">
        <v>46304</v>
      </c>
      <c r="Y242" s="40" t="s">
        <v>54</v>
      </c>
      <c r="Z242" s="40"/>
      <c r="AA242" s="40" t="s">
        <v>56</v>
      </c>
      <c r="AB242" s="41">
        <v>0</v>
      </c>
      <c r="AD242" s="42" t="str">
        <f>C242&amp;A242</f>
        <v>TELEFONESOper</v>
      </c>
      <c r="AE242" s="42" t="str">
        <f>IFERROR(VLOOKUP(C242,[34]Planilha1!$B:$C,2,0),"Não se Aplica")</f>
        <v>Sim</v>
      </c>
      <c r="AF242" s="42" t="str">
        <f>VLOOKUP(AD242,[34]Planilha1!$H:$J,3,0)</f>
        <v>Não</v>
      </c>
      <c r="AG242" s="43">
        <f t="shared" si="100"/>
        <v>2110.1999999999994</v>
      </c>
    </row>
    <row r="243" spans="1:33" x14ac:dyDescent="0.3">
      <c r="A243" s="1" t="s">
        <v>836</v>
      </c>
      <c r="B243" s="34" t="s">
        <v>28</v>
      </c>
      <c r="C243" s="35" t="s">
        <v>249</v>
      </c>
      <c r="D243" s="36" t="s">
        <v>337</v>
      </c>
      <c r="E243" s="36" t="s">
        <v>334</v>
      </c>
      <c r="F243" s="34" t="s">
        <v>336</v>
      </c>
      <c r="G243" s="34" t="s">
        <v>32</v>
      </c>
      <c r="H243" s="34" t="s">
        <v>50</v>
      </c>
      <c r="I243" s="37">
        <f t="shared" si="88"/>
        <v>2108.0500000000002</v>
      </c>
      <c r="J243" s="37">
        <f t="shared" si="89"/>
        <v>2108.0500000000002</v>
      </c>
      <c r="K243" s="37">
        <f t="shared" si="90"/>
        <v>2108.0500000000002</v>
      </c>
      <c r="L243" s="37">
        <f t="shared" si="91"/>
        <v>2108.0500000000002</v>
      </c>
      <c r="M243" s="37">
        <f t="shared" si="92"/>
        <v>2108.0500000000002</v>
      </c>
      <c r="N243" s="37">
        <f t="shared" si="93"/>
        <v>2108.0500000000002</v>
      </c>
      <c r="O243" s="37">
        <f t="shared" si="94"/>
        <v>2108.0500000000002</v>
      </c>
      <c r="P243" s="37">
        <f t="shared" si="95"/>
        <v>2108.0500000000002</v>
      </c>
      <c r="Q243" s="37">
        <f t="shared" si="96"/>
        <v>2108.0500000000002</v>
      </c>
      <c r="R243" s="37">
        <f t="shared" si="97"/>
        <v>2108.0500000000002</v>
      </c>
      <c r="S243" s="37">
        <f t="shared" si="98"/>
        <v>2108.0500000000002</v>
      </c>
      <c r="T243" s="37">
        <f t="shared" si="99"/>
        <v>2108.0500000000002</v>
      </c>
      <c r="U243" s="37">
        <f t="shared" si="101"/>
        <v>25296.599999999995</v>
      </c>
      <c r="V243" s="6"/>
      <c r="W243" s="51">
        <v>2108.0500000000002</v>
      </c>
      <c r="X243" s="39">
        <v>46304</v>
      </c>
      <c r="Y243" s="40" t="s">
        <v>54</v>
      </c>
      <c r="Z243" s="40"/>
      <c r="AA243" s="40" t="s">
        <v>56</v>
      </c>
      <c r="AB243" s="41">
        <v>0</v>
      </c>
      <c r="AD243" s="42" t="str">
        <f>C243&amp;A243</f>
        <v>TELEFONESOper</v>
      </c>
      <c r="AE243" s="42" t="str">
        <f>IFERROR(VLOOKUP(C243,[34]Planilha1!$B:$C,2,0),"Não se Aplica")</f>
        <v>Sim</v>
      </c>
      <c r="AF243" s="42" t="str">
        <f>VLOOKUP(AD243,[34]Planilha1!$H:$J,3,0)</f>
        <v>Não</v>
      </c>
      <c r="AG243" s="43">
        <f t="shared" si="100"/>
        <v>25296.599999999995</v>
      </c>
    </row>
    <row r="244" spans="1:33" x14ac:dyDescent="0.3">
      <c r="A244" s="1" t="s">
        <v>836</v>
      </c>
      <c r="B244" s="34" t="s">
        <v>28</v>
      </c>
      <c r="C244" s="35" t="s">
        <v>249</v>
      </c>
      <c r="D244" s="36" t="s">
        <v>337</v>
      </c>
      <c r="E244" s="36" t="s">
        <v>334</v>
      </c>
      <c r="F244" s="34" t="s">
        <v>37</v>
      </c>
      <c r="G244" s="34" t="s">
        <v>32</v>
      </c>
      <c r="H244" s="34" t="s">
        <v>50</v>
      </c>
      <c r="I244" s="37">
        <f t="shared" si="88"/>
        <v>403.31</v>
      </c>
      <c r="J244" s="37">
        <f t="shared" si="89"/>
        <v>403.31</v>
      </c>
      <c r="K244" s="37">
        <f t="shared" si="90"/>
        <v>403.31</v>
      </c>
      <c r="L244" s="37">
        <f t="shared" si="91"/>
        <v>403.31</v>
      </c>
      <c r="M244" s="37">
        <f t="shared" si="92"/>
        <v>403.31</v>
      </c>
      <c r="N244" s="37">
        <f t="shared" si="93"/>
        <v>403.31</v>
      </c>
      <c r="O244" s="37">
        <f t="shared" si="94"/>
        <v>403.31</v>
      </c>
      <c r="P244" s="37">
        <f t="shared" si="95"/>
        <v>403.31</v>
      </c>
      <c r="Q244" s="37">
        <f t="shared" si="96"/>
        <v>403.31</v>
      </c>
      <c r="R244" s="37">
        <f t="shared" si="97"/>
        <v>403.31</v>
      </c>
      <c r="S244" s="37">
        <f t="shared" si="98"/>
        <v>403.31</v>
      </c>
      <c r="T244" s="37">
        <f t="shared" si="99"/>
        <v>403.31</v>
      </c>
      <c r="U244" s="37">
        <f t="shared" si="101"/>
        <v>4839.72</v>
      </c>
      <c r="V244" s="6"/>
      <c r="W244" s="51">
        <v>403.31</v>
      </c>
      <c r="X244" s="39">
        <v>46304</v>
      </c>
      <c r="Y244" s="40" t="s">
        <v>54</v>
      </c>
      <c r="Z244" s="40"/>
      <c r="AA244" s="40" t="s">
        <v>56</v>
      </c>
      <c r="AB244" s="41">
        <v>0</v>
      </c>
      <c r="AD244" s="42" t="str">
        <f>C244&amp;A244</f>
        <v>TELEFONESOper</v>
      </c>
      <c r="AE244" s="42" t="str">
        <f>IFERROR(VLOOKUP(C244,[34]Planilha1!$B:$C,2,0),"Não se Aplica")</f>
        <v>Sim</v>
      </c>
      <c r="AF244" s="42" t="str">
        <f>VLOOKUP(AD244,[34]Planilha1!$H:$J,3,0)</f>
        <v>Não</v>
      </c>
      <c r="AG244" s="43">
        <f t="shared" si="100"/>
        <v>4839.72</v>
      </c>
    </row>
    <row r="245" spans="1:33" x14ac:dyDescent="0.3">
      <c r="A245" s="1" t="s">
        <v>836</v>
      </c>
      <c r="B245" s="34" t="s">
        <v>28</v>
      </c>
      <c r="C245" s="35" t="s">
        <v>249</v>
      </c>
      <c r="D245" s="36" t="s">
        <v>337</v>
      </c>
      <c r="E245" s="36" t="s">
        <v>334</v>
      </c>
      <c r="F245" s="34" t="s">
        <v>37</v>
      </c>
      <c r="G245" s="34" t="s">
        <v>32</v>
      </c>
      <c r="H245" s="34" t="s">
        <v>50</v>
      </c>
      <c r="I245" s="37">
        <f t="shared" ref="I245:I290" si="102">IF($Y245="janeiro",$W245*(1+$AB245),$W245)</f>
        <v>134.75</v>
      </c>
      <c r="J245" s="37">
        <f t="shared" ref="J245:J290" si="103">IF($Y245="fevereiro",$I245*(1+$AB245),$I245)</f>
        <v>134.75</v>
      </c>
      <c r="K245" s="37">
        <f t="shared" ref="K245:K290" si="104">IF($Y245="março",$J245*(1+$AB245),$J245)</f>
        <v>134.75</v>
      </c>
      <c r="L245" s="37">
        <f t="shared" ref="L245:L290" si="105">IF($Y245="abril",$K245*(1+$AB245),$K245)</f>
        <v>134.75</v>
      </c>
      <c r="M245" s="37">
        <f t="shared" ref="M245:M290" si="106">IF($Y245="maio",$L245*(1+$AB245),$L245)</f>
        <v>134.75</v>
      </c>
      <c r="N245" s="37">
        <f t="shared" ref="N245:N290" si="107">IF($Y245="junho",$M245*(1+$AB245),$M245)</f>
        <v>134.75</v>
      </c>
      <c r="O245" s="37">
        <f t="shared" ref="O245:O290" si="108">IF($Y245="julho",$N245*(1+$AB245),$N245)</f>
        <v>134.75</v>
      </c>
      <c r="P245" s="37">
        <f t="shared" ref="P245:P290" si="109">IF($Y245="agosto",$O245*(1+$AB245),$O245)</f>
        <v>134.75</v>
      </c>
      <c r="Q245" s="37">
        <f t="shared" ref="Q245:Q290" si="110">IF($Y245="setembro",$P245*(1+$AB245),$P245)</f>
        <v>134.75</v>
      </c>
      <c r="R245" s="37">
        <f t="shared" ref="R245:R290" si="111">IF($Y245="outubro",$Q245*(1+$AB245),$Q245)</f>
        <v>134.75</v>
      </c>
      <c r="S245" s="37">
        <f t="shared" ref="S245:S290" si="112">IF($Y245="novembro",$R245*(1+$AB245),$R245)</f>
        <v>134.75</v>
      </c>
      <c r="T245" s="37">
        <f t="shared" ref="T245:T290" si="113">IF($Y245="dezembro",$S245*(1+$AB245),$S245)</f>
        <v>134.75</v>
      </c>
      <c r="U245" s="37">
        <f t="shared" si="101"/>
        <v>1617</v>
      </c>
      <c r="V245" s="6"/>
      <c r="W245" s="51">
        <v>134.75</v>
      </c>
      <c r="X245" s="39">
        <v>46304</v>
      </c>
      <c r="Y245" s="40" t="s">
        <v>54</v>
      </c>
      <c r="Z245" s="40"/>
      <c r="AA245" s="40" t="s">
        <v>56</v>
      </c>
      <c r="AB245" s="41">
        <v>0</v>
      </c>
      <c r="AD245" s="42" t="str">
        <f>C245&amp;A245</f>
        <v>TELEFONESOper</v>
      </c>
      <c r="AE245" s="42" t="str">
        <f>IFERROR(VLOOKUP(C245,[34]Planilha1!$B:$C,2,0),"Não se Aplica")</f>
        <v>Sim</v>
      </c>
      <c r="AF245" s="42" t="str">
        <f>VLOOKUP(AD245,[34]Planilha1!$H:$J,3,0)</f>
        <v>Não</v>
      </c>
      <c r="AG245" s="43">
        <f t="shared" si="100"/>
        <v>1617</v>
      </c>
    </row>
    <row r="246" spans="1:33" x14ac:dyDescent="0.3">
      <c r="A246" s="1" t="s">
        <v>836</v>
      </c>
      <c r="B246" s="34" t="s">
        <v>28</v>
      </c>
      <c r="C246" s="35" t="s">
        <v>249</v>
      </c>
      <c r="D246" s="36" t="s">
        <v>337</v>
      </c>
      <c r="E246" s="36" t="s">
        <v>334</v>
      </c>
      <c r="F246" s="34" t="s">
        <v>60</v>
      </c>
      <c r="G246" s="34" t="s">
        <v>32</v>
      </c>
      <c r="H246" s="34" t="s">
        <v>50</v>
      </c>
      <c r="I246" s="37">
        <f t="shared" si="102"/>
        <v>140.1</v>
      </c>
      <c r="J246" s="37">
        <f t="shared" si="103"/>
        <v>140.1</v>
      </c>
      <c r="K246" s="37">
        <f t="shared" si="104"/>
        <v>140.1</v>
      </c>
      <c r="L246" s="37">
        <f t="shared" si="105"/>
        <v>140.1</v>
      </c>
      <c r="M246" s="37">
        <f t="shared" si="106"/>
        <v>140.1</v>
      </c>
      <c r="N246" s="37">
        <f t="shared" si="107"/>
        <v>140.1</v>
      </c>
      <c r="O246" s="37">
        <f t="shared" si="108"/>
        <v>140.1</v>
      </c>
      <c r="P246" s="37">
        <f t="shared" si="109"/>
        <v>140.1</v>
      </c>
      <c r="Q246" s="37">
        <f t="shared" si="110"/>
        <v>140.1</v>
      </c>
      <c r="R246" s="37">
        <f t="shared" si="111"/>
        <v>140.1</v>
      </c>
      <c r="S246" s="37">
        <f t="shared" si="112"/>
        <v>140.1</v>
      </c>
      <c r="T246" s="37">
        <f t="shared" si="113"/>
        <v>140.1</v>
      </c>
      <c r="U246" s="37">
        <f t="shared" si="101"/>
        <v>1681.1999999999996</v>
      </c>
      <c r="V246" s="6"/>
      <c r="W246" s="51">
        <v>140.1</v>
      </c>
      <c r="X246" s="39">
        <v>46304</v>
      </c>
      <c r="Y246" s="40" t="s">
        <v>54</v>
      </c>
      <c r="Z246" s="40"/>
      <c r="AA246" s="40" t="s">
        <v>56</v>
      </c>
      <c r="AB246" s="41">
        <v>0</v>
      </c>
      <c r="AD246" s="42" t="str">
        <f>C246&amp;A246</f>
        <v>TELEFONESOper</v>
      </c>
      <c r="AE246" s="42" t="str">
        <f>IFERROR(VLOOKUP(C246,[34]Planilha1!$B:$C,2,0),"Não se Aplica")</f>
        <v>Sim</v>
      </c>
      <c r="AF246" s="42" t="str">
        <f>VLOOKUP(AD246,[34]Planilha1!$H:$J,3,0)</f>
        <v>Não</v>
      </c>
      <c r="AG246" s="43">
        <f t="shared" si="100"/>
        <v>1681.1999999999996</v>
      </c>
    </row>
    <row r="247" spans="1:33" x14ac:dyDescent="0.3">
      <c r="A247" s="1" t="s">
        <v>836</v>
      </c>
      <c r="B247" s="34" t="s">
        <v>28</v>
      </c>
      <c r="C247" s="35" t="s">
        <v>249</v>
      </c>
      <c r="D247" s="36" t="s">
        <v>337</v>
      </c>
      <c r="E247" s="36" t="s">
        <v>334</v>
      </c>
      <c r="F247" s="34" t="s">
        <v>36</v>
      </c>
      <c r="G247" s="34" t="s">
        <v>32</v>
      </c>
      <c r="H247" s="34" t="s">
        <v>50</v>
      </c>
      <c r="I247" s="37">
        <f t="shared" si="102"/>
        <v>150.51</v>
      </c>
      <c r="J247" s="37">
        <f t="shared" si="103"/>
        <v>150.51</v>
      </c>
      <c r="K247" s="37">
        <f t="shared" si="104"/>
        <v>150.51</v>
      </c>
      <c r="L247" s="37">
        <f t="shared" si="105"/>
        <v>150.51</v>
      </c>
      <c r="M247" s="37">
        <f t="shared" si="106"/>
        <v>150.51</v>
      </c>
      <c r="N247" s="37">
        <f t="shared" si="107"/>
        <v>150.51</v>
      </c>
      <c r="O247" s="37">
        <f t="shared" si="108"/>
        <v>150.51</v>
      </c>
      <c r="P247" s="37">
        <f t="shared" si="109"/>
        <v>150.51</v>
      </c>
      <c r="Q247" s="37">
        <f t="shared" si="110"/>
        <v>150.51</v>
      </c>
      <c r="R247" s="37">
        <f t="shared" si="111"/>
        <v>150.51</v>
      </c>
      <c r="S247" s="37">
        <f t="shared" si="112"/>
        <v>150.51</v>
      </c>
      <c r="T247" s="37">
        <f t="shared" si="113"/>
        <v>150.51</v>
      </c>
      <c r="U247" s="37">
        <f t="shared" si="101"/>
        <v>1806.12</v>
      </c>
      <c r="V247" s="6"/>
      <c r="W247" s="51">
        <v>150.51</v>
      </c>
      <c r="X247" s="39">
        <v>46304</v>
      </c>
      <c r="Y247" s="40" t="s">
        <v>54</v>
      </c>
      <c r="Z247" s="40"/>
      <c r="AA247" s="40" t="s">
        <v>56</v>
      </c>
      <c r="AB247" s="41">
        <v>0</v>
      </c>
      <c r="AD247" s="42" t="str">
        <f>C247&amp;A247</f>
        <v>TELEFONESOper</v>
      </c>
      <c r="AE247" s="42" t="str">
        <f>IFERROR(VLOOKUP(C247,[34]Planilha1!$B:$C,2,0),"Não se Aplica")</f>
        <v>Sim</v>
      </c>
      <c r="AF247" s="42" t="str">
        <f>VLOOKUP(AD247,[34]Planilha1!$H:$J,3,0)</f>
        <v>Não</v>
      </c>
      <c r="AG247" s="43">
        <f t="shared" si="100"/>
        <v>1806.12</v>
      </c>
    </row>
    <row r="248" spans="1:33" x14ac:dyDescent="0.3">
      <c r="A248" s="1" t="s">
        <v>838</v>
      </c>
      <c r="B248" s="34" t="s">
        <v>28</v>
      </c>
      <c r="C248" s="35" t="s">
        <v>249</v>
      </c>
      <c r="D248" s="36" t="s">
        <v>337</v>
      </c>
      <c r="E248" s="36" t="s">
        <v>334</v>
      </c>
      <c r="F248" s="34" t="s">
        <v>77</v>
      </c>
      <c r="G248" s="34" t="s">
        <v>32</v>
      </c>
      <c r="H248" s="34" t="s">
        <v>50</v>
      </c>
      <c r="I248" s="37">
        <f t="shared" si="102"/>
        <v>227.18</v>
      </c>
      <c r="J248" s="37">
        <f t="shared" si="103"/>
        <v>227.18</v>
      </c>
      <c r="K248" s="37">
        <f t="shared" si="104"/>
        <v>227.18</v>
      </c>
      <c r="L248" s="37">
        <f t="shared" si="105"/>
        <v>227.18</v>
      </c>
      <c r="M248" s="37">
        <f t="shared" si="106"/>
        <v>227.18</v>
      </c>
      <c r="N248" s="37">
        <f t="shared" si="107"/>
        <v>227.18</v>
      </c>
      <c r="O248" s="37">
        <f t="shared" si="108"/>
        <v>227.18</v>
      </c>
      <c r="P248" s="37">
        <f t="shared" si="109"/>
        <v>227.18</v>
      </c>
      <c r="Q248" s="37">
        <f t="shared" si="110"/>
        <v>227.18</v>
      </c>
      <c r="R248" s="37">
        <f t="shared" si="111"/>
        <v>227.18</v>
      </c>
      <c r="S248" s="37">
        <f t="shared" si="112"/>
        <v>227.18</v>
      </c>
      <c r="T248" s="37">
        <f t="shared" si="113"/>
        <v>227.18</v>
      </c>
      <c r="U248" s="37">
        <f t="shared" si="101"/>
        <v>2726.16</v>
      </c>
      <c r="V248" s="6"/>
      <c r="W248" s="51">
        <v>227.18</v>
      </c>
      <c r="X248" s="39">
        <v>46304</v>
      </c>
      <c r="Y248" s="40" t="s">
        <v>54</v>
      </c>
      <c r="Z248" s="40"/>
      <c r="AA248" s="40" t="s">
        <v>56</v>
      </c>
      <c r="AB248" s="41">
        <v>0</v>
      </c>
      <c r="AD248" s="42" t="str">
        <f>C248&amp;A248</f>
        <v>TELEFONESCom</v>
      </c>
      <c r="AE248" s="42" t="str">
        <f>IFERROR(VLOOKUP(C248,[34]Planilha1!$B:$C,2,0),"Não se Aplica")</f>
        <v>Sim</v>
      </c>
      <c r="AF248" s="42" t="str">
        <f>VLOOKUP(AD248,[34]Planilha1!$H:$J,3,0)</f>
        <v>Não</v>
      </c>
      <c r="AG248" s="43">
        <f t="shared" si="100"/>
        <v>2726.16</v>
      </c>
    </row>
    <row r="249" spans="1:33" x14ac:dyDescent="0.3">
      <c r="A249" s="1" t="s">
        <v>836</v>
      </c>
      <c r="B249" s="34" t="s">
        <v>28</v>
      </c>
      <c r="C249" s="35" t="s">
        <v>249</v>
      </c>
      <c r="D249" s="36" t="s">
        <v>338</v>
      </c>
      <c r="E249" s="36" t="s">
        <v>334</v>
      </c>
      <c r="F249" s="34" t="s">
        <v>335</v>
      </c>
      <c r="G249" s="34" t="s">
        <v>32</v>
      </c>
      <c r="H249" s="34" t="s">
        <v>50</v>
      </c>
      <c r="I249" s="37">
        <f t="shared" si="102"/>
        <v>865.17</v>
      </c>
      <c r="J249" s="37">
        <f t="shared" si="103"/>
        <v>865.17</v>
      </c>
      <c r="K249" s="37">
        <f t="shared" si="104"/>
        <v>865.17</v>
      </c>
      <c r="L249" s="37">
        <f t="shared" si="105"/>
        <v>865.17</v>
      </c>
      <c r="M249" s="37">
        <f t="shared" si="106"/>
        <v>865.17</v>
      </c>
      <c r="N249" s="37">
        <f t="shared" si="107"/>
        <v>865.17</v>
      </c>
      <c r="O249" s="37">
        <f t="shared" si="108"/>
        <v>865.17</v>
      </c>
      <c r="P249" s="37">
        <f t="shared" si="109"/>
        <v>865.17</v>
      </c>
      <c r="Q249" s="37">
        <f t="shared" si="110"/>
        <v>865.17</v>
      </c>
      <c r="R249" s="37">
        <f t="shared" si="111"/>
        <v>865.17</v>
      </c>
      <c r="S249" s="37">
        <f t="shared" si="112"/>
        <v>865.17</v>
      </c>
      <c r="T249" s="37">
        <f t="shared" si="113"/>
        <v>865.17</v>
      </c>
      <c r="U249" s="37">
        <f t="shared" si="101"/>
        <v>10382.039999999999</v>
      </c>
      <c r="V249" s="6"/>
      <c r="W249" s="51">
        <v>865.17</v>
      </c>
      <c r="X249" s="39">
        <v>46304</v>
      </c>
      <c r="Y249" s="40" t="s">
        <v>54</v>
      </c>
      <c r="Z249" s="40"/>
      <c r="AA249" s="40" t="s">
        <v>56</v>
      </c>
      <c r="AB249" s="41">
        <v>0</v>
      </c>
      <c r="AD249" s="42" t="str">
        <f>C249&amp;A249</f>
        <v>TELEFONESOper</v>
      </c>
      <c r="AE249" s="42" t="str">
        <f>IFERROR(VLOOKUP(C249,[34]Planilha1!$B:$C,2,0),"Não se Aplica")</f>
        <v>Sim</v>
      </c>
      <c r="AF249" s="42" t="str">
        <f>VLOOKUP(AD249,[34]Planilha1!$H:$J,3,0)</f>
        <v>Não</v>
      </c>
      <c r="AG249" s="43">
        <f t="shared" si="100"/>
        <v>10382.039999999999</v>
      </c>
    </row>
    <row r="250" spans="1:33" x14ac:dyDescent="0.3">
      <c r="A250" s="1" t="s">
        <v>836</v>
      </c>
      <c r="B250" s="34" t="s">
        <v>28</v>
      </c>
      <c r="C250" s="35" t="s">
        <v>249</v>
      </c>
      <c r="D250" s="36" t="s">
        <v>338</v>
      </c>
      <c r="E250" s="36" t="s">
        <v>334</v>
      </c>
      <c r="F250" s="34" t="s">
        <v>336</v>
      </c>
      <c r="G250" s="34" t="s">
        <v>32</v>
      </c>
      <c r="H250" s="34" t="s">
        <v>50</v>
      </c>
      <c r="I250" s="37">
        <f t="shared" si="102"/>
        <v>1283.5899999999999</v>
      </c>
      <c r="J250" s="37">
        <f t="shared" si="103"/>
        <v>1283.5899999999999</v>
      </c>
      <c r="K250" s="37">
        <f t="shared" si="104"/>
        <v>1283.5899999999999</v>
      </c>
      <c r="L250" s="37">
        <f t="shared" si="105"/>
        <v>1283.5899999999999</v>
      </c>
      <c r="M250" s="37">
        <f t="shared" si="106"/>
        <v>1283.5899999999999</v>
      </c>
      <c r="N250" s="37">
        <f t="shared" si="107"/>
        <v>1283.5899999999999</v>
      </c>
      <c r="O250" s="37">
        <f t="shared" si="108"/>
        <v>1283.5899999999999</v>
      </c>
      <c r="P250" s="37">
        <f t="shared" si="109"/>
        <v>1283.5899999999999</v>
      </c>
      <c r="Q250" s="37">
        <f t="shared" si="110"/>
        <v>1283.5899999999999</v>
      </c>
      <c r="R250" s="37">
        <f t="shared" si="111"/>
        <v>1283.5899999999999</v>
      </c>
      <c r="S250" s="37">
        <f t="shared" si="112"/>
        <v>1283.5899999999999</v>
      </c>
      <c r="T250" s="37">
        <f t="shared" si="113"/>
        <v>1283.5899999999999</v>
      </c>
      <c r="U250" s="37">
        <f t="shared" si="101"/>
        <v>15403.08</v>
      </c>
      <c r="V250" s="6"/>
      <c r="W250" s="51">
        <v>1283.5899999999999</v>
      </c>
      <c r="X250" s="39">
        <v>46304</v>
      </c>
      <c r="Y250" s="40" t="s">
        <v>54</v>
      </c>
      <c r="Z250" s="40"/>
      <c r="AA250" s="40" t="s">
        <v>56</v>
      </c>
      <c r="AB250" s="41">
        <v>0</v>
      </c>
      <c r="AD250" s="42" t="str">
        <f>C250&amp;A250</f>
        <v>TELEFONESOper</v>
      </c>
      <c r="AE250" s="42" t="str">
        <f>IFERROR(VLOOKUP(C250,[34]Planilha1!$B:$C,2,0),"Não se Aplica")</f>
        <v>Sim</v>
      </c>
      <c r="AF250" s="42" t="str">
        <f>VLOOKUP(AD250,[34]Planilha1!$H:$J,3,0)</f>
        <v>Não</v>
      </c>
      <c r="AG250" s="43">
        <f t="shared" si="100"/>
        <v>15403.08</v>
      </c>
    </row>
    <row r="251" spans="1:33" x14ac:dyDescent="0.3">
      <c r="A251" s="1" t="s">
        <v>836</v>
      </c>
      <c r="B251" s="34" t="s">
        <v>28</v>
      </c>
      <c r="C251" s="35" t="s">
        <v>249</v>
      </c>
      <c r="D251" s="36" t="s">
        <v>338</v>
      </c>
      <c r="E251" s="36" t="s">
        <v>334</v>
      </c>
      <c r="F251" s="34" t="s">
        <v>339</v>
      </c>
      <c r="G251" s="34" t="s">
        <v>32</v>
      </c>
      <c r="H251" s="34" t="s">
        <v>50</v>
      </c>
      <c r="I251" s="37">
        <f t="shared" si="102"/>
        <v>148.12</v>
      </c>
      <c r="J251" s="37">
        <f t="shared" si="103"/>
        <v>148.12</v>
      </c>
      <c r="K251" s="37">
        <f t="shared" si="104"/>
        <v>148.12</v>
      </c>
      <c r="L251" s="37">
        <f t="shared" si="105"/>
        <v>148.12</v>
      </c>
      <c r="M251" s="37">
        <f t="shared" si="106"/>
        <v>148.12</v>
      </c>
      <c r="N251" s="37">
        <f t="shared" si="107"/>
        <v>148.12</v>
      </c>
      <c r="O251" s="37">
        <f t="shared" si="108"/>
        <v>148.12</v>
      </c>
      <c r="P251" s="37">
        <f t="shared" si="109"/>
        <v>148.12</v>
      </c>
      <c r="Q251" s="37">
        <f t="shared" si="110"/>
        <v>148.12</v>
      </c>
      <c r="R251" s="37">
        <f t="shared" si="111"/>
        <v>148.12</v>
      </c>
      <c r="S251" s="37">
        <f t="shared" si="112"/>
        <v>148.12</v>
      </c>
      <c r="T251" s="37">
        <f t="shared" si="113"/>
        <v>148.12</v>
      </c>
      <c r="U251" s="37">
        <f t="shared" si="101"/>
        <v>1777.4399999999996</v>
      </c>
      <c r="V251" s="6"/>
      <c r="W251" s="51">
        <v>148.12</v>
      </c>
      <c r="X251" s="39">
        <v>46304</v>
      </c>
      <c r="Y251" s="40" t="s">
        <v>54</v>
      </c>
      <c r="Z251" s="40"/>
      <c r="AA251" s="40" t="s">
        <v>56</v>
      </c>
      <c r="AB251" s="41">
        <v>0</v>
      </c>
      <c r="AD251" s="42" t="str">
        <f>C251&amp;A251</f>
        <v>TELEFONESOper</v>
      </c>
      <c r="AE251" s="42" t="str">
        <f>IFERROR(VLOOKUP(C251,[34]Planilha1!$B:$C,2,0),"Não se Aplica")</f>
        <v>Sim</v>
      </c>
      <c r="AF251" s="42" t="str">
        <f>VLOOKUP(AD251,[34]Planilha1!$H:$J,3,0)</f>
        <v>Não</v>
      </c>
      <c r="AG251" s="43">
        <f t="shared" si="100"/>
        <v>1777.4399999999996</v>
      </c>
    </row>
    <row r="252" spans="1:33" x14ac:dyDescent="0.3">
      <c r="A252" s="1" t="s">
        <v>836</v>
      </c>
      <c r="B252" s="34" t="s">
        <v>28</v>
      </c>
      <c r="C252" s="35" t="s">
        <v>249</v>
      </c>
      <c r="D252" s="36" t="s">
        <v>338</v>
      </c>
      <c r="E252" s="36" t="s">
        <v>334</v>
      </c>
      <c r="F252" s="34" t="s">
        <v>37</v>
      </c>
      <c r="G252" s="34" t="s">
        <v>32</v>
      </c>
      <c r="H252" s="34" t="s">
        <v>50</v>
      </c>
      <c r="I252" s="37">
        <f t="shared" si="102"/>
        <v>2070.3000000000002</v>
      </c>
      <c r="J252" s="37">
        <f t="shared" si="103"/>
        <v>2070.3000000000002</v>
      </c>
      <c r="K252" s="37">
        <f t="shared" si="104"/>
        <v>2070.3000000000002</v>
      </c>
      <c r="L252" s="37">
        <f t="shared" si="105"/>
        <v>2070.3000000000002</v>
      </c>
      <c r="M252" s="37">
        <f t="shared" si="106"/>
        <v>2070.3000000000002</v>
      </c>
      <c r="N252" s="37">
        <f t="shared" si="107"/>
        <v>2070.3000000000002</v>
      </c>
      <c r="O252" s="37">
        <f t="shared" si="108"/>
        <v>2070.3000000000002</v>
      </c>
      <c r="P252" s="37">
        <f t="shared" si="109"/>
        <v>2070.3000000000002</v>
      </c>
      <c r="Q252" s="37">
        <f t="shared" si="110"/>
        <v>2070.3000000000002</v>
      </c>
      <c r="R252" s="37">
        <f t="shared" si="111"/>
        <v>2070.3000000000002</v>
      </c>
      <c r="S252" s="37">
        <f t="shared" si="112"/>
        <v>2070.3000000000002</v>
      </c>
      <c r="T252" s="37">
        <f t="shared" si="113"/>
        <v>2070.3000000000002</v>
      </c>
      <c r="U252" s="37">
        <f t="shared" si="101"/>
        <v>24843.599999999995</v>
      </c>
      <c r="V252" s="6"/>
      <c r="W252" s="51">
        <v>2070.3000000000002</v>
      </c>
      <c r="X252" s="39">
        <v>46304</v>
      </c>
      <c r="Y252" s="40" t="s">
        <v>54</v>
      </c>
      <c r="Z252" s="40"/>
      <c r="AA252" s="40" t="s">
        <v>56</v>
      </c>
      <c r="AB252" s="41">
        <v>0</v>
      </c>
      <c r="AD252" s="42" t="str">
        <f>C252&amp;A252</f>
        <v>TELEFONESOper</v>
      </c>
      <c r="AE252" s="42" t="str">
        <f>IFERROR(VLOOKUP(C252,[34]Planilha1!$B:$C,2,0),"Não se Aplica")</f>
        <v>Sim</v>
      </c>
      <c r="AF252" s="42" t="str">
        <f>VLOOKUP(AD252,[34]Planilha1!$H:$J,3,0)</f>
        <v>Não</v>
      </c>
      <c r="AG252" s="43">
        <f t="shared" si="100"/>
        <v>24843.599999999995</v>
      </c>
    </row>
    <row r="253" spans="1:33" x14ac:dyDescent="0.3">
      <c r="A253" s="1" t="s">
        <v>836</v>
      </c>
      <c r="B253" s="34" t="s">
        <v>28</v>
      </c>
      <c r="C253" s="35" t="s">
        <v>249</v>
      </c>
      <c r="D253" s="36" t="s">
        <v>338</v>
      </c>
      <c r="E253" s="36" t="s">
        <v>334</v>
      </c>
      <c r="F253" s="28" t="s">
        <v>122</v>
      </c>
      <c r="G253" s="34" t="s">
        <v>32</v>
      </c>
      <c r="H253" s="34" t="s">
        <v>50</v>
      </c>
      <c r="I253" s="37">
        <f t="shared" si="102"/>
        <v>168.24</v>
      </c>
      <c r="J253" s="37">
        <f t="shared" si="103"/>
        <v>168.24</v>
      </c>
      <c r="K253" s="37">
        <f t="shared" si="104"/>
        <v>168.24</v>
      </c>
      <c r="L253" s="37">
        <f t="shared" si="105"/>
        <v>168.24</v>
      </c>
      <c r="M253" s="37">
        <f t="shared" si="106"/>
        <v>168.24</v>
      </c>
      <c r="N253" s="37">
        <f t="shared" si="107"/>
        <v>168.24</v>
      </c>
      <c r="O253" s="37">
        <f t="shared" si="108"/>
        <v>168.24</v>
      </c>
      <c r="P253" s="37">
        <f t="shared" si="109"/>
        <v>168.24</v>
      </c>
      <c r="Q253" s="37">
        <f t="shared" si="110"/>
        <v>168.24</v>
      </c>
      <c r="R253" s="37">
        <f t="shared" si="111"/>
        <v>168.24</v>
      </c>
      <c r="S253" s="37">
        <f t="shared" si="112"/>
        <v>168.24</v>
      </c>
      <c r="T253" s="37">
        <f t="shared" si="113"/>
        <v>168.24</v>
      </c>
      <c r="U253" s="37">
        <f t="shared" si="101"/>
        <v>2018.88</v>
      </c>
      <c r="V253" s="6"/>
      <c r="W253" s="51">
        <v>168.24</v>
      </c>
      <c r="X253" s="39">
        <v>46304</v>
      </c>
      <c r="Y253" s="40" t="s">
        <v>54</v>
      </c>
      <c r="Z253" s="40"/>
      <c r="AA253" s="40" t="s">
        <v>56</v>
      </c>
      <c r="AB253" s="41">
        <v>0</v>
      </c>
      <c r="AD253" s="42" t="str">
        <f>C253&amp;A253</f>
        <v>TELEFONESOper</v>
      </c>
      <c r="AE253" s="42" t="str">
        <f>IFERROR(VLOOKUP(C253,[34]Planilha1!$B:$C,2,0),"Não se Aplica")</f>
        <v>Sim</v>
      </c>
      <c r="AF253" s="42" t="str">
        <f>VLOOKUP(AD253,[34]Planilha1!$H:$J,3,0)</f>
        <v>Não</v>
      </c>
      <c r="AG253" s="43">
        <f t="shared" si="100"/>
        <v>2018.88</v>
      </c>
    </row>
    <row r="254" spans="1:33" x14ac:dyDescent="0.3">
      <c r="A254" s="1" t="s">
        <v>836</v>
      </c>
      <c r="B254" s="34" t="s">
        <v>28</v>
      </c>
      <c r="C254" s="35" t="s">
        <v>249</v>
      </c>
      <c r="D254" s="36" t="s">
        <v>338</v>
      </c>
      <c r="E254" s="36" t="s">
        <v>334</v>
      </c>
      <c r="F254" s="34" t="s">
        <v>25</v>
      </c>
      <c r="G254" s="34" t="s">
        <v>32</v>
      </c>
      <c r="H254" s="34" t="s">
        <v>50</v>
      </c>
      <c r="I254" s="37">
        <f t="shared" si="102"/>
        <v>1235.76</v>
      </c>
      <c r="J254" s="37">
        <f t="shared" si="103"/>
        <v>1235.76</v>
      </c>
      <c r="K254" s="37">
        <f t="shared" si="104"/>
        <v>1235.76</v>
      </c>
      <c r="L254" s="37">
        <f t="shared" si="105"/>
        <v>1235.76</v>
      </c>
      <c r="M254" s="37">
        <f t="shared" si="106"/>
        <v>1235.76</v>
      </c>
      <c r="N254" s="37">
        <f t="shared" si="107"/>
        <v>1235.76</v>
      </c>
      <c r="O254" s="37">
        <f t="shared" si="108"/>
        <v>1235.76</v>
      </c>
      <c r="P254" s="37">
        <f t="shared" si="109"/>
        <v>1235.76</v>
      </c>
      <c r="Q254" s="37">
        <f t="shared" si="110"/>
        <v>1235.76</v>
      </c>
      <c r="R254" s="37">
        <f t="shared" si="111"/>
        <v>1235.76</v>
      </c>
      <c r="S254" s="37">
        <f t="shared" si="112"/>
        <v>1235.76</v>
      </c>
      <c r="T254" s="37">
        <f t="shared" si="113"/>
        <v>1235.76</v>
      </c>
      <c r="U254" s="37">
        <f t="shared" si="101"/>
        <v>14829.12</v>
      </c>
      <c r="V254" s="6"/>
      <c r="W254" s="51">
        <v>1235.76</v>
      </c>
      <c r="X254" s="39">
        <v>46304</v>
      </c>
      <c r="Y254" s="40" t="s">
        <v>54</v>
      </c>
      <c r="Z254" s="40"/>
      <c r="AA254" s="40" t="s">
        <v>56</v>
      </c>
      <c r="AB254" s="41">
        <v>0</v>
      </c>
      <c r="AD254" s="42" t="str">
        <f>C254&amp;A254</f>
        <v>TELEFONESOper</v>
      </c>
      <c r="AE254" s="42" t="str">
        <f>IFERROR(VLOOKUP(C254,[34]Planilha1!$B:$C,2,0),"Não se Aplica")</f>
        <v>Sim</v>
      </c>
      <c r="AF254" s="42" t="str">
        <f>VLOOKUP(AD254,[34]Planilha1!$H:$J,3,0)</f>
        <v>Não</v>
      </c>
      <c r="AG254" s="43">
        <f t="shared" si="100"/>
        <v>14829.12</v>
      </c>
    </row>
    <row r="255" spans="1:33" x14ac:dyDescent="0.3">
      <c r="A255" s="1" t="s">
        <v>836</v>
      </c>
      <c r="B255" s="34" t="s">
        <v>28</v>
      </c>
      <c r="C255" s="35" t="s">
        <v>249</v>
      </c>
      <c r="D255" s="36" t="s">
        <v>338</v>
      </c>
      <c r="E255" s="36" t="s">
        <v>334</v>
      </c>
      <c r="F255" s="34" t="s">
        <v>37</v>
      </c>
      <c r="G255" s="34" t="s">
        <v>32</v>
      </c>
      <c r="H255" s="34" t="s">
        <v>50</v>
      </c>
      <c r="I255" s="37">
        <f t="shared" si="102"/>
        <v>73.989999999999995</v>
      </c>
      <c r="J255" s="37">
        <f t="shared" si="103"/>
        <v>73.989999999999995</v>
      </c>
      <c r="K255" s="37">
        <f t="shared" si="104"/>
        <v>73.989999999999995</v>
      </c>
      <c r="L255" s="37">
        <f t="shared" si="105"/>
        <v>73.989999999999995</v>
      </c>
      <c r="M255" s="37">
        <f t="shared" si="106"/>
        <v>73.989999999999995</v>
      </c>
      <c r="N255" s="37">
        <f t="shared" si="107"/>
        <v>73.989999999999995</v>
      </c>
      <c r="O255" s="37">
        <f t="shared" si="108"/>
        <v>73.989999999999995</v>
      </c>
      <c r="P255" s="37">
        <f t="shared" si="109"/>
        <v>73.989999999999995</v>
      </c>
      <c r="Q255" s="37">
        <f t="shared" si="110"/>
        <v>73.989999999999995</v>
      </c>
      <c r="R255" s="37">
        <f t="shared" si="111"/>
        <v>73.989999999999995</v>
      </c>
      <c r="S255" s="37">
        <f t="shared" si="112"/>
        <v>73.989999999999995</v>
      </c>
      <c r="T255" s="37">
        <f t="shared" si="113"/>
        <v>73.989999999999995</v>
      </c>
      <c r="U255" s="37">
        <f t="shared" si="101"/>
        <v>887.88</v>
      </c>
      <c r="V255" s="6"/>
      <c r="W255" s="51">
        <v>73.989999999999995</v>
      </c>
      <c r="X255" s="39">
        <v>46304</v>
      </c>
      <c r="Y255" s="40" t="s">
        <v>54</v>
      </c>
      <c r="Z255" s="40"/>
      <c r="AA255" s="40" t="s">
        <v>56</v>
      </c>
      <c r="AB255" s="41">
        <v>0</v>
      </c>
      <c r="AD255" s="42" t="str">
        <f>C255&amp;A255</f>
        <v>TELEFONESOper</v>
      </c>
      <c r="AE255" s="42" t="str">
        <f>IFERROR(VLOOKUP(C255,[34]Planilha1!$B:$C,2,0),"Não se Aplica")</f>
        <v>Sim</v>
      </c>
      <c r="AF255" s="42" t="str">
        <f>VLOOKUP(AD255,[34]Planilha1!$H:$J,3,0)</f>
        <v>Não</v>
      </c>
      <c r="AG255" s="43">
        <f t="shared" si="100"/>
        <v>887.88</v>
      </c>
    </row>
    <row r="256" spans="1:33" x14ac:dyDescent="0.3">
      <c r="A256" s="1" t="s">
        <v>836</v>
      </c>
      <c r="B256" s="34" t="s">
        <v>28</v>
      </c>
      <c r="C256" s="35" t="s">
        <v>249</v>
      </c>
      <c r="D256" s="36" t="s">
        <v>338</v>
      </c>
      <c r="E256" s="36" t="s">
        <v>334</v>
      </c>
      <c r="F256" s="34" t="s">
        <v>122</v>
      </c>
      <c r="G256" s="34" t="s">
        <v>32</v>
      </c>
      <c r="H256" s="34" t="s">
        <v>50</v>
      </c>
      <c r="I256" s="37">
        <f t="shared" si="102"/>
        <v>266.5</v>
      </c>
      <c r="J256" s="37">
        <f t="shared" si="103"/>
        <v>266.5</v>
      </c>
      <c r="K256" s="37">
        <f t="shared" si="104"/>
        <v>266.5</v>
      </c>
      <c r="L256" s="37">
        <f t="shared" si="105"/>
        <v>266.5</v>
      </c>
      <c r="M256" s="37">
        <f t="shared" si="106"/>
        <v>266.5</v>
      </c>
      <c r="N256" s="37">
        <f t="shared" si="107"/>
        <v>266.5</v>
      </c>
      <c r="O256" s="37">
        <f t="shared" si="108"/>
        <v>266.5</v>
      </c>
      <c r="P256" s="37">
        <f t="shared" si="109"/>
        <v>266.5</v>
      </c>
      <c r="Q256" s="37">
        <f t="shared" si="110"/>
        <v>266.5</v>
      </c>
      <c r="R256" s="37">
        <f t="shared" si="111"/>
        <v>266.5</v>
      </c>
      <c r="S256" s="37">
        <f t="shared" si="112"/>
        <v>266.5</v>
      </c>
      <c r="T256" s="37">
        <f t="shared" si="113"/>
        <v>266.5</v>
      </c>
      <c r="U256" s="37">
        <f t="shared" si="101"/>
        <v>3198</v>
      </c>
      <c r="V256" s="6"/>
      <c r="W256" s="51">
        <v>266.5</v>
      </c>
      <c r="X256" s="39">
        <v>46304</v>
      </c>
      <c r="Y256" s="40" t="s">
        <v>54</v>
      </c>
      <c r="Z256" s="40"/>
      <c r="AA256" s="40" t="s">
        <v>56</v>
      </c>
      <c r="AB256" s="41">
        <v>0</v>
      </c>
      <c r="AD256" s="42" t="str">
        <f>C256&amp;A256</f>
        <v>TELEFONESOper</v>
      </c>
      <c r="AE256" s="42" t="str">
        <f>IFERROR(VLOOKUP(C256,[34]Planilha1!$B:$C,2,0),"Não se Aplica")</f>
        <v>Sim</v>
      </c>
      <c r="AF256" s="42" t="str">
        <f>VLOOKUP(AD256,[34]Planilha1!$H:$J,3,0)</f>
        <v>Não</v>
      </c>
      <c r="AG256" s="43">
        <f t="shared" si="100"/>
        <v>3198</v>
      </c>
    </row>
    <row r="257" spans="1:33" x14ac:dyDescent="0.3">
      <c r="A257" s="1" t="s">
        <v>836</v>
      </c>
      <c r="B257" s="34" t="s">
        <v>28</v>
      </c>
      <c r="C257" s="35" t="s">
        <v>249</v>
      </c>
      <c r="D257" s="36" t="s">
        <v>338</v>
      </c>
      <c r="E257" s="36" t="s">
        <v>334</v>
      </c>
      <c r="F257" s="34" t="s">
        <v>23</v>
      </c>
      <c r="G257" s="34" t="s">
        <v>32</v>
      </c>
      <c r="H257" s="34" t="s">
        <v>50</v>
      </c>
      <c r="I257" s="37">
        <f t="shared" si="102"/>
        <v>214.13</v>
      </c>
      <c r="J257" s="37">
        <f t="shared" si="103"/>
        <v>214.13</v>
      </c>
      <c r="K257" s="37">
        <f t="shared" si="104"/>
        <v>214.13</v>
      </c>
      <c r="L257" s="37">
        <f t="shared" si="105"/>
        <v>214.13</v>
      </c>
      <c r="M257" s="37">
        <f t="shared" si="106"/>
        <v>214.13</v>
      </c>
      <c r="N257" s="37">
        <f t="shared" si="107"/>
        <v>214.13</v>
      </c>
      <c r="O257" s="37">
        <f t="shared" si="108"/>
        <v>214.13</v>
      </c>
      <c r="P257" s="37">
        <f t="shared" si="109"/>
        <v>214.13</v>
      </c>
      <c r="Q257" s="37">
        <f t="shared" si="110"/>
        <v>214.13</v>
      </c>
      <c r="R257" s="37">
        <f t="shared" si="111"/>
        <v>214.13</v>
      </c>
      <c r="S257" s="37">
        <f t="shared" si="112"/>
        <v>214.13</v>
      </c>
      <c r="T257" s="37">
        <f t="shared" si="113"/>
        <v>214.13</v>
      </c>
      <c r="U257" s="37">
        <f t="shared" si="101"/>
        <v>2569.5600000000009</v>
      </c>
      <c r="V257" s="6"/>
      <c r="W257" s="51">
        <v>214.13</v>
      </c>
      <c r="X257" s="39">
        <v>46304</v>
      </c>
      <c r="Y257" s="40" t="s">
        <v>54</v>
      </c>
      <c r="Z257" s="40"/>
      <c r="AA257" s="40" t="s">
        <v>56</v>
      </c>
      <c r="AB257" s="41">
        <v>0</v>
      </c>
      <c r="AD257" s="42" t="str">
        <f>C257&amp;A257</f>
        <v>TELEFONESOper</v>
      </c>
      <c r="AE257" s="42" t="str">
        <f>IFERROR(VLOOKUP(C257,[34]Planilha1!$B:$C,2,0),"Não se Aplica")</f>
        <v>Sim</v>
      </c>
      <c r="AF257" s="42" t="str">
        <f>VLOOKUP(AD257,[34]Planilha1!$H:$J,3,0)</f>
        <v>Não</v>
      </c>
      <c r="AG257" s="43">
        <f t="shared" si="100"/>
        <v>2569.5600000000009</v>
      </c>
    </row>
    <row r="258" spans="1:33" x14ac:dyDescent="0.3">
      <c r="A258" s="1" t="s">
        <v>836</v>
      </c>
      <c r="B258" s="34" t="s">
        <v>28</v>
      </c>
      <c r="C258" s="35" t="s">
        <v>249</v>
      </c>
      <c r="D258" s="36" t="s">
        <v>338</v>
      </c>
      <c r="E258" s="36" t="s">
        <v>334</v>
      </c>
      <c r="F258" s="34" t="s">
        <v>41</v>
      </c>
      <c r="G258" s="34" t="s">
        <v>32</v>
      </c>
      <c r="H258" s="34" t="s">
        <v>50</v>
      </c>
      <c r="I258" s="37">
        <f t="shared" si="102"/>
        <v>194.27</v>
      </c>
      <c r="J258" s="37">
        <f t="shared" si="103"/>
        <v>194.27</v>
      </c>
      <c r="K258" s="37">
        <f t="shared" si="104"/>
        <v>194.27</v>
      </c>
      <c r="L258" s="37">
        <f t="shared" si="105"/>
        <v>194.27</v>
      </c>
      <c r="M258" s="37">
        <f t="shared" si="106"/>
        <v>194.27</v>
      </c>
      <c r="N258" s="37">
        <f t="shared" si="107"/>
        <v>194.27</v>
      </c>
      <c r="O258" s="37">
        <f t="shared" si="108"/>
        <v>194.27</v>
      </c>
      <c r="P258" s="37">
        <f t="shared" si="109"/>
        <v>194.27</v>
      </c>
      <c r="Q258" s="37">
        <f t="shared" si="110"/>
        <v>194.27</v>
      </c>
      <c r="R258" s="37">
        <f t="shared" si="111"/>
        <v>194.27</v>
      </c>
      <c r="S258" s="37">
        <f t="shared" si="112"/>
        <v>194.27</v>
      </c>
      <c r="T258" s="37">
        <f t="shared" si="113"/>
        <v>194.27</v>
      </c>
      <c r="U258" s="37">
        <f t="shared" si="101"/>
        <v>2331.2400000000002</v>
      </c>
      <c r="V258" s="6"/>
      <c r="W258" s="51">
        <v>194.27</v>
      </c>
      <c r="X258" s="39">
        <v>46304</v>
      </c>
      <c r="Y258" s="40" t="s">
        <v>54</v>
      </c>
      <c r="Z258" s="40"/>
      <c r="AA258" s="40" t="s">
        <v>56</v>
      </c>
      <c r="AB258" s="41">
        <v>0</v>
      </c>
      <c r="AD258" s="42" t="str">
        <f>C258&amp;A258</f>
        <v>TELEFONESOper</v>
      </c>
      <c r="AE258" s="42" t="str">
        <f>IFERROR(VLOOKUP(C258,[34]Planilha1!$B:$C,2,0),"Não se Aplica")</f>
        <v>Sim</v>
      </c>
      <c r="AF258" s="42" t="str">
        <f>VLOOKUP(AD258,[34]Planilha1!$H:$J,3,0)</f>
        <v>Não</v>
      </c>
      <c r="AG258" s="43">
        <f t="shared" si="100"/>
        <v>2331.2400000000002</v>
      </c>
    </row>
    <row r="259" spans="1:33" x14ac:dyDescent="0.3">
      <c r="A259" s="1" t="s">
        <v>836</v>
      </c>
      <c r="B259" s="34" t="s">
        <v>28</v>
      </c>
      <c r="C259" s="35" t="s">
        <v>249</v>
      </c>
      <c r="D259" s="36" t="s">
        <v>338</v>
      </c>
      <c r="E259" s="36" t="s">
        <v>334</v>
      </c>
      <c r="F259" s="34" t="s">
        <v>60</v>
      </c>
      <c r="G259" s="34" t="s">
        <v>32</v>
      </c>
      <c r="H259" s="34" t="s">
        <v>50</v>
      </c>
      <c r="I259" s="37">
        <f t="shared" si="102"/>
        <v>224.6</v>
      </c>
      <c r="J259" s="37">
        <f t="shared" si="103"/>
        <v>224.6</v>
      </c>
      <c r="K259" s="37">
        <f t="shared" si="104"/>
        <v>224.6</v>
      </c>
      <c r="L259" s="37">
        <f t="shared" si="105"/>
        <v>224.6</v>
      </c>
      <c r="M259" s="37">
        <f t="shared" si="106"/>
        <v>224.6</v>
      </c>
      <c r="N259" s="37">
        <f t="shared" si="107"/>
        <v>224.6</v>
      </c>
      <c r="O259" s="37">
        <f t="shared" si="108"/>
        <v>224.6</v>
      </c>
      <c r="P259" s="37">
        <f t="shared" si="109"/>
        <v>224.6</v>
      </c>
      <c r="Q259" s="37">
        <f t="shared" si="110"/>
        <v>224.6</v>
      </c>
      <c r="R259" s="37">
        <f t="shared" si="111"/>
        <v>224.6</v>
      </c>
      <c r="S259" s="37">
        <f t="shared" si="112"/>
        <v>224.6</v>
      </c>
      <c r="T259" s="37">
        <f t="shared" si="113"/>
        <v>224.6</v>
      </c>
      <c r="U259" s="37">
        <f t="shared" si="101"/>
        <v>2695.1999999999994</v>
      </c>
      <c r="V259" s="6"/>
      <c r="W259" s="51">
        <v>224.6</v>
      </c>
      <c r="X259" s="39">
        <v>46304</v>
      </c>
      <c r="Y259" s="40" t="s">
        <v>54</v>
      </c>
      <c r="Z259" s="40"/>
      <c r="AA259" s="40" t="s">
        <v>56</v>
      </c>
      <c r="AB259" s="41">
        <v>0</v>
      </c>
      <c r="AD259" s="42" t="str">
        <f>C259&amp;A259</f>
        <v>TELEFONESOper</v>
      </c>
      <c r="AE259" s="42" t="str">
        <f>IFERROR(VLOOKUP(C259,[34]Planilha1!$B:$C,2,0),"Não se Aplica")</f>
        <v>Sim</v>
      </c>
      <c r="AF259" s="42" t="str">
        <f>VLOOKUP(AD259,[34]Planilha1!$H:$J,3,0)</f>
        <v>Não</v>
      </c>
      <c r="AG259" s="43">
        <f t="shared" si="100"/>
        <v>2695.1999999999994</v>
      </c>
    </row>
    <row r="260" spans="1:33" x14ac:dyDescent="0.3">
      <c r="A260" s="1" t="s">
        <v>836</v>
      </c>
      <c r="B260" s="34" t="s">
        <v>28</v>
      </c>
      <c r="C260" s="35" t="s">
        <v>249</v>
      </c>
      <c r="D260" s="36" t="s">
        <v>338</v>
      </c>
      <c r="E260" s="36" t="s">
        <v>334</v>
      </c>
      <c r="F260" s="34" t="s">
        <v>36</v>
      </c>
      <c r="G260" s="34" t="s">
        <v>32</v>
      </c>
      <c r="H260" s="34" t="s">
        <v>50</v>
      </c>
      <c r="I260" s="37">
        <f t="shared" si="102"/>
        <v>440.04</v>
      </c>
      <c r="J260" s="37">
        <f t="shared" si="103"/>
        <v>440.04</v>
      </c>
      <c r="K260" s="37">
        <f t="shared" si="104"/>
        <v>440.04</v>
      </c>
      <c r="L260" s="37">
        <f t="shared" si="105"/>
        <v>440.04</v>
      </c>
      <c r="M260" s="37">
        <f t="shared" si="106"/>
        <v>440.04</v>
      </c>
      <c r="N260" s="37">
        <f t="shared" si="107"/>
        <v>440.04</v>
      </c>
      <c r="O260" s="37">
        <f t="shared" si="108"/>
        <v>440.04</v>
      </c>
      <c r="P260" s="37">
        <f t="shared" si="109"/>
        <v>440.04</v>
      </c>
      <c r="Q260" s="37">
        <f t="shared" si="110"/>
        <v>440.04</v>
      </c>
      <c r="R260" s="37">
        <f t="shared" si="111"/>
        <v>440.04</v>
      </c>
      <c r="S260" s="37">
        <f t="shared" si="112"/>
        <v>440.04</v>
      </c>
      <c r="T260" s="37">
        <f t="shared" si="113"/>
        <v>440.04</v>
      </c>
      <c r="U260" s="37">
        <f t="shared" si="101"/>
        <v>5280.4800000000005</v>
      </c>
      <c r="V260" s="6"/>
      <c r="W260" s="51">
        <v>440.04</v>
      </c>
      <c r="X260" s="39">
        <v>46304</v>
      </c>
      <c r="Y260" s="40" t="s">
        <v>54</v>
      </c>
      <c r="Z260" s="40"/>
      <c r="AA260" s="40" t="s">
        <v>56</v>
      </c>
      <c r="AB260" s="41">
        <v>0</v>
      </c>
      <c r="AD260" s="42" t="str">
        <f>C260&amp;A260</f>
        <v>TELEFONESOper</v>
      </c>
      <c r="AE260" s="42" t="str">
        <f>IFERROR(VLOOKUP(C260,[34]Planilha1!$B:$C,2,0),"Não se Aplica")</f>
        <v>Sim</v>
      </c>
      <c r="AF260" s="42" t="str">
        <f>VLOOKUP(AD260,[34]Planilha1!$H:$J,3,0)</f>
        <v>Não</v>
      </c>
      <c r="AG260" s="43">
        <f t="shared" si="100"/>
        <v>5280.4800000000005</v>
      </c>
    </row>
    <row r="261" spans="1:33" x14ac:dyDescent="0.3">
      <c r="A261" s="1" t="s">
        <v>837</v>
      </c>
      <c r="B261" s="34" t="s">
        <v>28</v>
      </c>
      <c r="C261" s="35" t="s">
        <v>249</v>
      </c>
      <c r="D261" s="36" t="s">
        <v>338</v>
      </c>
      <c r="E261" s="36" t="s">
        <v>334</v>
      </c>
      <c r="F261" s="34" t="s">
        <v>34</v>
      </c>
      <c r="G261" s="34" t="s">
        <v>32</v>
      </c>
      <c r="H261" s="34" t="s">
        <v>50</v>
      </c>
      <c r="I261" s="37">
        <f t="shared" si="102"/>
        <v>154.34</v>
      </c>
      <c r="J261" s="37">
        <f t="shared" si="103"/>
        <v>154.34</v>
      </c>
      <c r="K261" s="37">
        <f t="shared" si="104"/>
        <v>154.34</v>
      </c>
      <c r="L261" s="37">
        <f t="shared" si="105"/>
        <v>154.34</v>
      </c>
      <c r="M261" s="37">
        <f t="shared" si="106"/>
        <v>154.34</v>
      </c>
      <c r="N261" s="37">
        <f t="shared" si="107"/>
        <v>154.34</v>
      </c>
      <c r="O261" s="37">
        <f t="shared" si="108"/>
        <v>154.34</v>
      </c>
      <c r="P261" s="37">
        <f t="shared" si="109"/>
        <v>154.34</v>
      </c>
      <c r="Q261" s="37">
        <f t="shared" si="110"/>
        <v>154.34</v>
      </c>
      <c r="R261" s="37">
        <f t="shared" si="111"/>
        <v>154.34</v>
      </c>
      <c r="S261" s="37">
        <f t="shared" si="112"/>
        <v>154.34</v>
      </c>
      <c r="T261" s="37">
        <f t="shared" si="113"/>
        <v>154.34</v>
      </c>
      <c r="U261" s="37">
        <f t="shared" si="101"/>
        <v>1852.0799999999997</v>
      </c>
      <c r="V261" s="6"/>
      <c r="W261" s="51">
        <v>154.34</v>
      </c>
      <c r="X261" s="39">
        <v>46304</v>
      </c>
      <c r="Y261" s="40" t="s">
        <v>54</v>
      </c>
      <c r="Z261" s="40"/>
      <c r="AA261" s="40" t="s">
        <v>56</v>
      </c>
      <c r="AB261" s="41">
        <v>0</v>
      </c>
      <c r="AD261" s="42" t="str">
        <f>C261&amp;A261</f>
        <v>TELEFONESAdm</v>
      </c>
      <c r="AE261" s="42" t="str">
        <f>IFERROR(VLOOKUP(C261,[34]Planilha1!$B:$C,2,0),"Não se Aplica")</f>
        <v>Sim</v>
      </c>
      <c r="AF261" s="42" t="str">
        <f>VLOOKUP(AD261,[34]Planilha1!$H:$J,3,0)</f>
        <v>Não</v>
      </c>
      <c r="AG261" s="43">
        <f t="shared" si="100"/>
        <v>1852.0799999999997</v>
      </c>
    </row>
    <row r="262" spans="1:33" x14ac:dyDescent="0.3">
      <c r="A262" s="1" t="s">
        <v>838</v>
      </c>
      <c r="B262" s="34" t="s">
        <v>28</v>
      </c>
      <c r="C262" s="35" t="s">
        <v>249</v>
      </c>
      <c r="D262" s="36" t="s">
        <v>338</v>
      </c>
      <c r="E262" s="36" t="s">
        <v>334</v>
      </c>
      <c r="F262" s="34" t="s">
        <v>77</v>
      </c>
      <c r="G262" s="34" t="s">
        <v>32</v>
      </c>
      <c r="H262" s="34" t="s">
        <v>50</v>
      </c>
      <c r="I262" s="37">
        <f t="shared" si="102"/>
        <v>198.52</v>
      </c>
      <c r="J262" s="37">
        <f t="shared" si="103"/>
        <v>198.52</v>
      </c>
      <c r="K262" s="37">
        <f t="shared" si="104"/>
        <v>198.52</v>
      </c>
      <c r="L262" s="37">
        <f t="shared" si="105"/>
        <v>198.52</v>
      </c>
      <c r="M262" s="37">
        <f t="shared" si="106"/>
        <v>198.52</v>
      </c>
      <c r="N262" s="37">
        <f t="shared" si="107"/>
        <v>198.52</v>
      </c>
      <c r="O262" s="37">
        <f t="shared" si="108"/>
        <v>198.52</v>
      </c>
      <c r="P262" s="37">
        <f t="shared" si="109"/>
        <v>198.52</v>
      </c>
      <c r="Q262" s="37">
        <f t="shared" si="110"/>
        <v>198.52</v>
      </c>
      <c r="R262" s="37">
        <f t="shared" si="111"/>
        <v>198.52</v>
      </c>
      <c r="S262" s="37">
        <f t="shared" si="112"/>
        <v>198.52</v>
      </c>
      <c r="T262" s="37">
        <f t="shared" si="113"/>
        <v>198.52</v>
      </c>
      <c r="U262" s="37">
        <f t="shared" si="101"/>
        <v>2382.2400000000002</v>
      </c>
      <c r="V262" s="6"/>
      <c r="W262" s="51">
        <v>198.52</v>
      </c>
      <c r="X262" s="39">
        <v>46304</v>
      </c>
      <c r="Y262" s="40" t="s">
        <v>54</v>
      </c>
      <c r="Z262" s="40"/>
      <c r="AA262" s="40" t="s">
        <v>56</v>
      </c>
      <c r="AB262" s="41">
        <v>0</v>
      </c>
      <c r="AD262" s="42" t="str">
        <f>C262&amp;A262</f>
        <v>TELEFONESCom</v>
      </c>
      <c r="AE262" s="42" t="str">
        <f>IFERROR(VLOOKUP(C262,[34]Planilha1!$B:$C,2,0),"Não se Aplica")</f>
        <v>Sim</v>
      </c>
      <c r="AF262" s="42" t="str">
        <f>VLOOKUP(AD262,[34]Planilha1!$H:$J,3,0)</f>
        <v>Não</v>
      </c>
      <c r="AG262" s="43">
        <f t="shared" si="100"/>
        <v>2382.2400000000002</v>
      </c>
    </row>
    <row r="263" spans="1:33" x14ac:dyDescent="0.3">
      <c r="A263" s="1" t="s">
        <v>837</v>
      </c>
      <c r="B263" s="34" t="s">
        <v>28</v>
      </c>
      <c r="C263" s="35" t="s">
        <v>249</v>
      </c>
      <c r="D263" s="36" t="s">
        <v>338</v>
      </c>
      <c r="E263" s="36" t="s">
        <v>334</v>
      </c>
      <c r="F263" s="34" t="s">
        <v>236</v>
      </c>
      <c r="G263" s="34" t="s">
        <v>32</v>
      </c>
      <c r="H263" s="34" t="s">
        <v>50</v>
      </c>
      <c r="I263" s="37">
        <f t="shared" si="102"/>
        <v>33.99</v>
      </c>
      <c r="J263" s="37">
        <f t="shared" si="103"/>
        <v>33.99</v>
      </c>
      <c r="K263" s="37">
        <f t="shared" si="104"/>
        <v>33.99</v>
      </c>
      <c r="L263" s="37">
        <f t="shared" si="105"/>
        <v>33.99</v>
      </c>
      <c r="M263" s="37">
        <f t="shared" si="106"/>
        <v>33.99</v>
      </c>
      <c r="N263" s="37">
        <f t="shared" si="107"/>
        <v>33.99</v>
      </c>
      <c r="O263" s="37">
        <f t="shared" si="108"/>
        <v>33.99</v>
      </c>
      <c r="P263" s="37">
        <f t="shared" si="109"/>
        <v>33.99</v>
      </c>
      <c r="Q263" s="37">
        <f t="shared" si="110"/>
        <v>33.99</v>
      </c>
      <c r="R263" s="37">
        <f t="shared" si="111"/>
        <v>33.99</v>
      </c>
      <c r="S263" s="37">
        <f t="shared" si="112"/>
        <v>33.99</v>
      </c>
      <c r="T263" s="37">
        <f t="shared" si="113"/>
        <v>33.99</v>
      </c>
      <c r="U263" s="37">
        <f t="shared" si="101"/>
        <v>407.88000000000005</v>
      </c>
      <c r="V263" s="6"/>
      <c r="W263" s="51">
        <v>33.99</v>
      </c>
      <c r="X263" s="39">
        <v>46304</v>
      </c>
      <c r="Y263" s="40" t="s">
        <v>54</v>
      </c>
      <c r="Z263" s="40"/>
      <c r="AA263" s="40" t="s">
        <v>56</v>
      </c>
      <c r="AB263" s="41">
        <v>0</v>
      </c>
      <c r="AD263" s="42" t="str">
        <f>C263&amp;A263</f>
        <v>TELEFONESAdm</v>
      </c>
      <c r="AE263" s="42" t="str">
        <f>IFERROR(VLOOKUP(C263,[34]Planilha1!$B:$C,2,0),"Não se Aplica")</f>
        <v>Sim</v>
      </c>
      <c r="AF263" s="42" t="str">
        <f>VLOOKUP(AD263,[34]Planilha1!$H:$J,3,0)</f>
        <v>Não</v>
      </c>
      <c r="AG263" s="43">
        <f t="shared" si="100"/>
        <v>407.88000000000005</v>
      </c>
    </row>
    <row r="264" spans="1:33" x14ac:dyDescent="0.3">
      <c r="A264" s="1" t="s">
        <v>836</v>
      </c>
      <c r="B264" s="34" t="s">
        <v>28</v>
      </c>
      <c r="C264" s="35" t="s">
        <v>249</v>
      </c>
      <c r="D264" s="36" t="s">
        <v>338</v>
      </c>
      <c r="E264" s="36" t="s">
        <v>334</v>
      </c>
      <c r="F264" s="29" t="s">
        <v>122</v>
      </c>
      <c r="G264" s="34" t="s">
        <v>32</v>
      </c>
      <c r="H264" s="34" t="s">
        <v>50</v>
      </c>
      <c r="I264" s="37">
        <f t="shared" si="102"/>
        <v>72.77</v>
      </c>
      <c r="J264" s="37">
        <f t="shared" si="103"/>
        <v>72.77</v>
      </c>
      <c r="K264" s="37">
        <f t="shared" si="104"/>
        <v>72.77</v>
      </c>
      <c r="L264" s="37">
        <f t="shared" si="105"/>
        <v>72.77</v>
      </c>
      <c r="M264" s="37">
        <f t="shared" si="106"/>
        <v>72.77</v>
      </c>
      <c r="N264" s="37">
        <f t="shared" si="107"/>
        <v>72.77</v>
      </c>
      <c r="O264" s="37">
        <f t="shared" si="108"/>
        <v>72.77</v>
      </c>
      <c r="P264" s="37">
        <f t="shared" si="109"/>
        <v>72.77</v>
      </c>
      <c r="Q264" s="37">
        <f t="shared" si="110"/>
        <v>72.77</v>
      </c>
      <c r="R264" s="37">
        <f t="shared" si="111"/>
        <v>72.77</v>
      </c>
      <c r="S264" s="37">
        <f t="shared" si="112"/>
        <v>72.77</v>
      </c>
      <c r="T264" s="37">
        <f t="shared" si="113"/>
        <v>72.77</v>
      </c>
      <c r="U264" s="37">
        <f t="shared" si="101"/>
        <v>873.2399999999999</v>
      </c>
      <c r="V264" s="6"/>
      <c r="W264" s="51">
        <v>72.77</v>
      </c>
      <c r="X264" s="39">
        <v>46304</v>
      </c>
      <c r="Y264" s="40" t="s">
        <v>54</v>
      </c>
      <c r="Z264" s="40"/>
      <c r="AA264" s="40" t="s">
        <v>56</v>
      </c>
      <c r="AB264" s="41">
        <v>0</v>
      </c>
      <c r="AD264" s="42" t="str">
        <f>C264&amp;A264</f>
        <v>TELEFONESOper</v>
      </c>
      <c r="AE264" s="42" t="str">
        <f>IFERROR(VLOOKUP(C264,[34]Planilha1!$B:$C,2,0),"Não se Aplica")</f>
        <v>Sim</v>
      </c>
      <c r="AF264" s="42" t="str">
        <f>VLOOKUP(AD264,[34]Planilha1!$H:$J,3,0)</f>
        <v>Não</v>
      </c>
      <c r="AG264" s="43">
        <f t="shared" si="100"/>
        <v>873.2399999999999</v>
      </c>
    </row>
    <row r="265" spans="1:33" x14ac:dyDescent="0.3">
      <c r="A265" s="1" t="s">
        <v>837</v>
      </c>
      <c r="B265" s="34" t="s">
        <v>28</v>
      </c>
      <c r="C265" s="35" t="s">
        <v>249</v>
      </c>
      <c r="D265" s="36" t="s">
        <v>338</v>
      </c>
      <c r="E265" s="36" t="s">
        <v>334</v>
      </c>
      <c r="F265" s="34" t="s">
        <v>253</v>
      </c>
      <c r="G265" s="34" t="s">
        <v>32</v>
      </c>
      <c r="H265" s="34" t="s">
        <v>50</v>
      </c>
      <c r="I265" s="37">
        <f t="shared" si="102"/>
        <v>130.28</v>
      </c>
      <c r="J265" s="37">
        <f t="shared" si="103"/>
        <v>130.28</v>
      </c>
      <c r="K265" s="37">
        <f t="shared" si="104"/>
        <v>130.28</v>
      </c>
      <c r="L265" s="37">
        <f t="shared" si="105"/>
        <v>130.28</v>
      </c>
      <c r="M265" s="37">
        <f t="shared" si="106"/>
        <v>130.28</v>
      </c>
      <c r="N265" s="37">
        <f t="shared" si="107"/>
        <v>130.28</v>
      </c>
      <c r="O265" s="37">
        <f t="shared" si="108"/>
        <v>130.28</v>
      </c>
      <c r="P265" s="37">
        <f t="shared" si="109"/>
        <v>130.28</v>
      </c>
      <c r="Q265" s="37">
        <f t="shared" si="110"/>
        <v>130.28</v>
      </c>
      <c r="R265" s="37">
        <f t="shared" si="111"/>
        <v>130.28</v>
      </c>
      <c r="S265" s="37">
        <f t="shared" si="112"/>
        <v>130.28</v>
      </c>
      <c r="T265" s="37">
        <f t="shared" si="113"/>
        <v>130.28</v>
      </c>
      <c r="U265" s="37">
        <f t="shared" si="101"/>
        <v>1563.36</v>
      </c>
      <c r="V265" s="6"/>
      <c r="W265" s="51">
        <v>130.28</v>
      </c>
      <c r="X265" s="39">
        <v>46304</v>
      </c>
      <c r="Y265" s="40" t="s">
        <v>54</v>
      </c>
      <c r="Z265" s="40"/>
      <c r="AA265" s="40" t="s">
        <v>56</v>
      </c>
      <c r="AB265" s="41">
        <v>0</v>
      </c>
      <c r="AD265" s="42" t="str">
        <f>C265&amp;A265</f>
        <v>TELEFONESAdm</v>
      </c>
      <c r="AE265" s="42" t="str">
        <f>IFERROR(VLOOKUP(C265,[34]Planilha1!$B:$C,2,0),"Não se Aplica")</f>
        <v>Sim</v>
      </c>
      <c r="AF265" s="42" t="str">
        <f>VLOOKUP(AD265,[34]Planilha1!$H:$J,3,0)</f>
        <v>Não</v>
      </c>
      <c r="AG265" s="43">
        <f t="shared" si="100"/>
        <v>1563.36</v>
      </c>
    </row>
    <row r="266" spans="1:33" x14ac:dyDescent="0.3">
      <c r="A266" s="1" t="s">
        <v>837</v>
      </c>
      <c r="B266" s="34" t="s">
        <v>28</v>
      </c>
      <c r="C266" s="35" t="s">
        <v>249</v>
      </c>
      <c r="D266" s="36" t="s">
        <v>338</v>
      </c>
      <c r="E266" s="36" t="s">
        <v>334</v>
      </c>
      <c r="F266" s="34" t="s">
        <v>21</v>
      </c>
      <c r="G266" s="34" t="s">
        <v>32</v>
      </c>
      <c r="H266" s="34" t="s">
        <v>50</v>
      </c>
      <c r="I266" s="37">
        <f t="shared" si="102"/>
        <v>130.72999999999999</v>
      </c>
      <c r="J266" s="37">
        <f t="shared" si="103"/>
        <v>130.72999999999999</v>
      </c>
      <c r="K266" s="37">
        <f t="shared" si="104"/>
        <v>130.72999999999999</v>
      </c>
      <c r="L266" s="37">
        <f t="shared" si="105"/>
        <v>130.72999999999999</v>
      </c>
      <c r="M266" s="37">
        <f t="shared" si="106"/>
        <v>130.72999999999999</v>
      </c>
      <c r="N266" s="37">
        <f t="shared" si="107"/>
        <v>130.72999999999999</v>
      </c>
      <c r="O266" s="37">
        <f t="shared" si="108"/>
        <v>130.72999999999999</v>
      </c>
      <c r="P266" s="37">
        <f t="shared" si="109"/>
        <v>130.72999999999999</v>
      </c>
      <c r="Q266" s="37">
        <f t="shared" si="110"/>
        <v>130.72999999999999</v>
      </c>
      <c r="R266" s="37">
        <f t="shared" si="111"/>
        <v>130.72999999999999</v>
      </c>
      <c r="S266" s="37">
        <f t="shared" si="112"/>
        <v>130.72999999999999</v>
      </c>
      <c r="T266" s="37">
        <f t="shared" si="113"/>
        <v>130.72999999999999</v>
      </c>
      <c r="U266" s="37">
        <f t="shared" si="101"/>
        <v>1568.76</v>
      </c>
      <c r="V266" s="6"/>
      <c r="W266" s="51">
        <v>130.72999999999999</v>
      </c>
      <c r="X266" s="39">
        <v>46304</v>
      </c>
      <c r="Y266" s="40" t="s">
        <v>54</v>
      </c>
      <c r="Z266" s="40"/>
      <c r="AA266" s="40" t="s">
        <v>56</v>
      </c>
      <c r="AB266" s="41">
        <v>0</v>
      </c>
      <c r="AD266" s="42" t="str">
        <f>C266&amp;A266</f>
        <v>TELEFONESAdm</v>
      </c>
      <c r="AE266" s="42" t="str">
        <f>IFERROR(VLOOKUP(C266,[34]Planilha1!$B:$C,2,0),"Não se Aplica")</f>
        <v>Sim</v>
      </c>
      <c r="AF266" s="42" t="str">
        <f>VLOOKUP(AD266,[34]Planilha1!$H:$J,3,0)</f>
        <v>Não</v>
      </c>
      <c r="AG266" s="43">
        <f t="shared" si="100"/>
        <v>1568.76</v>
      </c>
    </row>
    <row r="267" spans="1:33" x14ac:dyDescent="0.3">
      <c r="A267" s="1" t="s">
        <v>836</v>
      </c>
      <c r="B267" s="34" t="s">
        <v>28</v>
      </c>
      <c r="C267" s="35" t="s">
        <v>249</v>
      </c>
      <c r="D267" s="36" t="s">
        <v>338</v>
      </c>
      <c r="E267" s="36" t="s">
        <v>334</v>
      </c>
      <c r="F267" s="34" t="s">
        <v>24</v>
      </c>
      <c r="G267" s="34" t="s">
        <v>32</v>
      </c>
      <c r="H267" s="34" t="s">
        <v>50</v>
      </c>
      <c r="I267" s="37">
        <f t="shared" si="102"/>
        <v>80.180000000000007</v>
      </c>
      <c r="J267" s="37">
        <f t="shared" si="103"/>
        <v>80.180000000000007</v>
      </c>
      <c r="K267" s="37">
        <f t="shared" si="104"/>
        <v>80.180000000000007</v>
      </c>
      <c r="L267" s="37">
        <f t="shared" si="105"/>
        <v>80.180000000000007</v>
      </c>
      <c r="M267" s="37">
        <f t="shared" si="106"/>
        <v>80.180000000000007</v>
      </c>
      <c r="N267" s="37">
        <f t="shared" si="107"/>
        <v>80.180000000000007</v>
      </c>
      <c r="O267" s="37">
        <f t="shared" si="108"/>
        <v>80.180000000000007</v>
      </c>
      <c r="P267" s="37">
        <f t="shared" si="109"/>
        <v>80.180000000000007</v>
      </c>
      <c r="Q267" s="37">
        <f t="shared" si="110"/>
        <v>80.180000000000007</v>
      </c>
      <c r="R267" s="37">
        <f t="shared" si="111"/>
        <v>80.180000000000007</v>
      </c>
      <c r="S267" s="37">
        <f t="shared" si="112"/>
        <v>80.180000000000007</v>
      </c>
      <c r="T267" s="37">
        <f t="shared" si="113"/>
        <v>80.180000000000007</v>
      </c>
      <c r="U267" s="37">
        <f t="shared" si="101"/>
        <v>962.16000000000031</v>
      </c>
      <c r="V267" s="6"/>
      <c r="W267" s="51">
        <v>80.180000000000007</v>
      </c>
      <c r="X267" s="39">
        <v>46304</v>
      </c>
      <c r="Y267" s="40" t="s">
        <v>54</v>
      </c>
      <c r="Z267" s="40"/>
      <c r="AA267" s="40" t="s">
        <v>56</v>
      </c>
      <c r="AB267" s="41">
        <v>0</v>
      </c>
      <c r="AD267" s="42" t="str">
        <f>C267&amp;A267</f>
        <v>TELEFONESOper</v>
      </c>
      <c r="AE267" s="42" t="str">
        <f>IFERROR(VLOOKUP(C267,[34]Planilha1!$B:$C,2,0),"Não se Aplica")</f>
        <v>Sim</v>
      </c>
      <c r="AF267" s="42" t="str">
        <f>VLOOKUP(AD267,[34]Planilha1!$H:$J,3,0)</f>
        <v>Não</v>
      </c>
      <c r="AG267" s="43">
        <f t="shared" si="100"/>
        <v>962.16000000000031</v>
      </c>
    </row>
    <row r="268" spans="1:33" x14ac:dyDescent="0.3">
      <c r="A268" s="1" t="s">
        <v>837</v>
      </c>
      <c r="B268" s="34" t="s">
        <v>28</v>
      </c>
      <c r="C268" s="35" t="s">
        <v>249</v>
      </c>
      <c r="D268" s="36" t="s">
        <v>338</v>
      </c>
      <c r="E268" s="36" t="s">
        <v>334</v>
      </c>
      <c r="F268" s="34" t="s">
        <v>254</v>
      </c>
      <c r="G268" s="34" t="s">
        <v>32</v>
      </c>
      <c r="H268" s="34" t="s">
        <v>50</v>
      </c>
      <c r="I268" s="37">
        <f t="shared" si="102"/>
        <v>108.44</v>
      </c>
      <c r="J268" s="37">
        <f t="shared" si="103"/>
        <v>108.44</v>
      </c>
      <c r="K268" s="37">
        <f t="shared" si="104"/>
        <v>108.44</v>
      </c>
      <c r="L268" s="37">
        <f t="shared" si="105"/>
        <v>108.44</v>
      </c>
      <c r="M268" s="37">
        <f t="shared" si="106"/>
        <v>108.44</v>
      </c>
      <c r="N268" s="37">
        <f t="shared" si="107"/>
        <v>108.44</v>
      </c>
      <c r="O268" s="37">
        <f t="shared" si="108"/>
        <v>108.44</v>
      </c>
      <c r="P268" s="37">
        <f t="shared" si="109"/>
        <v>108.44</v>
      </c>
      <c r="Q268" s="37">
        <f t="shared" si="110"/>
        <v>108.44</v>
      </c>
      <c r="R268" s="37">
        <f t="shared" si="111"/>
        <v>108.44</v>
      </c>
      <c r="S268" s="37">
        <f t="shared" si="112"/>
        <v>108.44</v>
      </c>
      <c r="T268" s="37">
        <f t="shared" si="113"/>
        <v>108.44</v>
      </c>
      <c r="U268" s="37">
        <f t="shared" si="101"/>
        <v>1301.2800000000004</v>
      </c>
      <c r="V268" s="6"/>
      <c r="W268" s="51">
        <v>108.44</v>
      </c>
      <c r="X268" s="39">
        <v>46304</v>
      </c>
      <c r="Y268" s="40" t="s">
        <v>54</v>
      </c>
      <c r="Z268" s="40"/>
      <c r="AA268" s="40" t="s">
        <v>56</v>
      </c>
      <c r="AB268" s="41">
        <v>0</v>
      </c>
      <c r="AD268" s="42" t="str">
        <f>C268&amp;A268</f>
        <v>TELEFONESAdm</v>
      </c>
      <c r="AE268" s="42" t="str">
        <f>IFERROR(VLOOKUP(C268,[34]Planilha1!$B:$C,2,0),"Não se Aplica")</f>
        <v>Sim</v>
      </c>
      <c r="AF268" s="42" t="str">
        <f>VLOOKUP(AD268,[34]Planilha1!$H:$J,3,0)</f>
        <v>Não</v>
      </c>
      <c r="AG268" s="43">
        <f t="shared" si="100"/>
        <v>1301.2800000000004</v>
      </c>
    </row>
    <row r="269" spans="1:33" x14ac:dyDescent="0.3">
      <c r="A269" s="1" t="s">
        <v>837</v>
      </c>
      <c r="B269" s="34" t="s">
        <v>28</v>
      </c>
      <c r="C269" s="35" t="s">
        <v>249</v>
      </c>
      <c r="D269" s="36" t="s">
        <v>338</v>
      </c>
      <c r="E269" s="36" t="s">
        <v>334</v>
      </c>
      <c r="F269" s="34" t="s">
        <v>49</v>
      </c>
      <c r="G269" s="34" t="s">
        <v>32</v>
      </c>
      <c r="H269" s="34" t="s">
        <v>50</v>
      </c>
      <c r="I269" s="37">
        <f t="shared" si="102"/>
        <v>1996.49</v>
      </c>
      <c r="J269" s="37">
        <f t="shared" si="103"/>
        <v>1996.49</v>
      </c>
      <c r="K269" s="37">
        <f t="shared" si="104"/>
        <v>1996.49</v>
      </c>
      <c r="L269" s="37">
        <f t="shared" si="105"/>
        <v>1996.49</v>
      </c>
      <c r="M269" s="37">
        <f t="shared" si="106"/>
        <v>1996.49</v>
      </c>
      <c r="N269" s="37">
        <f t="shared" si="107"/>
        <v>1996.49</v>
      </c>
      <c r="O269" s="37">
        <f t="shared" si="108"/>
        <v>1996.49</v>
      </c>
      <c r="P269" s="37">
        <f t="shared" si="109"/>
        <v>1996.49</v>
      </c>
      <c r="Q269" s="37">
        <f t="shared" si="110"/>
        <v>1996.49</v>
      </c>
      <c r="R269" s="37">
        <f t="shared" si="111"/>
        <v>1996.49</v>
      </c>
      <c r="S269" s="37">
        <f t="shared" si="112"/>
        <v>1996.49</v>
      </c>
      <c r="T269" s="37">
        <f t="shared" si="113"/>
        <v>1996.49</v>
      </c>
      <c r="U269" s="37">
        <f t="shared" si="101"/>
        <v>23957.880000000005</v>
      </c>
      <c r="V269" s="6"/>
      <c r="W269" s="51">
        <v>1996.49</v>
      </c>
      <c r="X269" s="39">
        <v>46304</v>
      </c>
      <c r="Y269" s="40" t="s">
        <v>54</v>
      </c>
      <c r="Z269" s="40"/>
      <c r="AA269" s="40" t="s">
        <v>56</v>
      </c>
      <c r="AB269" s="41">
        <v>0</v>
      </c>
      <c r="AD269" s="42" t="str">
        <f>C269&amp;A269</f>
        <v>TELEFONESAdm</v>
      </c>
      <c r="AE269" s="42" t="str">
        <f>IFERROR(VLOOKUP(C269,[34]Planilha1!$B:$C,2,0),"Não se Aplica")</f>
        <v>Sim</v>
      </c>
      <c r="AF269" s="42" t="str">
        <f>VLOOKUP(AD269,[34]Planilha1!$H:$J,3,0)</f>
        <v>Não</v>
      </c>
      <c r="AG269" s="43">
        <f t="shared" si="100"/>
        <v>23957.880000000005</v>
      </c>
    </row>
    <row r="270" spans="1:33" x14ac:dyDescent="0.3">
      <c r="A270" s="1" t="s">
        <v>837</v>
      </c>
      <c r="B270" s="34" t="s">
        <v>28</v>
      </c>
      <c r="C270" s="35" t="s">
        <v>249</v>
      </c>
      <c r="D270" s="36" t="s">
        <v>338</v>
      </c>
      <c r="E270" s="36" t="s">
        <v>334</v>
      </c>
      <c r="F270" s="34" t="s">
        <v>127</v>
      </c>
      <c r="G270" s="34" t="s">
        <v>32</v>
      </c>
      <c r="H270" s="34" t="s">
        <v>50</v>
      </c>
      <c r="I270" s="37">
        <f t="shared" si="102"/>
        <v>81.099999999999994</v>
      </c>
      <c r="J270" s="37">
        <f t="shared" si="103"/>
        <v>81.099999999999994</v>
      </c>
      <c r="K270" s="37">
        <f t="shared" si="104"/>
        <v>81.099999999999994</v>
      </c>
      <c r="L270" s="37">
        <f t="shared" si="105"/>
        <v>81.099999999999994</v>
      </c>
      <c r="M270" s="37">
        <f t="shared" si="106"/>
        <v>81.099999999999994</v>
      </c>
      <c r="N270" s="37">
        <f t="shared" si="107"/>
        <v>81.099999999999994</v>
      </c>
      <c r="O270" s="37">
        <f t="shared" si="108"/>
        <v>81.099999999999994</v>
      </c>
      <c r="P270" s="37">
        <f t="shared" si="109"/>
        <v>81.099999999999994</v>
      </c>
      <c r="Q270" s="37">
        <f t="shared" si="110"/>
        <v>81.099999999999994</v>
      </c>
      <c r="R270" s="37">
        <f t="shared" si="111"/>
        <v>81.099999999999994</v>
      </c>
      <c r="S270" s="37">
        <f t="shared" si="112"/>
        <v>81.099999999999994</v>
      </c>
      <c r="T270" s="37">
        <f t="shared" si="113"/>
        <v>81.099999999999994</v>
      </c>
      <c r="U270" s="37">
        <f t="shared" si="101"/>
        <v>973.20000000000016</v>
      </c>
      <c r="V270" s="6"/>
      <c r="W270" s="51">
        <v>81.099999999999994</v>
      </c>
      <c r="X270" s="39">
        <v>46304</v>
      </c>
      <c r="Y270" s="40" t="s">
        <v>54</v>
      </c>
      <c r="Z270" s="40"/>
      <c r="AA270" s="40" t="s">
        <v>56</v>
      </c>
      <c r="AB270" s="41">
        <v>0</v>
      </c>
      <c r="AD270" s="42" t="str">
        <f>C270&amp;A270</f>
        <v>TELEFONESAdm</v>
      </c>
      <c r="AE270" s="42" t="str">
        <f>IFERROR(VLOOKUP(C270,[34]Planilha1!$B:$C,2,0),"Não se Aplica")</f>
        <v>Sim</v>
      </c>
      <c r="AF270" s="42" t="str">
        <f>VLOOKUP(AD270,[34]Planilha1!$H:$J,3,0)</f>
        <v>Não</v>
      </c>
      <c r="AG270" s="43">
        <f t="shared" si="100"/>
        <v>973.20000000000016</v>
      </c>
    </row>
    <row r="271" spans="1:33" x14ac:dyDescent="0.3">
      <c r="A271" s="1" t="s">
        <v>837</v>
      </c>
      <c r="B271" s="34" t="s">
        <v>20</v>
      </c>
      <c r="C271" s="35" t="s">
        <v>249</v>
      </c>
      <c r="D271" s="36" t="s">
        <v>340</v>
      </c>
      <c r="E271" s="36" t="s">
        <v>334</v>
      </c>
      <c r="F271" s="34" t="s">
        <v>34</v>
      </c>
      <c r="G271" s="34" t="s">
        <v>32</v>
      </c>
      <c r="H271" s="34" t="s">
        <v>50</v>
      </c>
      <c r="I271" s="37">
        <f t="shared" si="102"/>
        <v>327.20999999999998</v>
      </c>
      <c r="J271" s="37">
        <f t="shared" si="103"/>
        <v>327.20999999999998</v>
      </c>
      <c r="K271" s="37">
        <f t="shared" si="104"/>
        <v>327.20999999999998</v>
      </c>
      <c r="L271" s="37">
        <f t="shared" si="105"/>
        <v>327.20999999999998</v>
      </c>
      <c r="M271" s="37">
        <f t="shared" si="106"/>
        <v>327.20999999999998</v>
      </c>
      <c r="N271" s="37">
        <f t="shared" si="107"/>
        <v>327.20999999999998</v>
      </c>
      <c r="O271" s="37">
        <f t="shared" si="108"/>
        <v>327.20999999999998</v>
      </c>
      <c r="P271" s="37">
        <f t="shared" si="109"/>
        <v>327.20999999999998</v>
      </c>
      <c r="Q271" s="37">
        <f t="shared" si="110"/>
        <v>327.20999999999998</v>
      </c>
      <c r="R271" s="37">
        <f t="shared" si="111"/>
        <v>327.20999999999998</v>
      </c>
      <c r="S271" s="37">
        <f t="shared" si="112"/>
        <v>327.20999999999998</v>
      </c>
      <c r="T271" s="37">
        <f t="shared" si="113"/>
        <v>327.20999999999998</v>
      </c>
      <c r="U271" s="37">
        <f t="shared" si="101"/>
        <v>3926.52</v>
      </c>
      <c r="V271" s="6"/>
      <c r="W271" s="51">
        <v>327.20999999999998</v>
      </c>
      <c r="X271" s="39">
        <v>46304</v>
      </c>
      <c r="Y271" s="40" t="s">
        <v>54</v>
      </c>
      <c r="Z271" s="40"/>
      <c r="AA271" s="40" t="s">
        <v>56</v>
      </c>
      <c r="AB271" s="41">
        <v>0</v>
      </c>
      <c r="AD271" s="42" t="str">
        <f>C271&amp;A271</f>
        <v>TELEFONESAdm</v>
      </c>
      <c r="AE271" s="42" t="str">
        <f>IFERROR(VLOOKUP(C271,[34]Planilha1!$B:$C,2,0),"Não se Aplica")</f>
        <v>Sim</v>
      </c>
      <c r="AF271" s="42" t="str">
        <f>VLOOKUP(AD271,[34]Planilha1!$H:$J,3,0)</f>
        <v>Não</v>
      </c>
      <c r="AG271" s="43">
        <f t="shared" si="100"/>
        <v>3926.52</v>
      </c>
    </row>
    <row r="272" spans="1:33" x14ac:dyDescent="0.3">
      <c r="A272" s="1" t="s">
        <v>836</v>
      </c>
      <c r="B272" s="34" t="s">
        <v>20</v>
      </c>
      <c r="C272" s="35" t="s">
        <v>249</v>
      </c>
      <c r="D272" s="36" t="s">
        <v>341</v>
      </c>
      <c r="E272" s="36" t="s">
        <v>334</v>
      </c>
      <c r="F272" s="34" t="s">
        <v>335</v>
      </c>
      <c r="G272" s="34" t="s">
        <v>32</v>
      </c>
      <c r="H272" s="34" t="s">
        <v>50</v>
      </c>
      <c r="I272" s="37">
        <f t="shared" si="102"/>
        <v>893.5</v>
      </c>
      <c r="J272" s="37">
        <f t="shared" si="103"/>
        <v>893.5</v>
      </c>
      <c r="K272" s="37">
        <f t="shared" si="104"/>
        <v>893.5</v>
      </c>
      <c r="L272" s="37">
        <f t="shared" si="105"/>
        <v>893.5</v>
      </c>
      <c r="M272" s="37">
        <f t="shared" si="106"/>
        <v>893.5</v>
      </c>
      <c r="N272" s="37">
        <f t="shared" si="107"/>
        <v>893.5</v>
      </c>
      <c r="O272" s="37">
        <f t="shared" si="108"/>
        <v>893.5</v>
      </c>
      <c r="P272" s="37">
        <f t="shared" si="109"/>
        <v>893.5</v>
      </c>
      <c r="Q272" s="37">
        <f t="shared" si="110"/>
        <v>893.5</v>
      </c>
      <c r="R272" s="37">
        <f t="shared" si="111"/>
        <v>893.5</v>
      </c>
      <c r="S272" s="37">
        <f t="shared" si="112"/>
        <v>893.5</v>
      </c>
      <c r="T272" s="37">
        <f t="shared" si="113"/>
        <v>893.5</v>
      </c>
      <c r="U272" s="37">
        <f t="shared" si="101"/>
        <v>10722</v>
      </c>
      <c r="V272" s="6"/>
      <c r="W272" s="51">
        <v>893.5</v>
      </c>
      <c r="X272" s="39">
        <v>46304</v>
      </c>
      <c r="Y272" s="40" t="s">
        <v>54</v>
      </c>
      <c r="Z272" s="40"/>
      <c r="AA272" s="40" t="s">
        <v>56</v>
      </c>
      <c r="AB272" s="41">
        <v>0</v>
      </c>
      <c r="AD272" s="42" t="str">
        <f>C272&amp;A272</f>
        <v>TELEFONESOper</v>
      </c>
      <c r="AE272" s="42" t="str">
        <f>IFERROR(VLOOKUP(C272,[34]Planilha1!$B:$C,2,0),"Não se Aplica")</f>
        <v>Sim</v>
      </c>
      <c r="AF272" s="42" t="str">
        <f>VLOOKUP(AD272,[34]Planilha1!$H:$J,3,0)</f>
        <v>Não</v>
      </c>
      <c r="AG272" s="43">
        <f t="shared" si="100"/>
        <v>10722</v>
      </c>
    </row>
    <row r="273" spans="1:33" x14ac:dyDescent="0.3">
      <c r="A273" s="1" t="s">
        <v>836</v>
      </c>
      <c r="B273" s="34" t="s">
        <v>20</v>
      </c>
      <c r="C273" s="35" t="s">
        <v>249</v>
      </c>
      <c r="D273" s="36" t="s">
        <v>341</v>
      </c>
      <c r="E273" s="36" t="s">
        <v>334</v>
      </c>
      <c r="F273" s="34" t="s">
        <v>336</v>
      </c>
      <c r="G273" s="34" t="s">
        <v>32</v>
      </c>
      <c r="H273" s="34" t="s">
        <v>50</v>
      </c>
      <c r="I273" s="37">
        <f t="shared" si="102"/>
        <v>931.33</v>
      </c>
      <c r="J273" s="37">
        <f t="shared" si="103"/>
        <v>931.33</v>
      </c>
      <c r="K273" s="37">
        <f t="shared" si="104"/>
        <v>931.33</v>
      </c>
      <c r="L273" s="37">
        <f t="shared" si="105"/>
        <v>931.33</v>
      </c>
      <c r="M273" s="37">
        <f t="shared" si="106"/>
        <v>931.33</v>
      </c>
      <c r="N273" s="37">
        <f t="shared" si="107"/>
        <v>931.33</v>
      </c>
      <c r="O273" s="37">
        <f t="shared" si="108"/>
        <v>931.33</v>
      </c>
      <c r="P273" s="37">
        <f t="shared" si="109"/>
        <v>931.33</v>
      </c>
      <c r="Q273" s="37">
        <f t="shared" si="110"/>
        <v>931.33</v>
      </c>
      <c r="R273" s="37">
        <f t="shared" si="111"/>
        <v>931.33</v>
      </c>
      <c r="S273" s="37">
        <f t="shared" si="112"/>
        <v>931.33</v>
      </c>
      <c r="T273" s="37">
        <f t="shared" si="113"/>
        <v>931.33</v>
      </c>
      <c r="U273" s="37">
        <f t="shared" si="101"/>
        <v>11175.960000000001</v>
      </c>
      <c r="V273" s="6"/>
      <c r="W273" s="51">
        <v>931.33</v>
      </c>
      <c r="X273" s="39">
        <v>46304</v>
      </c>
      <c r="Y273" s="40" t="s">
        <v>54</v>
      </c>
      <c r="Z273" s="40"/>
      <c r="AA273" s="40" t="s">
        <v>56</v>
      </c>
      <c r="AB273" s="41">
        <v>0</v>
      </c>
      <c r="AD273" s="42" t="str">
        <f>C273&amp;A273</f>
        <v>TELEFONESOper</v>
      </c>
      <c r="AE273" s="42" t="str">
        <f>IFERROR(VLOOKUP(C273,[34]Planilha1!$B:$C,2,0),"Não se Aplica")</f>
        <v>Sim</v>
      </c>
      <c r="AF273" s="42" t="str">
        <f>VLOOKUP(AD273,[34]Planilha1!$H:$J,3,0)</f>
        <v>Não</v>
      </c>
      <c r="AG273" s="43">
        <f t="shared" si="100"/>
        <v>11175.960000000001</v>
      </c>
    </row>
    <row r="274" spans="1:33" x14ac:dyDescent="0.3">
      <c r="A274" s="1" t="s">
        <v>836</v>
      </c>
      <c r="B274" s="34" t="s">
        <v>20</v>
      </c>
      <c r="C274" s="35" t="s">
        <v>249</v>
      </c>
      <c r="D274" s="36" t="s">
        <v>341</v>
      </c>
      <c r="E274" s="36" t="s">
        <v>334</v>
      </c>
      <c r="F274" s="34" t="s">
        <v>339</v>
      </c>
      <c r="G274" s="34" t="s">
        <v>32</v>
      </c>
      <c r="H274" s="34" t="s">
        <v>50</v>
      </c>
      <c r="I274" s="37">
        <f t="shared" si="102"/>
        <v>171.04</v>
      </c>
      <c r="J274" s="37">
        <f t="shared" si="103"/>
        <v>171.04</v>
      </c>
      <c r="K274" s="37">
        <f t="shared" si="104"/>
        <v>171.04</v>
      </c>
      <c r="L274" s="37">
        <f t="shared" si="105"/>
        <v>171.04</v>
      </c>
      <c r="M274" s="37">
        <f t="shared" si="106"/>
        <v>171.04</v>
      </c>
      <c r="N274" s="37">
        <f t="shared" si="107"/>
        <v>171.04</v>
      </c>
      <c r="O274" s="37">
        <f t="shared" si="108"/>
        <v>171.04</v>
      </c>
      <c r="P274" s="37">
        <f t="shared" si="109"/>
        <v>171.04</v>
      </c>
      <c r="Q274" s="37">
        <f t="shared" si="110"/>
        <v>171.04</v>
      </c>
      <c r="R274" s="37">
        <f t="shared" si="111"/>
        <v>171.04</v>
      </c>
      <c r="S274" s="37">
        <f t="shared" si="112"/>
        <v>171.04</v>
      </c>
      <c r="T274" s="37">
        <f t="shared" si="113"/>
        <v>171.04</v>
      </c>
      <c r="U274" s="37">
        <f t="shared" si="101"/>
        <v>2052.48</v>
      </c>
      <c r="V274" s="6"/>
      <c r="W274" s="51">
        <v>171.04</v>
      </c>
      <c r="X274" s="39">
        <v>46304</v>
      </c>
      <c r="Y274" s="40" t="s">
        <v>54</v>
      </c>
      <c r="Z274" s="40"/>
      <c r="AA274" s="40" t="s">
        <v>56</v>
      </c>
      <c r="AB274" s="41">
        <v>0</v>
      </c>
      <c r="AD274" s="42" t="str">
        <f>C274&amp;A274</f>
        <v>TELEFONESOper</v>
      </c>
      <c r="AE274" s="42" t="str">
        <f>IFERROR(VLOOKUP(C274,[34]Planilha1!$B:$C,2,0),"Não se Aplica")</f>
        <v>Sim</v>
      </c>
      <c r="AF274" s="42" t="str">
        <f>VLOOKUP(AD274,[34]Planilha1!$H:$J,3,0)</f>
        <v>Não</v>
      </c>
      <c r="AG274" s="43">
        <f t="shared" ref="AG274:AG319" si="114">IF(AF274="Sim", U274 * 0.9075, U274)</f>
        <v>2052.48</v>
      </c>
    </row>
    <row r="275" spans="1:33" x14ac:dyDescent="0.3">
      <c r="A275" s="1" t="s">
        <v>836</v>
      </c>
      <c r="B275" s="34" t="s">
        <v>20</v>
      </c>
      <c r="C275" s="35" t="s">
        <v>249</v>
      </c>
      <c r="D275" s="36" t="s">
        <v>341</v>
      </c>
      <c r="E275" s="36" t="s">
        <v>334</v>
      </c>
      <c r="F275" s="34" t="s">
        <v>252</v>
      </c>
      <c r="G275" s="34" t="s">
        <v>32</v>
      </c>
      <c r="H275" s="34" t="s">
        <v>50</v>
      </c>
      <c r="I275" s="37">
        <f t="shared" si="102"/>
        <v>293.56</v>
      </c>
      <c r="J275" s="37">
        <f t="shared" si="103"/>
        <v>293.56</v>
      </c>
      <c r="K275" s="37">
        <f t="shared" si="104"/>
        <v>293.56</v>
      </c>
      <c r="L275" s="37">
        <f t="shared" si="105"/>
        <v>293.56</v>
      </c>
      <c r="M275" s="37">
        <f t="shared" si="106"/>
        <v>293.56</v>
      </c>
      <c r="N275" s="37">
        <f t="shared" si="107"/>
        <v>293.56</v>
      </c>
      <c r="O275" s="37">
        <f t="shared" si="108"/>
        <v>293.56</v>
      </c>
      <c r="P275" s="37">
        <f t="shared" si="109"/>
        <v>293.56</v>
      </c>
      <c r="Q275" s="37">
        <f t="shared" si="110"/>
        <v>293.56</v>
      </c>
      <c r="R275" s="37">
        <f t="shared" si="111"/>
        <v>293.56</v>
      </c>
      <c r="S275" s="37">
        <f t="shared" si="112"/>
        <v>293.56</v>
      </c>
      <c r="T275" s="37">
        <f t="shared" si="113"/>
        <v>293.56</v>
      </c>
      <c r="U275" s="37">
        <f t="shared" si="101"/>
        <v>3522.72</v>
      </c>
      <c r="V275" s="6"/>
      <c r="W275" s="51">
        <v>293.56</v>
      </c>
      <c r="X275" s="39">
        <v>46304</v>
      </c>
      <c r="Y275" s="40" t="s">
        <v>54</v>
      </c>
      <c r="Z275" s="40"/>
      <c r="AA275" s="40" t="s">
        <v>56</v>
      </c>
      <c r="AB275" s="41">
        <v>0</v>
      </c>
      <c r="AD275" s="42" t="str">
        <f>C275&amp;A275</f>
        <v>TELEFONESOper</v>
      </c>
      <c r="AE275" s="42" t="str">
        <f>IFERROR(VLOOKUP(C275,[34]Planilha1!$B:$C,2,0),"Não se Aplica")</f>
        <v>Sim</v>
      </c>
      <c r="AF275" s="42" t="str">
        <f>VLOOKUP(AD275,[34]Planilha1!$H:$J,3,0)</f>
        <v>Não</v>
      </c>
      <c r="AG275" s="43">
        <f t="shared" si="114"/>
        <v>3522.72</v>
      </c>
    </row>
    <row r="276" spans="1:33" x14ac:dyDescent="0.3">
      <c r="A276" s="1" t="s">
        <v>836</v>
      </c>
      <c r="B276" s="34" t="s">
        <v>20</v>
      </c>
      <c r="C276" s="35" t="s">
        <v>249</v>
      </c>
      <c r="D276" s="36" t="s">
        <v>341</v>
      </c>
      <c r="E276" s="36" t="s">
        <v>334</v>
      </c>
      <c r="F276" s="34" t="s">
        <v>37</v>
      </c>
      <c r="G276" s="34" t="s">
        <v>32</v>
      </c>
      <c r="H276" s="34" t="s">
        <v>50</v>
      </c>
      <c r="I276" s="37">
        <f t="shared" si="102"/>
        <v>792.05</v>
      </c>
      <c r="J276" s="37">
        <f t="shared" si="103"/>
        <v>792.05</v>
      </c>
      <c r="K276" s="37">
        <f t="shared" si="104"/>
        <v>792.05</v>
      </c>
      <c r="L276" s="37">
        <f t="shared" si="105"/>
        <v>792.05</v>
      </c>
      <c r="M276" s="37">
        <f t="shared" si="106"/>
        <v>792.05</v>
      </c>
      <c r="N276" s="37">
        <f t="shared" si="107"/>
        <v>792.05</v>
      </c>
      <c r="O276" s="37">
        <f t="shared" si="108"/>
        <v>792.05</v>
      </c>
      <c r="P276" s="37">
        <f t="shared" si="109"/>
        <v>792.05</v>
      </c>
      <c r="Q276" s="37">
        <f t="shared" si="110"/>
        <v>792.05</v>
      </c>
      <c r="R276" s="37">
        <f t="shared" si="111"/>
        <v>792.05</v>
      </c>
      <c r="S276" s="37">
        <f t="shared" si="112"/>
        <v>792.05</v>
      </c>
      <c r="T276" s="37">
        <f t="shared" si="113"/>
        <v>792.05</v>
      </c>
      <c r="U276" s="37">
        <f t="shared" si="101"/>
        <v>9504.6</v>
      </c>
      <c r="V276" s="6"/>
      <c r="W276" s="51">
        <v>792.05</v>
      </c>
      <c r="X276" s="39">
        <v>46304</v>
      </c>
      <c r="Y276" s="40" t="s">
        <v>54</v>
      </c>
      <c r="Z276" s="40"/>
      <c r="AA276" s="40" t="s">
        <v>56</v>
      </c>
      <c r="AB276" s="41">
        <v>0</v>
      </c>
      <c r="AD276" s="42" t="str">
        <f>C276&amp;A276</f>
        <v>TELEFONESOper</v>
      </c>
      <c r="AE276" s="42" t="str">
        <f>IFERROR(VLOOKUP(C276,[34]Planilha1!$B:$C,2,0),"Não se Aplica")</f>
        <v>Sim</v>
      </c>
      <c r="AF276" s="42" t="str">
        <f>VLOOKUP(AD276,[34]Planilha1!$H:$J,3,0)</f>
        <v>Não</v>
      </c>
      <c r="AG276" s="43">
        <f t="shared" si="114"/>
        <v>9504.6</v>
      </c>
    </row>
    <row r="277" spans="1:33" x14ac:dyDescent="0.3">
      <c r="A277" s="1" t="s">
        <v>836</v>
      </c>
      <c r="B277" s="34" t="s">
        <v>20</v>
      </c>
      <c r="C277" s="35" t="s">
        <v>249</v>
      </c>
      <c r="D277" s="36" t="s">
        <v>341</v>
      </c>
      <c r="E277" s="36" t="s">
        <v>334</v>
      </c>
      <c r="F277" s="28" t="s">
        <v>122</v>
      </c>
      <c r="G277" s="34" t="s">
        <v>32</v>
      </c>
      <c r="H277" s="34" t="s">
        <v>50</v>
      </c>
      <c r="I277" s="37">
        <f t="shared" si="102"/>
        <v>730.8</v>
      </c>
      <c r="J277" s="37">
        <f t="shared" si="103"/>
        <v>730.8</v>
      </c>
      <c r="K277" s="37">
        <f t="shared" si="104"/>
        <v>730.8</v>
      </c>
      <c r="L277" s="37">
        <f t="shared" si="105"/>
        <v>730.8</v>
      </c>
      <c r="M277" s="37">
        <f t="shared" si="106"/>
        <v>730.8</v>
      </c>
      <c r="N277" s="37">
        <f t="shared" si="107"/>
        <v>730.8</v>
      </c>
      <c r="O277" s="37">
        <f t="shared" si="108"/>
        <v>730.8</v>
      </c>
      <c r="P277" s="37">
        <f t="shared" si="109"/>
        <v>730.8</v>
      </c>
      <c r="Q277" s="37">
        <f t="shared" si="110"/>
        <v>730.8</v>
      </c>
      <c r="R277" s="37">
        <f t="shared" si="111"/>
        <v>730.8</v>
      </c>
      <c r="S277" s="37">
        <f t="shared" si="112"/>
        <v>730.8</v>
      </c>
      <c r="T277" s="37">
        <f t="shared" si="113"/>
        <v>730.8</v>
      </c>
      <c r="U277" s="37">
        <f t="shared" si="101"/>
        <v>8769.6</v>
      </c>
      <c r="V277" s="6"/>
      <c r="W277" s="51">
        <v>730.8</v>
      </c>
      <c r="X277" s="39">
        <v>46304</v>
      </c>
      <c r="Y277" s="40" t="s">
        <v>54</v>
      </c>
      <c r="Z277" s="40"/>
      <c r="AA277" s="40" t="s">
        <v>56</v>
      </c>
      <c r="AB277" s="41">
        <v>0</v>
      </c>
      <c r="AD277" s="42" t="str">
        <f>C277&amp;A277</f>
        <v>TELEFONESOper</v>
      </c>
      <c r="AE277" s="42" t="str">
        <f>IFERROR(VLOOKUP(C277,[34]Planilha1!$B:$C,2,0),"Não se Aplica")</f>
        <v>Sim</v>
      </c>
      <c r="AF277" s="42" t="str">
        <f>VLOOKUP(AD277,[34]Planilha1!$H:$J,3,0)</f>
        <v>Não</v>
      </c>
      <c r="AG277" s="43">
        <f t="shared" si="114"/>
        <v>8769.6</v>
      </c>
    </row>
    <row r="278" spans="1:33" x14ac:dyDescent="0.3">
      <c r="A278" s="1" t="s">
        <v>836</v>
      </c>
      <c r="B278" s="34" t="s">
        <v>20</v>
      </c>
      <c r="C278" s="35" t="s">
        <v>249</v>
      </c>
      <c r="D278" s="36" t="s">
        <v>341</v>
      </c>
      <c r="E278" s="36" t="s">
        <v>334</v>
      </c>
      <c r="F278" s="34" t="s">
        <v>25</v>
      </c>
      <c r="G278" s="34" t="s">
        <v>32</v>
      </c>
      <c r="H278" s="34" t="s">
        <v>50</v>
      </c>
      <c r="I278" s="37">
        <f t="shared" si="102"/>
        <v>791.48</v>
      </c>
      <c r="J278" s="37">
        <f t="shared" si="103"/>
        <v>791.48</v>
      </c>
      <c r="K278" s="37">
        <f t="shared" si="104"/>
        <v>791.48</v>
      </c>
      <c r="L278" s="37">
        <f t="shared" si="105"/>
        <v>791.48</v>
      </c>
      <c r="M278" s="37">
        <f t="shared" si="106"/>
        <v>791.48</v>
      </c>
      <c r="N278" s="37">
        <f t="shared" si="107"/>
        <v>791.48</v>
      </c>
      <c r="O278" s="37">
        <f t="shared" si="108"/>
        <v>791.48</v>
      </c>
      <c r="P278" s="37">
        <f t="shared" si="109"/>
        <v>791.48</v>
      </c>
      <c r="Q278" s="37">
        <f t="shared" si="110"/>
        <v>791.48</v>
      </c>
      <c r="R278" s="37">
        <f t="shared" si="111"/>
        <v>791.48</v>
      </c>
      <c r="S278" s="37">
        <f t="shared" si="112"/>
        <v>791.48</v>
      </c>
      <c r="T278" s="37">
        <f t="shared" si="113"/>
        <v>791.48</v>
      </c>
      <c r="U278" s="37">
        <f t="shared" si="101"/>
        <v>9497.7599999999984</v>
      </c>
      <c r="V278" s="6"/>
      <c r="W278" s="51">
        <v>791.48</v>
      </c>
      <c r="X278" s="39">
        <v>46304</v>
      </c>
      <c r="Y278" s="40" t="s">
        <v>54</v>
      </c>
      <c r="Z278" s="40"/>
      <c r="AA278" s="40" t="s">
        <v>56</v>
      </c>
      <c r="AB278" s="41">
        <v>0</v>
      </c>
      <c r="AD278" s="42" t="str">
        <f>C278&amp;A278</f>
        <v>TELEFONESOper</v>
      </c>
      <c r="AE278" s="42" t="str">
        <f>IFERROR(VLOOKUP(C278,[34]Planilha1!$B:$C,2,0),"Não se Aplica")</f>
        <v>Sim</v>
      </c>
      <c r="AF278" s="42" t="str">
        <f>VLOOKUP(AD278,[34]Planilha1!$H:$J,3,0)</f>
        <v>Não</v>
      </c>
      <c r="AG278" s="43">
        <f t="shared" si="114"/>
        <v>9497.7599999999984</v>
      </c>
    </row>
    <row r="279" spans="1:33" x14ac:dyDescent="0.3">
      <c r="A279" s="1" t="s">
        <v>836</v>
      </c>
      <c r="B279" s="34" t="s">
        <v>20</v>
      </c>
      <c r="C279" s="35" t="s">
        <v>249</v>
      </c>
      <c r="D279" s="36" t="s">
        <v>341</v>
      </c>
      <c r="E279" s="36" t="s">
        <v>334</v>
      </c>
      <c r="F279" s="34" t="s">
        <v>37</v>
      </c>
      <c r="G279" s="34" t="s">
        <v>32</v>
      </c>
      <c r="H279" s="34" t="s">
        <v>50</v>
      </c>
      <c r="I279" s="37">
        <f t="shared" si="102"/>
        <v>47.38</v>
      </c>
      <c r="J279" s="37">
        <f t="shared" si="103"/>
        <v>47.38</v>
      </c>
      <c r="K279" s="37">
        <f t="shared" si="104"/>
        <v>47.38</v>
      </c>
      <c r="L279" s="37">
        <f t="shared" si="105"/>
        <v>47.38</v>
      </c>
      <c r="M279" s="37">
        <f t="shared" si="106"/>
        <v>47.38</v>
      </c>
      <c r="N279" s="37">
        <f t="shared" si="107"/>
        <v>47.38</v>
      </c>
      <c r="O279" s="37">
        <f t="shared" si="108"/>
        <v>47.38</v>
      </c>
      <c r="P279" s="37">
        <f t="shared" si="109"/>
        <v>47.38</v>
      </c>
      <c r="Q279" s="37">
        <f t="shared" si="110"/>
        <v>47.38</v>
      </c>
      <c r="R279" s="37">
        <f t="shared" si="111"/>
        <v>47.38</v>
      </c>
      <c r="S279" s="37">
        <f t="shared" si="112"/>
        <v>47.38</v>
      </c>
      <c r="T279" s="37">
        <f t="shared" si="113"/>
        <v>47.38</v>
      </c>
      <c r="U279" s="37">
        <f t="shared" ref="U279:U324" si="115">SUM(I279:T279)</f>
        <v>568.56000000000006</v>
      </c>
      <c r="V279" s="6"/>
      <c r="W279" s="51">
        <v>47.38</v>
      </c>
      <c r="X279" s="39">
        <v>46304</v>
      </c>
      <c r="Y279" s="40" t="s">
        <v>54</v>
      </c>
      <c r="Z279" s="40"/>
      <c r="AA279" s="40" t="s">
        <v>56</v>
      </c>
      <c r="AB279" s="41">
        <v>0</v>
      </c>
      <c r="AD279" s="42" t="str">
        <f>C279&amp;A279</f>
        <v>TELEFONESOper</v>
      </c>
      <c r="AE279" s="42" t="str">
        <f>IFERROR(VLOOKUP(C279,[34]Planilha1!$B:$C,2,0),"Não se Aplica")</f>
        <v>Sim</v>
      </c>
      <c r="AF279" s="42" t="str">
        <f>VLOOKUP(AD279,[34]Planilha1!$H:$J,3,0)</f>
        <v>Não</v>
      </c>
      <c r="AG279" s="43">
        <f t="shared" si="114"/>
        <v>568.56000000000006</v>
      </c>
    </row>
    <row r="280" spans="1:33" x14ac:dyDescent="0.3">
      <c r="A280" s="1" t="s">
        <v>837</v>
      </c>
      <c r="B280" s="34" t="s">
        <v>20</v>
      </c>
      <c r="C280" s="35" t="s">
        <v>249</v>
      </c>
      <c r="D280" s="36" t="s">
        <v>341</v>
      </c>
      <c r="E280" s="36" t="s">
        <v>334</v>
      </c>
      <c r="F280" s="34" t="s">
        <v>26</v>
      </c>
      <c r="G280" s="34" t="s">
        <v>32</v>
      </c>
      <c r="H280" s="34" t="s">
        <v>50</v>
      </c>
      <c r="I280" s="37">
        <f t="shared" si="102"/>
        <v>294.76</v>
      </c>
      <c r="J280" s="37">
        <f t="shared" si="103"/>
        <v>294.76</v>
      </c>
      <c r="K280" s="37">
        <f t="shared" si="104"/>
        <v>294.76</v>
      </c>
      <c r="L280" s="37">
        <f t="shared" si="105"/>
        <v>294.76</v>
      </c>
      <c r="M280" s="37">
        <f t="shared" si="106"/>
        <v>294.76</v>
      </c>
      <c r="N280" s="37">
        <f t="shared" si="107"/>
        <v>294.76</v>
      </c>
      <c r="O280" s="37">
        <f t="shared" si="108"/>
        <v>294.76</v>
      </c>
      <c r="P280" s="37">
        <f t="shared" si="109"/>
        <v>294.76</v>
      </c>
      <c r="Q280" s="37">
        <f t="shared" si="110"/>
        <v>294.76</v>
      </c>
      <c r="R280" s="37">
        <f t="shared" si="111"/>
        <v>294.76</v>
      </c>
      <c r="S280" s="37">
        <f t="shared" si="112"/>
        <v>294.76</v>
      </c>
      <c r="T280" s="37">
        <f t="shared" si="113"/>
        <v>294.76</v>
      </c>
      <c r="U280" s="37">
        <f t="shared" si="115"/>
        <v>3537.1200000000008</v>
      </c>
      <c r="V280" s="6"/>
      <c r="W280" s="51">
        <v>294.76</v>
      </c>
      <c r="X280" s="39">
        <v>46304</v>
      </c>
      <c r="Y280" s="40" t="s">
        <v>54</v>
      </c>
      <c r="Z280" s="40"/>
      <c r="AA280" s="40" t="s">
        <v>56</v>
      </c>
      <c r="AB280" s="41">
        <v>0</v>
      </c>
      <c r="AD280" s="42" t="str">
        <f>C280&amp;A280</f>
        <v>TELEFONESAdm</v>
      </c>
      <c r="AE280" s="42" t="str">
        <f>IFERROR(VLOOKUP(C280,[34]Planilha1!$B:$C,2,0),"Não se Aplica")</f>
        <v>Sim</v>
      </c>
      <c r="AF280" s="42" t="str">
        <f>VLOOKUP(AD280,[34]Planilha1!$H:$J,3,0)</f>
        <v>Não</v>
      </c>
      <c r="AG280" s="43">
        <f t="shared" si="114"/>
        <v>3537.1200000000008</v>
      </c>
    </row>
    <row r="281" spans="1:33" x14ac:dyDescent="0.3">
      <c r="A281" s="1" t="s">
        <v>836</v>
      </c>
      <c r="B281" s="34" t="s">
        <v>20</v>
      </c>
      <c r="C281" s="35" t="s">
        <v>249</v>
      </c>
      <c r="D281" s="36" t="s">
        <v>341</v>
      </c>
      <c r="E281" s="36" t="s">
        <v>334</v>
      </c>
      <c r="F281" s="34" t="s">
        <v>122</v>
      </c>
      <c r="G281" s="34" t="s">
        <v>32</v>
      </c>
      <c r="H281" s="34" t="s">
        <v>50</v>
      </c>
      <c r="I281" s="37">
        <f t="shared" si="102"/>
        <v>389.9</v>
      </c>
      <c r="J281" s="37">
        <f t="shared" si="103"/>
        <v>389.9</v>
      </c>
      <c r="K281" s="37">
        <f t="shared" si="104"/>
        <v>389.9</v>
      </c>
      <c r="L281" s="37">
        <f t="shared" si="105"/>
        <v>389.9</v>
      </c>
      <c r="M281" s="37">
        <f t="shared" si="106"/>
        <v>389.9</v>
      </c>
      <c r="N281" s="37">
        <f t="shared" si="107"/>
        <v>389.9</v>
      </c>
      <c r="O281" s="37">
        <f t="shared" si="108"/>
        <v>389.9</v>
      </c>
      <c r="P281" s="37">
        <f t="shared" si="109"/>
        <v>389.9</v>
      </c>
      <c r="Q281" s="37">
        <f t="shared" si="110"/>
        <v>389.9</v>
      </c>
      <c r="R281" s="37">
        <f t="shared" si="111"/>
        <v>389.9</v>
      </c>
      <c r="S281" s="37">
        <f t="shared" si="112"/>
        <v>389.9</v>
      </c>
      <c r="T281" s="37">
        <f t="shared" si="113"/>
        <v>389.9</v>
      </c>
      <c r="U281" s="37">
        <f t="shared" si="115"/>
        <v>4678.8</v>
      </c>
      <c r="V281" s="6"/>
      <c r="W281" s="51">
        <v>389.9</v>
      </c>
      <c r="X281" s="39">
        <v>46304</v>
      </c>
      <c r="Y281" s="40" t="s">
        <v>54</v>
      </c>
      <c r="Z281" s="40"/>
      <c r="AA281" s="40" t="s">
        <v>56</v>
      </c>
      <c r="AB281" s="41">
        <v>0</v>
      </c>
      <c r="AD281" s="42" t="str">
        <f>C281&amp;A281</f>
        <v>TELEFONESOper</v>
      </c>
      <c r="AE281" s="42" t="str">
        <f>IFERROR(VLOOKUP(C281,[34]Planilha1!$B:$C,2,0),"Não se Aplica")</f>
        <v>Sim</v>
      </c>
      <c r="AF281" s="42" t="str">
        <f>VLOOKUP(AD281,[34]Planilha1!$H:$J,3,0)</f>
        <v>Não</v>
      </c>
      <c r="AG281" s="43">
        <f t="shared" si="114"/>
        <v>4678.8</v>
      </c>
    </row>
    <row r="282" spans="1:33" x14ac:dyDescent="0.3">
      <c r="A282" s="1" t="s">
        <v>836</v>
      </c>
      <c r="B282" s="34" t="s">
        <v>20</v>
      </c>
      <c r="C282" s="35" t="s">
        <v>249</v>
      </c>
      <c r="D282" s="36" t="s">
        <v>341</v>
      </c>
      <c r="E282" s="36" t="s">
        <v>334</v>
      </c>
      <c r="F282" s="34" t="s">
        <v>23</v>
      </c>
      <c r="G282" s="34" t="s">
        <v>32</v>
      </c>
      <c r="H282" s="34" t="s">
        <v>50</v>
      </c>
      <c r="I282" s="37">
        <f t="shared" si="102"/>
        <v>172.14</v>
      </c>
      <c r="J282" s="37">
        <f t="shared" si="103"/>
        <v>172.14</v>
      </c>
      <c r="K282" s="37">
        <f t="shared" si="104"/>
        <v>172.14</v>
      </c>
      <c r="L282" s="37">
        <f t="shared" si="105"/>
        <v>172.14</v>
      </c>
      <c r="M282" s="37">
        <f t="shared" si="106"/>
        <v>172.14</v>
      </c>
      <c r="N282" s="37">
        <f t="shared" si="107"/>
        <v>172.14</v>
      </c>
      <c r="O282" s="37">
        <f t="shared" si="108"/>
        <v>172.14</v>
      </c>
      <c r="P282" s="37">
        <f t="shared" si="109"/>
        <v>172.14</v>
      </c>
      <c r="Q282" s="37">
        <f t="shared" si="110"/>
        <v>172.14</v>
      </c>
      <c r="R282" s="37">
        <f t="shared" si="111"/>
        <v>172.14</v>
      </c>
      <c r="S282" s="37">
        <f t="shared" si="112"/>
        <v>172.14</v>
      </c>
      <c r="T282" s="37">
        <f t="shared" si="113"/>
        <v>172.14</v>
      </c>
      <c r="U282" s="37">
        <f t="shared" si="115"/>
        <v>2065.6799999999994</v>
      </c>
      <c r="V282" s="6"/>
      <c r="W282" s="51">
        <v>172.14</v>
      </c>
      <c r="X282" s="39">
        <v>46304</v>
      </c>
      <c r="Y282" s="40" t="s">
        <v>54</v>
      </c>
      <c r="Z282" s="40"/>
      <c r="AA282" s="40" t="s">
        <v>56</v>
      </c>
      <c r="AB282" s="41">
        <v>0</v>
      </c>
      <c r="AD282" s="42" t="str">
        <f>C282&amp;A282</f>
        <v>TELEFONESOper</v>
      </c>
      <c r="AE282" s="42" t="str">
        <f>IFERROR(VLOOKUP(C282,[34]Planilha1!$B:$C,2,0),"Não se Aplica")</f>
        <v>Sim</v>
      </c>
      <c r="AF282" s="42" t="str">
        <f>VLOOKUP(AD282,[34]Planilha1!$H:$J,3,0)</f>
        <v>Não</v>
      </c>
      <c r="AG282" s="43">
        <f t="shared" si="114"/>
        <v>2065.6799999999994</v>
      </c>
    </row>
    <row r="283" spans="1:33" x14ac:dyDescent="0.3">
      <c r="A283" s="1" t="s">
        <v>836</v>
      </c>
      <c r="B283" s="34" t="s">
        <v>20</v>
      </c>
      <c r="C283" s="35" t="s">
        <v>249</v>
      </c>
      <c r="D283" s="36" t="s">
        <v>341</v>
      </c>
      <c r="E283" s="36" t="s">
        <v>334</v>
      </c>
      <c r="F283" s="34" t="s">
        <v>41</v>
      </c>
      <c r="G283" s="34" t="s">
        <v>32</v>
      </c>
      <c r="H283" s="34" t="s">
        <v>50</v>
      </c>
      <c r="I283" s="37">
        <f t="shared" si="102"/>
        <v>397.35</v>
      </c>
      <c r="J283" s="37">
        <f t="shared" si="103"/>
        <v>397.35</v>
      </c>
      <c r="K283" s="37">
        <f t="shared" si="104"/>
        <v>397.35</v>
      </c>
      <c r="L283" s="37">
        <f t="shared" si="105"/>
        <v>397.35</v>
      </c>
      <c r="M283" s="37">
        <f t="shared" si="106"/>
        <v>397.35</v>
      </c>
      <c r="N283" s="37">
        <f t="shared" si="107"/>
        <v>397.35</v>
      </c>
      <c r="O283" s="37">
        <f t="shared" si="108"/>
        <v>397.35</v>
      </c>
      <c r="P283" s="37">
        <f t="shared" si="109"/>
        <v>397.35</v>
      </c>
      <c r="Q283" s="37">
        <f t="shared" si="110"/>
        <v>397.35</v>
      </c>
      <c r="R283" s="37">
        <f t="shared" si="111"/>
        <v>397.35</v>
      </c>
      <c r="S283" s="37">
        <f t="shared" si="112"/>
        <v>397.35</v>
      </c>
      <c r="T283" s="37">
        <f t="shared" si="113"/>
        <v>397.35</v>
      </c>
      <c r="U283" s="37">
        <f t="shared" si="115"/>
        <v>4768.2</v>
      </c>
      <c r="V283" s="6"/>
      <c r="W283" s="51">
        <v>397.35</v>
      </c>
      <c r="X283" s="39">
        <v>46304</v>
      </c>
      <c r="Y283" s="40" t="s">
        <v>54</v>
      </c>
      <c r="Z283" s="40"/>
      <c r="AA283" s="40" t="s">
        <v>56</v>
      </c>
      <c r="AB283" s="41">
        <v>0</v>
      </c>
      <c r="AD283" s="42" t="str">
        <f>C283&amp;A283</f>
        <v>TELEFONESOper</v>
      </c>
      <c r="AE283" s="42" t="str">
        <f>IFERROR(VLOOKUP(C283,[34]Planilha1!$B:$C,2,0),"Não se Aplica")</f>
        <v>Sim</v>
      </c>
      <c r="AF283" s="42" t="str">
        <f>VLOOKUP(AD283,[34]Planilha1!$H:$J,3,0)</f>
        <v>Não</v>
      </c>
      <c r="AG283" s="43">
        <f t="shared" si="114"/>
        <v>4768.2</v>
      </c>
    </row>
    <row r="284" spans="1:33" x14ac:dyDescent="0.3">
      <c r="A284" s="1" t="s">
        <v>836</v>
      </c>
      <c r="B284" s="34" t="s">
        <v>20</v>
      </c>
      <c r="C284" s="35" t="s">
        <v>249</v>
      </c>
      <c r="D284" s="36" t="s">
        <v>341</v>
      </c>
      <c r="E284" s="36" t="s">
        <v>334</v>
      </c>
      <c r="F284" s="34" t="s">
        <v>60</v>
      </c>
      <c r="G284" s="34" t="s">
        <v>32</v>
      </c>
      <c r="H284" s="34" t="s">
        <v>50</v>
      </c>
      <c r="I284" s="37">
        <f t="shared" si="102"/>
        <v>533.79999999999995</v>
      </c>
      <c r="J284" s="37">
        <f t="shared" si="103"/>
        <v>533.79999999999995</v>
      </c>
      <c r="K284" s="37">
        <f t="shared" si="104"/>
        <v>533.79999999999995</v>
      </c>
      <c r="L284" s="37">
        <f t="shared" si="105"/>
        <v>533.79999999999995</v>
      </c>
      <c r="M284" s="37">
        <f t="shared" si="106"/>
        <v>533.79999999999995</v>
      </c>
      <c r="N284" s="37">
        <f t="shared" si="107"/>
        <v>533.79999999999995</v>
      </c>
      <c r="O284" s="37">
        <f t="shared" si="108"/>
        <v>533.79999999999995</v>
      </c>
      <c r="P284" s="37">
        <f t="shared" si="109"/>
        <v>533.79999999999995</v>
      </c>
      <c r="Q284" s="37">
        <f t="shared" si="110"/>
        <v>533.79999999999995</v>
      </c>
      <c r="R284" s="37">
        <f t="shared" si="111"/>
        <v>533.79999999999995</v>
      </c>
      <c r="S284" s="37">
        <f t="shared" si="112"/>
        <v>533.79999999999995</v>
      </c>
      <c r="T284" s="37">
        <f t="shared" si="113"/>
        <v>533.79999999999995</v>
      </c>
      <c r="U284" s="37">
        <f t="shared" si="115"/>
        <v>6405.6000000000013</v>
      </c>
      <c r="V284" s="6"/>
      <c r="W284" s="51">
        <v>533.79999999999995</v>
      </c>
      <c r="X284" s="39">
        <v>46304</v>
      </c>
      <c r="Y284" s="40" t="s">
        <v>54</v>
      </c>
      <c r="Z284" s="40"/>
      <c r="AA284" s="40" t="s">
        <v>56</v>
      </c>
      <c r="AB284" s="41">
        <v>0</v>
      </c>
      <c r="AD284" s="42" t="str">
        <f>C284&amp;A284</f>
        <v>TELEFONESOper</v>
      </c>
      <c r="AE284" s="42" t="str">
        <f>IFERROR(VLOOKUP(C284,[34]Planilha1!$B:$C,2,0),"Não se Aplica")</f>
        <v>Sim</v>
      </c>
      <c r="AF284" s="42" t="str">
        <f>VLOOKUP(AD284,[34]Planilha1!$H:$J,3,0)</f>
        <v>Não</v>
      </c>
      <c r="AG284" s="43">
        <f t="shared" si="114"/>
        <v>6405.6000000000013</v>
      </c>
    </row>
    <row r="285" spans="1:33" x14ac:dyDescent="0.3">
      <c r="A285" s="1" t="s">
        <v>836</v>
      </c>
      <c r="B285" s="34" t="s">
        <v>20</v>
      </c>
      <c r="C285" s="35" t="s">
        <v>249</v>
      </c>
      <c r="D285" s="36" t="s">
        <v>341</v>
      </c>
      <c r="E285" s="36" t="s">
        <v>334</v>
      </c>
      <c r="F285" s="34" t="s">
        <v>36</v>
      </c>
      <c r="G285" s="34" t="s">
        <v>32</v>
      </c>
      <c r="H285" s="34" t="s">
        <v>50</v>
      </c>
      <c r="I285" s="37">
        <f t="shared" si="102"/>
        <v>859.05</v>
      </c>
      <c r="J285" s="37">
        <f t="shared" si="103"/>
        <v>859.05</v>
      </c>
      <c r="K285" s="37">
        <f t="shared" si="104"/>
        <v>859.05</v>
      </c>
      <c r="L285" s="37">
        <f t="shared" si="105"/>
        <v>859.05</v>
      </c>
      <c r="M285" s="37">
        <f t="shared" si="106"/>
        <v>859.05</v>
      </c>
      <c r="N285" s="37">
        <f t="shared" si="107"/>
        <v>859.05</v>
      </c>
      <c r="O285" s="37">
        <f t="shared" si="108"/>
        <v>859.05</v>
      </c>
      <c r="P285" s="37">
        <f t="shared" si="109"/>
        <v>859.05</v>
      </c>
      <c r="Q285" s="37">
        <f t="shared" si="110"/>
        <v>859.05</v>
      </c>
      <c r="R285" s="37">
        <f t="shared" si="111"/>
        <v>859.05</v>
      </c>
      <c r="S285" s="37">
        <f t="shared" si="112"/>
        <v>859.05</v>
      </c>
      <c r="T285" s="37">
        <f t="shared" si="113"/>
        <v>859.05</v>
      </c>
      <c r="U285" s="37">
        <f t="shared" si="115"/>
        <v>10308.599999999999</v>
      </c>
      <c r="V285" s="6"/>
      <c r="W285" s="51">
        <v>859.05</v>
      </c>
      <c r="X285" s="39">
        <v>46304</v>
      </c>
      <c r="Y285" s="40" t="s">
        <v>54</v>
      </c>
      <c r="Z285" s="40"/>
      <c r="AA285" s="40" t="s">
        <v>56</v>
      </c>
      <c r="AB285" s="41">
        <v>0</v>
      </c>
      <c r="AD285" s="42" t="str">
        <f>C285&amp;A285</f>
        <v>TELEFONESOper</v>
      </c>
      <c r="AE285" s="42" t="str">
        <f>IFERROR(VLOOKUP(C285,[34]Planilha1!$B:$C,2,0),"Não se Aplica")</f>
        <v>Sim</v>
      </c>
      <c r="AF285" s="42" t="str">
        <f>VLOOKUP(AD285,[34]Planilha1!$H:$J,3,0)</f>
        <v>Não</v>
      </c>
      <c r="AG285" s="43">
        <f t="shared" si="114"/>
        <v>10308.599999999999</v>
      </c>
    </row>
    <row r="286" spans="1:33" x14ac:dyDescent="0.3">
      <c r="A286" s="1" t="s">
        <v>837</v>
      </c>
      <c r="B286" s="34" t="s">
        <v>20</v>
      </c>
      <c r="C286" s="35" t="s">
        <v>249</v>
      </c>
      <c r="D286" s="36" t="s">
        <v>341</v>
      </c>
      <c r="E286" s="36" t="s">
        <v>334</v>
      </c>
      <c r="F286" s="34" t="s">
        <v>34</v>
      </c>
      <c r="G286" s="34" t="s">
        <v>32</v>
      </c>
      <c r="H286" s="34" t="s">
        <v>50</v>
      </c>
      <c r="I286" s="37">
        <f t="shared" si="102"/>
        <v>594.4</v>
      </c>
      <c r="J286" s="37">
        <f t="shared" si="103"/>
        <v>594.4</v>
      </c>
      <c r="K286" s="37">
        <f t="shared" si="104"/>
        <v>594.4</v>
      </c>
      <c r="L286" s="37">
        <f t="shared" si="105"/>
        <v>594.4</v>
      </c>
      <c r="M286" s="37">
        <f t="shared" si="106"/>
        <v>594.4</v>
      </c>
      <c r="N286" s="37">
        <f t="shared" si="107"/>
        <v>594.4</v>
      </c>
      <c r="O286" s="37">
        <f t="shared" si="108"/>
        <v>594.4</v>
      </c>
      <c r="P286" s="37">
        <f t="shared" si="109"/>
        <v>594.4</v>
      </c>
      <c r="Q286" s="37">
        <f t="shared" si="110"/>
        <v>594.4</v>
      </c>
      <c r="R286" s="37">
        <f t="shared" si="111"/>
        <v>594.4</v>
      </c>
      <c r="S286" s="37">
        <f t="shared" si="112"/>
        <v>594.4</v>
      </c>
      <c r="T286" s="37">
        <f t="shared" si="113"/>
        <v>594.4</v>
      </c>
      <c r="U286" s="37">
        <f t="shared" si="115"/>
        <v>7132.7999999999984</v>
      </c>
      <c r="V286" s="6"/>
      <c r="W286" s="51">
        <v>594.4</v>
      </c>
      <c r="X286" s="39">
        <v>46304</v>
      </c>
      <c r="Y286" s="40" t="s">
        <v>54</v>
      </c>
      <c r="Z286" s="40"/>
      <c r="AA286" s="40" t="s">
        <v>56</v>
      </c>
      <c r="AB286" s="41">
        <v>0</v>
      </c>
      <c r="AD286" s="42" t="str">
        <f>C286&amp;A286</f>
        <v>TELEFONESAdm</v>
      </c>
      <c r="AE286" s="42" t="str">
        <f>IFERROR(VLOOKUP(C286,[34]Planilha1!$B:$C,2,0),"Não se Aplica")</f>
        <v>Sim</v>
      </c>
      <c r="AF286" s="42" t="str">
        <f>VLOOKUP(AD286,[34]Planilha1!$H:$J,3,0)</f>
        <v>Não</v>
      </c>
      <c r="AG286" s="43">
        <f t="shared" si="114"/>
        <v>7132.7999999999984</v>
      </c>
    </row>
    <row r="287" spans="1:33" x14ac:dyDescent="0.3">
      <c r="A287" s="1" t="s">
        <v>838</v>
      </c>
      <c r="B287" s="34" t="s">
        <v>20</v>
      </c>
      <c r="C287" s="35" t="s">
        <v>249</v>
      </c>
      <c r="D287" s="36" t="s">
        <v>341</v>
      </c>
      <c r="E287" s="36" t="s">
        <v>334</v>
      </c>
      <c r="F287" s="34" t="s">
        <v>77</v>
      </c>
      <c r="G287" s="34" t="s">
        <v>32</v>
      </c>
      <c r="H287" s="34" t="s">
        <v>50</v>
      </c>
      <c r="I287" s="37">
        <f t="shared" si="102"/>
        <v>1160.6199999999999</v>
      </c>
      <c r="J287" s="37">
        <f t="shared" si="103"/>
        <v>1160.6199999999999</v>
      </c>
      <c r="K287" s="37">
        <f t="shared" si="104"/>
        <v>1160.6199999999999</v>
      </c>
      <c r="L287" s="37">
        <f t="shared" si="105"/>
        <v>1160.6199999999999</v>
      </c>
      <c r="M287" s="37">
        <f t="shared" si="106"/>
        <v>1160.6199999999999</v>
      </c>
      <c r="N287" s="37">
        <f t="shared" si="107"/>
        <v>1160.6199999999999</v>
      </c>
      <c r="O287" s="37">
        <f t="shared" si="108"/>
        <v>1160.6199999999999</v>
      </c>
      <c r="P287" s="37">
        <f t="shared" si="109"/>
        <v>1160.6199999999999</v>
      </c>
      <c r="Q287" s="37">
        <f t="shared" si="110"/>
        <v>1160.6199999999999</v>
      </c>
      <c r="R287" s="37">
        <f t="shared" si="111"/>
        <v>1160.6199999999999</v>
      </c>
      <c r="S287" s="37">
        <f t="shared" si="112"/>
        <v>1160.6199999999999</v>
      </c>
      <c r="T287" s="37">
        <f t="shared" si="113"/>
        <v>1160.6199999999999</v>
      </c>
      <c r="U287" s="37">
        <f t="shared" si="115"/>
        <v>13927.439999999995</v>
      </c>
      <c r="V287" s="6"/>
      <c r="W287" s="51">
        <v>1160.6199999999999</v>
      </c>
      <c r="X287" s="39">
        <v>46304</v>
      </c>
      <c r="Y287" s="40" t="s">
        <v>54</v>
      </c>
      <c r="Z287" s="40"/>
      <c r="AA287" s="40" t="s">
        <v>56</v>
      </c>
      <c r="AB287" s="41">
        <v>0</v>
      </c>
      <c r="AD287" s="42" t="str">
        <f>C287&amp;A287</f>
        <v>TELEFONESCom</v>
      </c>
      <c r="AE287" s="42" t="str">
        <f>IFERROR(VLOOKUP(C287,[34]Planilha1!$B:$C,2,0),"Não se Aplica")</f>
        <v>Sim</v>
      </c>
      <c r="AF287" s="42" t="str">
        <f>VLOOKUP(AD287,[34]Planilha1!$H:$J,3,0)</f>
        <v>Não</v>
      </c>
      <c r="AG287" s="43">
        <f t="shared" si="114"/>
        <v>13927.439999999995</v>
      </c>
    </row>
    <row r="288" spans="1:33" x14ac:dyDescent="0.3">
      <c r="A288" s="1" t="s">
        <v>838</v>
      </c>
      <c r="B288" s="34" t="s">
        <v>20</v>
      </c>
      <c r="C288" s="35" t="s">
        <v>249</v>
      </c>
      <c r="D288" s="36" t="s">
        <v>341</v>
      </c>
      <c r="E288" s="36" t="s">
        <v>334</v>
      </c>
      <c r="F288" s="34" t="s">
        <v>77</v>
      </c>
      <c r="G288" s="34" t="s">
        <v>32</v>
      </c>
      <c r="H288" s="34" t="s">
        <v>50</v>
      </c>
      <c r="I288" s="37">
        <f t="shared" si="102"/>
        <v>78.38</v>
      </c>
      <c r="J288" s="37">
        <f t="shared" si="103"/>
        <v>78.38</v>
      </c>
      <c r="K288" s="37">
        <f t="shared" si="104"/>
        <v>78.38</v>
      </c>
      <c r="L288" s="37">
        <f t="shared" si="105"/>
        <v>78.38</v>
      </c>
      <c r="M288" s="37">
        <f t="shared" si="106"/>
        <v>78.38</v>
      </c>
      <c r="N288" s="37">
        <f t="shared" si="107"/>
        <v>78.38</v>
      </c>
      <c r="O288" s="37">
        <f t="shared" si="108"/>
        <v>78.38</v>
      </c>
      <c r="P288" s="37">
        <f t="shared" si="109"/>
        <v>78.38</v>
      </c>
      <c r="Q288" s="37">
        <f t="shared" si="110"/>
        <v>78.38</v>
      </c>
      <c r="R288" s="37">
        <f t="shared" si="111"/>
        <v>78.38</v>
      </c>
      <c r="S288" s="37">
        <f t="shared" si="112"/>
        <v>78.38</v>
      </c>
      <c r="T288" s="37">
        <f t="shared" si="113"/>
        <v>78.38</v>
      </c>
      <c r="U288" s="37">
        <f t="shared" si="115"/>
        <v>940.56</v>
      </c>
      <c r="V288" s="6"/>
      <c r="W288" s="51">
        <v>78.38</v>
      </c>
      <c r="X288" s="39">
        <v>46304</v>
      </c>
      <c r="Y288" s="40" t="s">
        <v>54</v>
      </c>
      <c r="Z288" s="40"/>
      <c r="AA288" s="40" t="s">
        <v>56</v>
      </c>
      <c r="AB288" s="41">
        <v>0</v>
      </c>
      <c r="AD288" s="42" t="str">
        <f>C288&amp;A288</f>
        <v>TELEFONESCom</v>
      </c>
      <c r="AE288" s="42" t="str">
        <f>IFERROR(VLOOKUP(C288,[34]Planilha1!$B:$C,2,0),"Não se Aplica")</f>
        <v>Sim</v>
      </c>
      <c r="AF288" s="42" t="str">
        <f>VLOOKUP(AD288,[34]Planilha1!$H:$J,3,0)</f>
        <v>Não</v>
      </c>
      <c r="AG288" s="43">
        <f t="shared" si="114"/>
        <v>940.56</v>
      </c>
    </row>
    <row r="289" spans="1:33" x14ac:dyDescent="0.3">
      <c r="A289" s="1" t="s">
        <v>837</v>
      </c>
      <c r="B289" s="34" t="s">
        <v>20</v>
      </c>
      <c r="C289" s="35" t="s">
        <v>249</v>
      </c>
      <c r="D289" s="36" t="s">
        <v>341</v>
      </c>
      <c r="E289" s="36" t="s">
        <v>334</v>
      </c>
      <c r="F289" s="34" t="s">
        <v>236</v>
      </c>
      <c r="G289" s="34" t="s">
        <v>32</v>
      </c>
      <c r="H289" s="34" t="s">
        <v>50</v>
      </c>
      <c r="I289" s="37">
        <f t="shared" si="102"/>
        <v>101.27</v>
      </c>
      <c r="J289" s="37">
        <f t="shared" si="103"/>
        <v>101.27</v>
      </c>
      <c r="K289" s="37">
        <f t="shared" si="104"/>
        <v>101.27</v>
      </c>
      <c r="L289" s="37">
        <f t="shared" si="105"/>
        <v>101.27</v>
      </c>
      <c r="M289" s="37">
        <f t="shared" si="106"/>
        <v>101.27</v>
      </c>
      <c r="N289" s="37">
        <f t="shared" si="107"/>
        <v>101.27</v>
      </c>
      <c r="O289" s="37">
        <f t="shared" si="108"/>
        <v>101.27</v>
      </c>
      <c r="P289" s="37">
        <f t="shared" si="109"/>
        <v>101.27</v>
      </c>
      <c r="Q289" s="37">
        <f t="shared" si="110"/>
        <v>101.27</v>
      </c>
      <c r="R289" s="37">
        <f t="shared" si="111"/>
        <v>101.27</v>
      </c>
      <c r="S289" s="37">
        <f t="shared" si="112"/>
        <v>101.27</v>
      </c>
      <c r="T289" s="37">
        <f t="shared" si="113"/>
        <v>101.27</v>
      </c>
      <c r="U289" s="37">
        <f t="shared" si="115"/>
        <v>1215.24</v>
      </c>
      <c r="V289" s="6"/>
      <c r="W289" s="51">
        <v>101.27</v>
      </c>
      <c r="X289" s="39">
        <v>46304</v>
      </c>
      <c r="Y289" s="40" t="s">
        <v>54</v>
      </c>
      <c r="Z289" s="40"/>
      <c r="AA289" s="40" t="s">
        <v>56</v>
      </c>
      <c r="AB289" s="41">
        <v>0</v>
      </c>
      <c r="AD289" s="42" t="str">
        <f>C289&amp;A289</f>
        <v>TELEFONESAdm</v>
      </c>
      <c r="AE289" s="42" t="str">
        <f>IFERROR(VLOOKUP(C289,[34]Planilha1!$B:$C,2,0),"Não se Aplica")</f>
        <v>Sim</v>
      </c>
      <c r="AF289" s="42" t="str">
        <f>VLOOKUP(AD289,[34]Planilha1!$H:$J,3,0)</f>
        <v>Não</v>
      </c>
      <c r="AG289" s="43">
        <f t="shared" si="114"/>
        <v>1215.24</v>
      </c>
    </row>
    <row r="290" spans="1:33" x14ac:dyDescent="0.3">
      <c r="A290" s="1" t="s">
        <v>836</v>
      </c>
      <c r="B290" s="34" t="s">
        <v>20</v>
      </c>
      <c r="C290" s="35" t="s">
        <v>249</v>
      </c>
      <c r="D290" s="36" t="s">
        <v>341</v>
      </c>
      <c r="E290" s="36" t="s">
        <v>334</v>
      </c>
      <c r="F290" s="29" t="s">
        <v>122</v>
      </c>
      <c r="G290" s="34" t="s">
        <v>32</v>
      </c>
      <c r="H290" s="34" t="s">
        <v>50</v>
      </c>
      <c r="I290" s="37">
        <f t="shared" si="102"/>
        <v>98.88</v>
      </c>
      <c r="J290" s="37">
        <f t="shared" si="103"/>
        <v>98.88</v>
      </c>
      <c r="K290" s="37">
        <f t="shared" si="104"/>
        <v>98.88</v>
      </c>
      <c r="L290" s="37">
        <f t="shared" si="105"/>
        <v>98.88</v>
      </c>
      <c r="M290" s="37">
        <f t="shared" si="106"/>
        <v>98.88</v>
      </c>
      <c r="N290" s="37">
        <f t="shared" si="107"/>
        <v>98.88</v>
      </c>
      <c r="O290" s="37">
        <f t="shared" si="108"/>
        <v>98.88</v>
      </c>
      <c r="P290" s="37">
        <f t="shared" si="109"/>
        <v>98.88</v>
      </c>
      <c r="Q290" s="37">
        <f t="shared" si="110"/>
        <v>98.88</v>
      </c>
      <c r="R290" s="37">
        <f t="shared" si="111"/>
        <v>98.88</v>
      </c>
      <c r="S290" s="37">
        <f t="shared" si="112"/>
        <v>98.88</v>
      </c>
      <c r="T290" s="37">
        <f t="shared" si="113"/>
        <v>98.88</v>
      </c>
      <c r="U290" s="37">
        <f t="shared" si="115"/>
        <v>1186.56</v>
      </c>
      <c r="V290" s="6"/>
      <c r="W290" s="51">
        <v>98.88</v>
      </c>
      <c r="X290" s="39">
        <v>46304</v>
      </c>
      <c r="Y290" s="40" t="s">
        <v>54</v>
      </c>
      <c r="Z290" s="40"/>
      <c r="AA290" s="40" t="s">
        <v>56</v>
      </c>
      <c r="AB290" s="41">
        <v>0</v>
      </c>
      <c r="AD290" s="42" t="str">
        <f>C290&amp;A290</f>
        <v>TELEFONESOper</v>
      </c>
      <c r="AE290" s="42" t="str">
        <f>IFERROR(VLOOKUP(C290,[34]Planilha1!$B:$C,2,0),"Não se Aplica")</f>
        <v>Sim</v>
      </c>
      <c r="AF290" s="42" t="str">
        <f>VLOOKUP(AD290,[34]Planilha1!$H:$J,3,0)</f>
        <v>Não</v>
      </c>
      <c r="AG290" s="43">
        <f t="shared" si="114"/>
        <v>1186.56</v>
      </c>
    </row>
    <row r="291" spans="1:33" x14ac:dyDescent="0.3">
      <c r="A291" s="1" t="s">
        <v>837</v>
      </c>
      <c r="B291" s="34" t="s">
        <v>20</v>
      </c>
      <c r="C291" s="35" t="s">
        <v>249</v>
      </c>
      <c r="D291" s="36" t="s">
        <v>341</v>
      </c>
      <c r="E291" s="36" t="s">
        <v>334</v>
      </c>
      <c r="F291" s="34" t="s">
        <v>253</v>
      </c>
      <c r="G291" s="34" t="s">
        <v>32</v>
      </c>
      <c r="H291" s="34" t="s">
        <v>50</v>
      </c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37">
        <f t="shared" si="115"/>
        <v>0</v>
      </c>
      <c r="V291" s="6"/>
      <c r="W291" s="51">
        <v>97.38</v>
      </c>
      <c r="X291" s="39">
        <v>46304</v>
      </c>
      <c r="Y291" s="40" t="s">
        <v>54</v>
      </c>
      <c r="Z291" s="40"/>
      <c r="AA291" s="40" t="s">
        <v>56</v>
      </c>
      <c r="AB291" s="41">
        <v>0</v>
      </c>
      <c r="AD291" s="42" t="str">
        <f>C291&amp;A291</f>
        <v>TELEFONESAdm</v>
      </c>
      <c r="AE291" s="42" t="str">
        <f>IFERROR(VLOOKUP(C291,[34]Planilha1!$B:$C,2,0),"Não se Aplica")</f>
        <v>Sim</v>
      </c>
      <c r="AF291" s="42" t="str">
        <f>VLOOKUP(AD291,[34]Planilha1!$H:$J,3,0)</f>
        <v>Não</v>
      </c>
      <c r="AG291" s="43">
        <f t="shared" si="114"/>
        <v>0</v>
      </c>
    </row>
    <row r="292" spans="1:33" x14ac:dyDescent="0.3">
      <c r="A292" s="1" t="s">
        <v>836</v>
      </c>
      <c r="B292" s="34" t="s">
        <v>20</v>
      </c>
      <c r="C292" s="35" t="s">
        <v>249</v>
      </c>
      <c r="D292" s="36" t="s">
        <v>341</v>
      </c>
      <c r="E292" s="36" t="s">
        <v>334</v>
      </c>
      <c r="F292" s="34" t="s">
        <v>24</v>
      </c>
      <c r="G292" s="34" t="s">
        <v>32</v>
      </c>
      <c r="H292" s="34" t="s">
        <v>50</v>
      </c>
      <c r="I292" s="37">
        <f t="shared" ref="I292:I298" si="116">IF($Y292="janeiro",$W292*(1+$AB292),$W292)</f>
        <v>289.87</v>
      </c>
      <c r="J292" s="37">
        <f t="shared" ref="J292:J298" si="117">IF($Y292="fevereiro",$I292*(1+$AB292),$I292)</f>
        <v>289.87</v>
      </c>
      <c r="K292" s="37">
        <f t="shared" ref="K292:K298" si="118">IF($Y292="março",$J292*(1+$AB292),$J292)</f>
        <v>289.87</v>
      </c>
      <c r="L292" s="37">
        <f t="shared" ref="L292:L298" si="119">IF($Y292="abril",$K292*(1+$AB292),$K292)</f>
        <v>289.87</v>
      </c>
      <c r="M292" s="37">
        <f t="shared" ref="M292:M298" si="120">IF($Y292="maio",$L292*(1+$AB292),$L292)</f>
        <v>289.87</v>
      </c>
      <c r="N292" s="37">
        <f t="shared" ref="N292:N298" si="121">IF($Y292="junho",$M292*(1+$AB292),$M292)</f>
        <v>289.87</v>
      </c>
      <c r="O292" s="37">
        <f t="shared" ref="O292:O298" si="122">IF($Y292="julho",$N292*(1+$AB292),$N292)</f>
        <v>289.87</v>
      </c>
      <c r="P292" s="37">
        <f t="shared" ref="P292:P298" si="123">IF($Y292="agosto",$O292*(1+$AB292),$O292)</f>
        <v>289.87</v>
      </c>
      <c r="Q292" s="37">
        <f t="shared" ref="Q292:Q298" si="124">IF($Y292="setembro",$P292*(1+$AB292),$P292)</f>
        <v>289.87</v>
      </c>
      <c r="R292" s="37">
        <f t="shared" ref="R292:R298" si="125">IF($Y292="outubro",$Q292*(1+$AB292),$Q292)</f>
        <v>289.87</v>
      </c>
      <c r="S292" s="37">
        <f t="shared" ref="S292:S298" si="126">IF($Y292="novembro",$R292*(1+$AB292),$R292)</f>
        <v>289.87</v>
      </c>
      <c r="T292" s="37">
        <f t="shared" ref="T292:T298" si="127">IF($Y292="dezembro",$S292*(1+$AB292),$S292)</f>
        <v>289.87</v>
      </c>
      <c r="U292" s="37">
        <f t="shared" si="115"/>
        <v>3478.4399999999991</v>
      </c>
      <c r="V292" s="6"/>
      <c r="W292" s="51">
        <v>289.87</v>
      </c>
      <c r="X292" s="39">
        <v>46304</v>
      </c>
      <c r="Y292" s="40" t="s">
        <v>54</v>
      </c>
      <c r="Z292" s="40"/>
      <c r="AA292" s="40" t="s">
        <v>56</v>
      </c>
      <c r="AB292" s="41">
        <v>0</v>
      </c>
      <c r="AD292" s="42" t="str">
        <f>C292&amp;A292</f>
        <v>TELEFONESOper</v>
      </c>
      <c r="AE292" s="42" t="str">
        <f>IFERROR(VLOOKUP(C292,[34]Planilha1!$B:$C,2,0),"Não se Aplica")</f>
        <v>Sim</v>
      </c>
      <c r="AF292" s="42" t="str">
        <f>VLOOKUP(AD292,[34]Planilha1!$H:$J,3,0)</f>
        <v>Não</v>
      </c>
      <c r="AG292" s="43">
        <f t="shared" si="114"/>
        <v>3478.4399999999991</v>
      </c>
    </row>
    <row r="293" spans="1:33" x14ac:dyDescent="0.3">
      <c r="A293" s="1" t="s">
        <v>837</v>
      </c>
      <c r="B293" s="34" t="s">
        <v>20</v>
      </c>
      <c r="C293" s="35" t="s">
        <v>249</v>
      </c>
      <c r="D293" s="36" t="s">
        <v>341</v>
      </c>
      <c r="E293" s="36" t="s">
        <v>334</v>
      </c>
      <c r="F293" s="34" t="s">
        <v>254</v>
      </c>
      <c r="G293" s="34" t="s">
        <v>32</v>
      </c>
      <c r="H293" s="34" t="s">
        <v>50</v>
      </c>
      <c r="I293" s="37">
        <f t="shared" si="116"/>
        <v>87.38</v>
      </c>
      <c r="J293" s="37">
        <f t="shared" si="117"/>
        <v>87.38</v>
      </c>
      <c r="K293" s="37">
        <f t="shared" si="118"/>
        <v>87.38</v>
      </c>
      <c r="L293" s="37">
        <f t="shared" si="119"/>
        <v>87.38</v>
      </c>
      <c r="M293" s="37">
        <f t="shared" si="120"/>
        <v>87.38</v>
      </c>
      <c r="N293" s="37">
        <f t="shared" si="121"/>
        <v>87.38</v>
      </c>
      <c r="O293" s="37">
        <f t="shared" si="122"/>
        <v>87.38</v>
      </c>
      <c r="P293" s="37">
        <f t="shared" si="123"/>
        <v>87.38</v>
      </c>
      <c r="Q293" s="37">
        <f t="shared" si="124"/>
        <v>87.38</v>
      </c>
      <c r="R293" s="37">
        <f t="shared" si="125"/>
        <v>87.38</v>
      </c>
      <c r="S293" s="37">
        <f t="shared" si="126"/>
        <v>87.38</v>
      </c>
      <c r="T293" s="37">
        <f t="shared" si="127"/>
        <v>87.38</v>
      </c>
      <c r="U293" s="37">
        <f t="shared" si="115"/>
        <v>1048.56</v>
      </c>
      <c r="V293" s="6"/>
      <c r="W293" s="51">
        <v>87.38</v>
      </c>
      <c r="X293" s="39">
        <v>46304</v>
      </c>
      <c r="Y293" s="40" t="s">
        <v>54</v>
      </c>
      <c r="Z293" s="40"/>
      <c r="AA293" s="40" t="s">
        <v>56</v>
      </c>
      <c r="AB293" s="41">
        <v>0</v>
      </c>
      <c r="AD293" s="42" t="str">
        <f>C293&amp;A293</f>
        <v>TELEFONESAdm</v>
      </c>
      <c r="AE293" s="42" t="str">
        <f>IFERROR(VLOOKUP(C293,[34]Planilha1!$B:$C,2,0),"Não se Aplica")</f>
        <v>Sim</v>
      </c>
      <c r="AF293" s="42" t="str">
        <f>VLOOKUP(AD293,[34]Planilha1!$H:$J,3,0)</f>
        <v>Não</v>
      </c>
      <c r="AG293" s="43">
        <f t="shared" si="114"/>
        <v>1048.56</v>
      </c>
    </row>
    <row r="294" spans="1:33" x14ac:dyDescent="0.3">
      <c r="A294" s="1" t="s">
        <v>837</v>
      </c>
      <c r="B294" s="34" t="s">
        <v>20</v>
      </c>
      <c r="C294" s="35" t="s">
        <v>249</v>
      </c>
      <c r="D294" s="36" t="s">
        <v>341</v>
      </c>
      <c r="E294" s="36" t="s">
        <v>334</v>
      </c>
      <c r="F294" s="34" t="s">
        <v>49</v>
      </c>
      <c r="G294" s="34" t="s">
        <v>32</v>
      </c>
      <c r="H294" s="34" t="s">
        <v>50</v>
      </c>
      <c r="I294" s="37">
        <f t="shared" si="116"/>
        <v>1947.61</v>
      </c>
      <c r="J294" s="37">
        <f t="shared" si="117"/>
        <v>1947.61</v>
      </c>
      <c r="K294" s="37">
        <f t="shared" si="118"/>
        <v>1947.61</v>
      </c>
      <c r="L294" s="37">
        <f t="shared" si="119"/>
        <v>1947.61</v>
      </c>
      <c r="M294" s="37">
        <f t="shared" si="120"/>
        <v>1947.61</v>
      </c>
      <c r="N294" s="37">
        <f t="shared" si="121"/>
        <v>1947.61</v>
      </c>
      <c r="O294" s="37">
        <f t="shared" si="122"/>
        <v>1947.61</v>
      </c>
      <c r="P294" s="37">
        <f t="shared" si="123"/>
        <v>1947.61</v>
      </c>
      <c r="Q294" s="37">
        <f t="shared" si="124"/>
        <v>1947.61</v>
      </c>
      <c r="R294" s="37">
        <f t="shared" si="125"/>
        <v>1947.61</v>
      </c>
      <c r="S294" s="37">
        <f t="shared" si="126"/>
        <v>1947.61</v>
      </c>
      <c r="T294" s="37">
        <f t="shared" si="127"/>
        <v>1947.61</v>
      </c>
      <c r="U294" s="37">
        <f t="shared" si="115"/>
        <v>23371.320000000003</v>
      </c>
      <c r="V294" s="6"/>
      <c r="W294" s="51">
        <v>1947.61</v>
      </c>
      <c r="X294" s="39">
        <v>46304</v>
      </c>
      <c r="Y294" s="40" t="s">
        <v>54</v>
      </c>
      <c r="Z294" s="40"/>
      <c r="AA294" s="40" t="s">
        <v>56</v>
      </c>
      <c r="AB294" s="41">
        <v>0</v>
      </c>
      <c r="AD294" s="42" t="str">
        <f>C294&amp;A294</f>
        <v>TELEFONESAdm</v>
      </c>
      <c r="AE294" s="42" t="str">
        <f>IFERROR(VLOOKUP(C294,[34]Planilha1!$B:$C,2,0),"Não se Aplica")</f>
        <v>Sim</v>
      </c>
      <c r="AF294" s="42" t="str">
        <f>VLOOKUP(AD294,[34]Planilha1!$H:$J,3,0)</f>
        <v>Não</v>
      </c>
      <c r="AG294" s="43">
        <f t="shared" si="114"/>
        <v>23371.320000000003</v>
      </c>
    </row>
    <row r="295" spans="1:33" x14ac:dyDescent="0.3">
      <c r="A295" s="1" t="s">
        <v>837</v>
      </c>
      <c r="B295" s="34" t="s">
        <v>20</v>
      </c>
      <c r="C295" s="35" t="s">
        <v>249</v>
      </c>
      <c r="D295" s="36" t="s">
        <v>341</v>
      </c>
      <c r="E295" s="36" t="s">
        <v>334</v>
      </c>
      <c r="F295" s="34" t="s">
        <v>127</v>
      </c>
      <c r="G295" s="34" t="s">
        <v>32</v>
      </c>
      <c r="H295" s="34" t="s">
        <v>50</v>
      </c>
      <c r="I295" s="37">
        <f t="shared" si="116"/>
        <v>82.03</v>
      </c>
      <c r="J295" s="37">
        <f t="shared" si="117"/>
        <v>82.03</v>
      </c>
      <c r="K295" s="37">
        <f t="shared" si="118"/>
        <v>82.03</v>
      </c>
      <c r="L295" s="37">
        <f t="shared" si="119"/>
        <v>82.03</v>
      </c>
      <c r="M295" s="37">
        <f t="shared" si="120"/>
        <v>82.03</v>
      </c>
      <c r="N295" s="37">
        <f t="shared" si="121"/>
        <v>82.03</v>
      </c>
      <c r="O295" s="37">
        <f t="shared" si="122"/>
        <v>82.03</v>
      </c>
      <c r="P295" s="37">
        <f t="shared" si="123"/>
        <v>82.03</v>
      </c>
      <c r="Q295" s="37">
        <f t="shared" si="124"/>
        <v>82.03</v>
      </c>
      <c r="R295" s="37">
        <f t="shared" si="125"/>
        <v>82.03</v>
      </c>
      <c r="S295" s="37">
        <f t="shared" si="126"/>
        <v>82.03</v>
      </c>
      <c r="T295" s="37">
        <f t="shared" si="127"/>
        <v>82.03</v>
      </c>
      <c r="U295" s="37">
        <f t="shared" si="115"/>
        <v>984.35999999999979</v>
      </c>
      <c r="V295" s="6"/>
      <c r="W295" s="51">
        <v>82.03</v>
      </c>
      <c r="X295" s="39">
        <v>46304</v>
      </c>
      <c r="Y295" s="40" t="s">
        <v>54</v>
      </c>
      <c r="Z295" s="40"/>
      <c r="AA295" s="40" t="s">
        <v>56</v>
      </c>
      <c r="AB295" s="41">
        <v>0</v>
      </c>
      <c r="AD295" s="42" t="str">
        <f>C295&amp;A295</f>
        <v>TELEFONESAdm</v>
      </c>
      <c r="AE295" s="42" t="str">
        <f>IFERROR(VLOOKUP(C295,[34]Planilha1!$B:$C,2,0),"Não se Aplica")</f>
        <v>Sim</v>
      </c>
      <c r="AF295" s="42" t="str">
        <f>VLOOKUP(AD295,[34]Planilha1!$H:$J,3,0)</f>
        <v>Não</v>
      </c>
      <c r="AG295" s="43">
        <f t="shared" si="114"/>
        <v>984.35999999999979</v>
      </c>
    </row>
    <row r="296" spans="1:33" x14ac:dyDescent="0.3">
      <c r="A296" s="1" t="s">
        <v>836</v>
      </c>
      <c r="B296" s="34" t="s">
        <v>28</v>
      </c>
      <c r="C296" s="35" t="s">
        <v>46</v>
      </c>
      <c r="D296" s="34"/>
      <c r="E296" s="36" t="s">
        <v>342</v>
      </c>
      <c r="F296" s="34" t="s">
        <v>25</v>
      </c>
      <c r="G296" s="34" t="s">
        <v>32</v>
      </c>
      <c r="H296" s="34" t="s">
        <v>343</v>
      </c>
      <c r="I296" s="37">
        <f t="shared" si="116"/>
        <v>3600</v>
      </c>
      <c r="J296" s="37">
        <f t="shared" si="117"/>
        <v>3600</v>
      </c>
      <c r="K296" s="37">
        <f t="shared" si="118"/>
        <v>3600</v>
      </c>
      <c r="L296" s="37">
        <f t="shared" si="119"/>
        <v>3600</v>
      </c>
      <c r="M296" s="37">
        <f t="shared" si="120"/>
        <v>3600</v>
      </c>
      <c r="N296" s="37">
        <f t="shared" si="121"/>
        <v>3600</v>
      </c>
      <c r="O296" s="37">
        <f t="shared" si="122"/>
        <v>3600</v>
      </c>
      <c r="P296" s="37">
        <f t="shared" si="123"/>
        <v>3708</v>
      </c>
      <c r="Q296" s="37">
        <f t="shared" si="124"/>
        <v>3708</v>
      </c>
      <c r="R296" s="37">
        <f t="shared" si="125"/>
        <v>3708</v>
      </c>
      <c r="S296" s="37">
        <f t="shared" si="126"/>
        <v>3708</v>
      </c>
      <c r="T296" s="37">
        <f t="shared" si="127"/>
        <v>3708</v>
      </c>
      <c r="U296" s="37">
        <f t="shared" si="115"/>
        <v>43740</v>
      </c>
      <c r="W296" s="51">
        <v>3600</v>
      </c>
      <c r="X296" s="39">
        <v>46109</v>
      </c>
      <c r="Y296" s="40" t="s">
        <v>65</v>
      </c>
      <c r="Z296" s="40"/>
      <c r="AA296" s="40" t="s">
        <v>45</v>
      </c>
      <c r="AB296" s="41">
        <v>0.03</v>
      </c>
      <c r="AD296" s="42" t="str">
        <f>C296&amp;A296</f>
        <v>MANUTEN. SISTEMAS  INFORMATICAOper</v>
      </c>
      <c r="AE296" s="42" t="str">
        <f>IFERROR(VLOOKUP(C296,[34]Planilha1!$B:$C,2,0),"Não se Aplica")</f>
        <v>Sim</v>
      </c>
      <c r="AF296" s="42" t="str">
        <f>VLOOKUP(AD296,[34]Planilha1!$H:$J,3,0)</f>
        <v>Sim</v>
      </c>
      <c r="AG296" s="43">
        <f t="shared" si="114"/>
        <v>39694.049999999996</v>
      </c>
    </row>
    <row r="297" spans="1:33" x14ac:dyDescent="0.3">
      <c r="A297" s="1" t="s">
        <v>836</v>
      </c>
      <c r="B297" s="34" t="s">
        <v>28</v>
      </c>
      <c r="C297" s="35" t="s">
        <v>46</v>
      </c>
      <c r="D297" s="36" t="s">
        <v>344</v>
      </c>
      <c r="E297" s="36" t="s">
        <v>345</v>
      </c>
      <c r="F297" s="34" t="s">
        <v>25</v>
      </c>
      <c r="G297" s="34" t="s">
        <v>32</v>
      </c>
      <c r="H297" s="34" t="s">
        <v>343</v>
      </c>
      <c r="I297" s="37">
        <f t="shared" si="116"/>
        <v>3913.5983000000001</v>
      </c>
      <c r="J297" s="37">
        <f t="shared" si="117"/>
        <v>3913.5983000000001</v>
      </c>
      <c r="K297" s="37">
        <f t="shared" si="118"/>
        <v>3913.5983000000001</v>
      </c>
      <c r="L297" s="37">
        <f t="shared" si="119"/>
        <v>3913.5983000000001</v>
      </c>
      <c r="M297" s="37">
        <f t="shared" si="120"/>
        <v>3913.5983000000001</v>
      </c>
      <c r="N297" s="37">
        <f t="shared" si="121"/>
        <v>3913.5983000000001</v>
      </c>
      <c r="O297" s="37">
        <f t="shared" si="122"/>
        <v>3913.5983000000001</v>
      </c>
      <c r="P297" s="37">
        <f t="shared" si="123"/>
        <v>3913.5983000000001</v>
      </c>
      <c r="Q297" s="37">
        <f t="shared" si="124"/>
        <v>3913.5983000000001</v>
      </c>
      <c r="R297" s="37">
        <f t="shared" si="125"/>
        <v>3913.5983000000001</v>
      </c>
      <c r="S297" s="37">
        <f t="shared" si="126"/>
        <v>3913.5983000000001</v>
      </c>
      <c r="T297" s="37">
        <f t="shared" si="127"/>
        <v>3913.5983000000001</v>
      </c>
      <c r="U297" s="37">
        <f t="shared" si="115"/>
        <v>46963.179599999996</v>
      </c>
      <c r="W297" s="51">
        <v>3799.61</v>
      </c>
      <c r="X297" s="39">
        <v>45689</v>
      </c>
      <c r="Y297" s="40" t="s">
        <v>51</v>
      </c>
      <c r="Z297" s="40" t="s">
        <v>55</v>
      </c>
      <c r="AA297" s="40" t="s">
        <v>45</v>
      </c>
      <c r="AB297" s="41">
        <v>0.03</v>
      </c>
      <c r="AD297" s="42" t="str">
        <f>C297&amp;A297</f>
        <v>MANUTEN. SISTEMAS  INFORMATICAOper</v>
      </c>
      <c r="AE297" s="42" t="str">
        <f>IFERROR(VLOOKUP(C297,[34]Planilha1!$B:$C,2,0),"Não se Aplica")</f>
        <v>Sim</v>
      </c>
      <c r="AF297" s="42" t="str">
        <f>VLOOKUP(AD297,[34]Planilha1!$H:$J,3,0)</f>
        <v>Sim</v>
      </c>
      <c r="AG297" s="43">
        <f t="shared" si="114"/>
        <v>42619.085486999997</v>
      </c>
    </row>
    <row r="298" spans="1:33" x14ac:dyDescent="0.3">
      <c r="A298" s="1" t="s">
        <v>836</v>
      </c>
      <c r="B298" s="34" t="s">
        <v>28</v>
      </c>
      <c r="C298" s="35" t="s">
        <v>157</v>
      </c>
      <c r="D298" s="34" t="s">
        <v>346</v>
      </c>
      <c r="E298" s="36" t="s">
        <v>347</v>
      </c>
      <c r="F298" s="34" t="s">
        <v>25</v>
      </c>
      <c r="G298" s="34" t="s">
        <v>32</v>
      </c>
      <c r="H298" s="34" t="s">
        <v>343</v>
      </c>
      <c r="I298" s="37">
        <f t="shared" si="116"/>
        <v>502.07</v>
      </c>
      <c r="J298" s="37">
        <f t="shared" si="117"/>
        <v>502.07</v>
      </c>
      <c r="K298" s="37">
        <f t="shared" si="118"/>
        <v>517.13210000000004</v>
      </c>
      <c r="L298" s="37">
        <f t="shared" si="119"/>
        <v>517.13210000000004</v>
      </c>
      <c r="M298" s="37">
        <f t="shared" si="120"/>
        <v>517.13210000000004</v>
      </c>
      <c r="N298" s="37">
        <f t="shared" si="121"/>
        <v>517.13210000000004</v>
      </c>
      <c r="O298" s="37">
        <f t="shared" si="122"/>
        <v>517.13210000000004</v>
      </c>
      <c r="P298" s="37">
        <f t="shared" si="123"/>
        <v>517.13210000000004</v>
      </c>
      <c r="Q298" s="37">
        <f t="shared" si="124"/>
        <v>517.13210000000004</v>
      </c>
      <c r="R298" s="37">
        <f t="shared" si="125"/>
        <v>517.13210000000004</v>
      </c>
      <c r="S298" s="37">
        <f t="shared" si="126"/>
        <v>517.13210000000004</v>
      </c>
      <c r="T298" s="37">
        <f t="shared" si="127"/>
        <v>517.13210000000004</v>
      </c>
      <c r="U298" s="37">
        <f t="shared" si="115"/>
        <v>6175.4609999999993</v>
      </c>
      <c r="W298" s="38">
        <v>502.07</v>
      </c>
      <c r="X298" s="39">
        <v>46111</v>
      </c>
      <c r="Y298" s="40" t="s">
        <v>86</v>
      </c>
      <c r="Z298" s="40" t="s">
        <v>55</v>
      </c>
      <c r="AA298" s="40" t="s">
        <v>45</v>
      </c>
      <c r="AB298" s="41">
        <v>0.03</v>
      </c>
      <c r="AD298" s="42" t="str">
        <f>C298&amp;A298</f>
        <v>ASSESSORIA GUARDA DE DOCUMENTOSOper</v>
      </c>
      <c r="AE298" s="42" t="str">
        <f>IFERROR(VLOOKUP(C298,[34]Planilha1!$B:$C,2,0),"Não se Aplica")</f>
        <v>Sim</v>
      </c>
      <c r="AF298" s="42" t="str">
        <f>VLOOKUP(AD298,[34]Planilha1!$H:$J,3,0)</f>
        <v>Não</v>
      </c>
      <c r="AG298" s="43">
        <f t="shared" si="114"/>
        <v>6175.4609999999993</v>
      </c>
    </row>
    <row r="299" spans="1:33" x14ac:dyDescent="0.3">
      <c r="A299" s="1" t="s">
        <v>836</v>
      </c>
      <c r="B299" s="34" t="s">
        <v>28</v>
      </c>
      <c r="C299" s="35" t="s">
        <v>157</v>
      </c>
      <c r="D299" s="34" t="s">
        <v>348</v>
      </c>
      <c r="E299" s="36" t="s">
        <v>349</v>
      </c>
      <c r="F299" s="34" t="s">
        <v>25</v>
      </c>
      <c r="G299" s="34" t="s">
        <v>32</v>
      </c>
      <c r="H299" s="34" t="s">
        <v>343</v>
      </c>
      <c r="I299" s="37">
        <v>20188.608989454213</v>
      </c>
      <c r="J299" s="37">
        <v>22287.658288591392</v>
      </c>
      <c r="K299" s="37">
        <v>24485.208909763427</v>
      </c>
      <c r="L299" s="37">
        <v>24268.783469799517</v>
      </c>
      <c r="M299" s="37">
        <v>25977.989508488878</v>
      </c>
      <c r="N299" s="37">
        <v>29772.371420676707</v>
      </c>
      <c r="O299" s="37">
        <v>33067.310009870889</v>
      </c>
      <c r="P299" s="37">
        <v>28063.165381987343</v>
      </c>
      <c r="Q299" s="37">
        <v>31876.970090069368</v>
      </c>
      <c r="R299" s="37">
        <v>30365.460366731659</v>
      </c>
      <c r="S299" s="37">
        <v>27035</v>
      </c>
      <c r="T299" s="37">
        <v>27035</v>
      </c>
      <c r="U299" s="37">
        <f t="shared" si="115"/>
        <v>324423.52643543342</v>
      </c>
      <c r="V299" s="6"/>
      <c r="W299" s="38">
        <v>24730.400000000001</v>
      </c>
      <c r="X299" s="39">
        <v>45921</v>
      </c>
      <c r="Y299" s="40" t="s">
        <v>65</v>
      </c>
      <c r="Z299" s="40" t="s">
        <v>44</v>
      </c>
      <c r="AA299" s="40" t="s">
        <v>56</v>
      </c>
      <c r="AB299" s="41">
        <v>0</v>
      </c>
      <c r="AD299" s="42" t="str">
        <f>C299&amp;A299</f>
        <v>ASSESSORIA GUARDA DE DOCUMENTOSOper</v>
      </c>
      <c r="AE299" s="42" t="str">
        <f>IFERROR(VLOOKUP(C299,[34]Planilha1!$B:$C,2,0),"Não se Aplica")</f>
        <v>Sim</v>
      </c>
      <c r="AF299" s="42" t="str">
        <f>VLOOKUP(AD299,[34]Planilha1!$H:$J,3,0)</f>
        <v>Não</v>
      </c>
      <c r="AG299" s="43">
        <f t="shared" si="114"/>
        <v>324423.52643543342</v>
      </c>
    </row>
    <row r="300" spans="1:33" x14ac:dyDescent="0.3">
      <c r="A300" s="1" t="s">
        <v>836</v>
      </c>
      <c r="B300" s="34" t="s">
        <v>28</v>
      </c>
      <c r="C300" s="35" t="s">
        <v>46</v>
      </c>
      <c r="D300" s="34" t="s">
        <v>350</v>
      </c>
      <c r="E300" s="36" t="s">
        <v>351</v>
      </c>
      <c r="F300" s="34" t="s">
        <v>37</v>
      </c>
      <c r="G300" s="34" t="s">
        <v>32</v>
      </c>
      <c r="H300" s="34" t="s">
        <v>343</v>
      </c>
      <c r="I300" s="37">
        <v>9309.9738297868662</v>
      </c>
      <c r="J300" s="37">
        <v>10473.720558510224</v>
      </c>
      <c r="K300" s="37">
        <v>11397.87237249642</v>
      </c>
      <c r="L300" s="37">
        <v>11848.160209684451</v>
      </c>
      <c r="M300" s="37">
        <v>12089.959397637194</v>
      </c>
      <c r="N300" s="37">
        <v>12780.814220359322</v>
      </c>
      <c r="O300" s="37">
        <v>15682.404475792246</v>
      </c>
      <c r="P300" s="37">
        <v>13437.126301945338</v>
      </c>
      <c r="Q300" s="37">
        <v>14300.694830347995</v>
      </c>
      <c r="R300" s="37">
        <v>14680.664982845165</v>
      </c>
      <c r="S300" s="37">
        <v>12600</v>
      </c>
      <c r="T300" s="37">
        <v>12600</v>
      </c>
      <c r="U300" s="37">
        <f t="shared" si="115"/>
        <v>151201.39117940521</v>
      </c>
      <c r="W300" s="51">
        <v>12600</v>
      </c>
      <c r="X300" s="39">
        <v>45600</v>
      </c>
      <c r="Y300" s="40" t="s">
        <v>129</v>
      </c>
      <c r="Z300" s="40" t="s">
        <v>55</v>
      </c>
      <c r="AA300" s="40" t="s">
        <v>56</v>
      </c>
      <c r="AB300" s="41">
        <v>0</v>
      </c>
      <c r="AD300" s="42" t="str">
        <f>C300&amp;A300</f>
        <v>MANUTEN. SISTEMAS  INFORMATICAOper</v>
      </c>
      <c r="AE300" s="42" t="str">
        <f>IFERROR(VLOOKUP(C300,[34]Planilha1!$B:$C,2,0),"Não se Aplica")</f>
        <v>Sim</v>
      </c>
      <c r="AF300" s="42" t="str">
        <f>VLOOKUP(AD300,[34]Planilha1!$H:$J,3,0)</f>
        <v>Sim</v>
      </c>
      <c r="AG300" s="43">
        <f t="shared" si="114"/>
        <v>137215.26249531022</v>
      </c>
    </row>
    <row r="301" spans="1:33" x14ac:dyDescent="0.3">
      <c r="A301" s="1" t="s">
        <v>836</v>
      </c>
      <c r="B301" s="34" t="s">
        <v>28</v>
      </c>
      <c r="C301" s="35" t="s">
        <v>46</v>
      </c>
      <c r="D301" s="34" t="s">
        <v>352</v>
      </c>
      <c r="E301" s="36" t="s">
        <v>353</v>
      </c>
      <c r="F301" s="28" t="s">
        <v>52</v>
      </c>
      <c r="G301" s="34" t="s">
        <v>32</v>
      </c>
      <c r="H301" s="34" t="s">
        <v>53</v>
      </c>
      <c r="I301" s="37">
        <f t="shared" ref="I301" si="128">IF($Y301="janeiro",$W301*(1+$AB301),$W301)</f>
        <v>9800</v>
      </c>
      <c r="J301" s="37">
        <f t="shared" ref="J301" si="129">IF($Y301="fevereiro",$I301*(1+$AB301),$I301)</f>
        <v>9800</v>
      </c>
      <c r="K301" s="37">
        <f t="shared" ref="K301" si="130">IF($Y301="março",$J301*(1+$AB301),$J301)</f>
        <v>9800</v>
      </c>
      <c r="L301" s="37">
        <f t="shared" ref="L301" si="131">IF($Y301="abril",$K301*(1+$AB301),$K301)</f>
        <v>9800</v>
      </c>
      <c r="M301" s="37">
        <f t="shared" ref="M301" si="132">IF($Y301="maio",$L301*(1+$AB301),$L301)</f>
        <v>9800</v>
      </c>
      <c r="N301" s="37">
        <f t="shared" ref="N301" si="133">IF($Y301="junho",$M301*(1+$AB301),$M301)</f>
        <v>9800</v>
      </c>
      <c r="O301" s="37">
        <f t="shared" ref="O301" si="134">IF($Y301="julho",$N301*(1+$AB301),$N301)</f>
        <v>9800</v>
      </c>
      <c r="P301" s="37">
        <f t="shared" ref="P301" si="135">IF($Y301="agosto",$O301*(1+$AB301),$O301)</f>
        <v>9800</v>
      </c>
      <c r="Q301" s="37">
        <f t="shared" ref="Q301" si="136">IF($Y301="setembro",$P301*(1+$AB301),$P301)</f>
        <v>9800</v>
      </c>
      <c r="R301" s="37">
        <f t="shared" ref="R301" si="137">IF($Y301="outubro",$Q301*(1+$AB301),$Q301)</f>
        <v>9800</v>
      </c>
      <c r="S301" s="37">
        <f t="shared" ref="S301" si="138">IF($Y301="novembro",$R301*(1+$AB301),$R301)</f>
        <v>9800</v>
      </c>
      <c r="T301" s="37">
        <f t="shared" ref="T301" si="139">IF($Y301="dezembro",$S301*(1+$AB301),$S301)</f>
        <v>9800</v>
      </c>
      <c r="U301" s="37">
        <f t="shared" si="115"/>
        <v>117600</v>
      </c>
      <c r="V301" s="6"/>
      <c r="W301" s="63">
        <v>9800</v>
      </c>
      <c r="X301" s="39">
        <v>45667</v>
      </c>
      <c r="Y301" s="40" t="s">
        <v>222</v>
      </c>
      <c r="Z301" s="40" t="s">
        <v>55</v>
      </c>
      <c r="AA301" s="40" t="s">
        <v>56</v>
      </c>
      <c r="AB301" s="41">
        <v>0</v>
      </c>
      <c r="AD301" s="42" t="str">
        <f>C301&amp;A301</f>
        <v>MANUTEN. SISTEMAS  INFORMATICAOper</v>
      </c>
      <c r="AE301" s="42" t="str">
        <f>IFERROR(VLOOKUP(C301,[34]Planilha1!$B:$C,2,0),"Não se Aplica")</f>
        <v>Sim</v>
      </c>
      <c r="AF301" s="42" t="str">
        <f>VLOOKUP(AD301,[34]Planilha1!$H:$J,3,0)</f>
        <v>Sim</v>
      </c>
      <c r="AG301" s="43">
        <f t="shared" si="114"/>
        <v>106722</v>
      </c>
    </row>
    <row r="302" spans="1:33" x14ac:dyDescent="0.3">
      <c r="A302" s="1" t="s">
        <v>836</v>
      </c>
      <c r="B302" s="34" t="s">
        <v>28</v>
      </c>
      <c r="C302" s="35" t="s">
        <v>46</v>
      </c>
      <c r="D302" s="34" t="s">
        <v>355</v>
      </c>
      <c r="E302" s="34" t="s">
        <v>356</v>
      </c>
      <c r="F302" s="28" t="s">
        <v>52</v>
      </c>
      <c r="G302" s="34" t="s">
        <v>32</v>
      </c>
      <c r="H302" s="34" t="s">
        <v>53</v>
      </c>
      <c r="I302" s="37">
        <f t="shared" ref="I302:I313" si="140">IF($Y302="janeiro",$W302*(1+$AB302),$W302)</f>
        <v>1032</v>
      </c>
      <c r="J302" s="37">
        <f t="shared" ref="J302:J313" si="141">IF($Y302="fevereiro",$I302*(1+$AB302),$I302)</f>
        <v>1032</v>
      </c>
      <c r="K302" s="37">
        <f t="shared" ref="K302:K313" si="142">IF($Y302="março",$J302*(1+$AB302),$J302)</f>
        <v>1032</v>
      </c>
      <c r="L302" s="37">
        <f t="shared" ref="L302:L313" si="143">IF($Y302="abril",$K302*(1+$AB302),$K302)</f>
        <v>1032</v>
      </c>
      <c r="M302" s="37">
        <f t="shared" ref="M302:M313" si="144">IF($Y302="maio",$L302*(1+$AB302),$L302)</f>
        <v>1032</v>
      </c>
      <c r="N302" s="37">
        <f t="shared" ref="N302:N313" si="145">IF($Y302="junho",$M302*(1+$AB302),$M302)</f>
        <v>1032</v>
      </c>
      <c r="O302" s="37">
        <f t="shared" ref="O302:O313" si="146">IF($Y302="julho",$N302*(1+$AB302),$N302)</f>
        <v>1032</v>
      </c>
      <c r="P302" s="37">
        <f t="shared" ref="P302:P313" si="147">IF($Y302="agosto",$O302*(1+$AB302),$O302)</f>
        <v>1032</v>
      </c>
      <c r="Q302" s="37">
        <f t="shared" ref="Q302" si="148">IF($Y302="setembro",$P302*(1+$AB302),$P302)</f>
        <v>1032</v>
      </c>
      <c r="R302" s="37">
        <f t="shared" ref="R302" si="149">IF($Y302="outubro",$Q302*(1+$AB302),$Q302)</f>
        <v>1032</v>
      </c>
      <c r="S302" s="37">
        <f t="shared" ref="S302:S313" si="150">IF($Y302="novembro",$R302*(1+$AB302),$R302)</f>
        <v>1032</v>
      </c>
      <c r="T302" s="37">
        <f t="shared" ref="T302:T313" si="151">IF($Y302="dezembro",$S302*(1+$AB302),$S302)</f>
        <v>1032</v>
      </c>
      <c r="U302" s="37">
        <f t="shared" si="115"/>
        <v>12384</v>
      </c>
      <c r="W302" s="64">
        <v>1032</v>
      </c>
      <c r="X302" s="39"/>
      <c r="Y302" s="40"/>
      <c r="Z302" s="40"/>
      <c r="AA302" s="40" t="s">
        <v>45</v>
      </c>
      <c r="AB302" s="41">
        <v>0</v>
      </c>
      <c r="AD302" s="42" t="str">
        <f>C302&amp;A302</f>
        <v>MANUTEN. SISTEMAS  INFORMATICAOper</v>
      </c>
      <c r="AE302" s="42" t="str">
        <f>IFERROR(VLOOKUP(C302,[34]Planilha1!$B:$C,2,0),"Não se Aplica")</f>
        <v>Sim</v>
      </c>
      <c r="AF302" s="42" t="str">
        <f>VLOOKUP(AD302,[34]Planilha1!$H:$J,3,0)</f>
        <v>Sim</v>
      </c>
      <c r="AG302" s="43">
        <f t="shared" si="114"/>
        <v>11238.48</v>
      </c>
    </row>
    <row r="303" spans="1:33" x14ac:dyDescent="0.3">
      <c r="A303" s="1" t="s">
        <v>836</v>
      </c>
      <c r="B303" s="34" t="s">
        <v>20</v>
      </c>
      <c r="C303" s="35" t="s">
        <v>38</v>
      </c>
      <c r="D303" s="34" t="s">
        <v>358</v>
      </c>
      <c r="E303" s="36" t="s">
        <v>359</v>
      </c>
      <c r="F303" s="28" t="s">
        <v>52</v>
      </c>
      <c r="G303" s="34" t="s">
        <v>32</v>
      </c>
      <c r="H303" s="34" t="s">
        <v>53</v>
      </c>
      <c r="I303" s="37">
        <f t="shared" si="140"/>
        <v>14000</v>
      </c>
      <c r="J303" s="37">
        <f t="shared" si="141"/>
        <v>14000</v>
      </c>
      <c r="K303" s="37">
        <f t="shared" si="142"/>
        <v>14000</v>
      </c>
      <c r="L303" s="37">
        <f t="shared" si="143"/>
        <v>14000</v>
      </c>
      <c r="M303" s="37">
        <f t="shared" si="144"/>
        <v>14000</v>
      </c>
      <c r="N303" s="37">
        <f t="shared" si="145"/>
        <v>14000</v>
      </c>
      <c r="O303" s="37">
        <f t="shared" si="146"/>
        <v>14000</v>
      </c>
      <c r="P303" s="37">
        <f t="shared" si="147"/>
        <v>14000</v>
      </c>
      <c r="Q303" s="37">
        <v>17000</v>
      </c>
      <c r="R303" s="37">
        <v>14000</v>
      </c>
      <c r="S303" s="37">
        <f t="shared" si="150"/>
        <v>14000</v>
      </c>
      <c r="T303" s="37">
        <f t="shared" si="151"/>
        <v>14000</v>
      </c>
      <c r="U303" s="37">
        <f t="shared" si="115"/>
        <v>171000</v>
      </c>
      <c r="W303" s="64">
        <v>14000</v>
      </c>
      <c r="X303" s="39"/>
      <c r="Y303" s="40"/>
      <c r="Z303" s="40"/>
      <c r="AA303" s="40" t="s">
        <v>45</v>
      </c>
      <c r="AB303" s="41">
        <v>0</v>
      </c>
      <c r="AD303" s="42" t="str">
        <f>C303&amp;A303</f>
        <v>ALUGUEIS DE EQUIPAMENTOSOper</v>
      </c>
      <c r="AE303" s="42" t="str">
        <f>IFERROR(VLOOKUP(C303,[34]Planilha1!$B:$C,2,0),"Não se Aplica")</f>
        <v>Sim</v>
      </c>
      <c r="AF303" s="42" t="str">
        <f>VLOOKUP(AD303,[34]Planilha1!$H:$J,3,0)</f>
        <v>Sim</v>
      </c>
      <c r="AG303" s="43">
        <f t="shared" si="114"/>
        <v>155182.5</v>
      </c>
    </row>
    <row r="304" spans="1:33" x14ac:dyDescent="0.3">
      <c r="A304" s="1" t="s">
        <v>836</v>
      </c>
      <c r="B304" s="34" t="s">
        <v>28</v>
      </c>
      <c r="C304" s="35" t="s">
        <v>46</v>
      </c>
      <c r="D304" s="34" t="s">
        <v>357</v>
      </c>
      <c r="E304" s="36" t="s">
        <v>360</v>
      </c>
      <c r="F304" s="28" t="s">
        <v>52</v>
      </c>
      <c r="G304" s="34" t="s">
        <v>32</v>
      </c>
      <c r="H304" s="34" t="s">
        <v>53</v>
      </c>
      <c r="I304" s="37">
        <f t="shared" si="140"/>
        <v>1350</v>
      </c>
      <c r="J304" s="37">
        <f t="shared" si="141"/>
        <v>1350</v>
      </c>
      <c r="K304" s="37">
        <f t="shared" si="142"/>
        <v>1350</v>
      </c>
      <c r="L304" s="37">
        <f t="shared" si="143"/>
        <v>1350</v>
      </c>
      <c r="M304" s="37">
        <f t="shared" si="144"/>
        <v>1350</v>
      </c>
      <c r="N304" s="37">
        <f t="shared" si="145"/>
        <v>1350</v>
      </c>
      <c r="O304" s="37">
        <f t="shared" si="146"/>
        <v>1350</v>
      </c>
      <c r="P304" s="37">
        <f t="shared" si="147"/>
        <v>1350</v>
      </c>
      <c r="Q304" s="37">
        <f t="shared" ref="Q304:Q313" si="152">IF($Y304="setembro",$P304*(1+$AB304),$P304)</f>
        <v>1350</v>
      </c>
      <c r="R304" s="37">
        <f t="shared" ref="R304:R313" si="153">IF($Y304="outubro",$Q304*(1+$AB304),$Q304)</f>
        <v>1350</v>
      </c>
      <c r="S304" s="37">
        <f t="shared" si="150"/>
        <v>1350</v>
      </c>
      <c r="T304" s="37">
        <f t="shared" si="151"/>
        <v>1350</v>
      </c>
      <c r="U304" s="37">
        <f t="shared" si="115"/>
        <v>16200</v>
      </c>
      <c r="W304" s="64">
        <v>1350</v>
      </c>
      <c r="X304" s="39"/>
      <c r="Y304" s="40"/>
      <c r="Z304" s="40"/>
      <c r="AA304" s="40" t="s">
        <v>45</v>
      </c>
      <c r="AB304" s="41">
        <v>0</v>
      </c>
      <c r="AD304" s="42" t="str">
        <f>C304&amp;A304</f>
        <v>MANUTEN. SISTEMAS  INFORMATICAOper</v>
      </c>
      <c r="AE304" s="42" t="str">
        <f>IFERROR(VLOOKUP(C304,[34]Planilha1!$B:$C,2,0),"Não se Aplica")</f>
        <v>Sim</v>
      </c>
      <c r="AF304" s="42" t="str">
        <f>VLOOKUP(AD304,[34]Planilha1!$H:$J,3,0)</f>
        <v>Sim</v>
      </c>
      <c r="AG304" s="43">
        <f t="shared" si="114"/>
        <v>14701.5</v>
      </c>
    </row>
    <row r="305" spans="1:33" x14ac:dyDescent="0.3">
      <c r="A305" s="1" t="s">
        <v>836</v>
      </c>
      <c r="B305" s="34" t="s">
        <v>28</v>
      </c>
      <c r="C305" s="35" t="s">
        <v>57</v>
      </c>
      <c r="D305" s="34" t="s">
        <v>361</v>
      </c>
      <c r="E305" s="36" t="s">
        <v>362</v>
      </c>
      <c r="F305" s="28" t="s">
        <v>52</v>
      </c>
      <c r="G305" s="34" t="s">
        <v>32</v>
      </c>
      <c r="H305" s="34" t="s">
        <v>53</v>
      </c>
      <c r="I305" s="37">
        <f t="shared" si="140"/>
        <v>4000</v>
      </c>
      <c r="J305" s="37">
        <f t="shared" si="141"/>
        <v>4000</v>
      </c>
      <c r="K305" s="37">
        <f t="shared" si="142"/>
        <v>4000</v>
      </c>
      <c r="L305" s="37">
        <f t="shared" si="143"/>
        <v>4000</v>
      </c>
      <c r="M305" s="37">
        <f t="shared" si="144"/>
        <v>4000</v>
      </c>
      <c r="N305" s="37">
        <f t="shared" si="145"/>
        <v>4000</v>
      </c>
      <c r="O305" s="37">
        <f t="shared" si="146"/>
        <v>4000</v>
      </c>
      <c r="P305" s="37">
        <f t="shared" si="147"/>
        <v>4000</v>
      </c>
      <c r="Q305" s="37">
        <f t="shared" si="152"/>
        <v>4000</v>
      </c>
      <c r="R305" s="37">
        <f t="shared" si="153"/>
        <v>4000</v>
      </c>
      <c r="S305" s="37">
        <f t="shared" si="150"/>
        <v>4000</v>
      </c>
      <c r="T305" s="37">
        <f t="shared" si="151"/>
        <v>4000</v>
      </c>
      <c r="U305" s="37">
        <f t="shared" si="115"/>
        <v>48000</v>
      </c>
      <c r="V305" s="6"/>
      <c r="W305" s="63">
        <v>4000</v>
      </c>
      <c r="X305" s="39">
        <v>46235</v>
      </c>
      <c r="Y305" s="40" t="s">
        <v>102</v>
      </c>
      <c r="Z305" s="40" t="s">
        <v>55</v>
      </c>
      <c r="AA305" s="40" t="s">
        <v>56</v>
      </c>
      <c r="AB305" s="41">
        <v>0</v>
      </c>
      <c r="AD305" s="42" t="str">
        <f>C305&amp;A305</f>
        <v>AUDITORIA/CONSULTORIAOper</v>
      </c>
      <c r="AE305" s="42" t="str">
        <f>IFERROR(VLOOKUP(C305,[34]Planilha1!$B:$C,2,0),"Não se Aplica")</f>
        <v>Sim</v>
      </c>
      <c r="AF305" s="42" t="str">
        <f>VLOOKUP(AD305,[34]Planilha1!$H:$J,3,0)</f>
        <v>Não</v>
      </c>
      <c r="AG305" s="43">
        <f t="shared" si="114"/>
        <v>48000</v>
      </c>
    </row>
    <row r="306" spans="1:33" x14ac:dyDescent="0.3">
      <c r="A306" s="1" t="s">
        <v>836</v>
      </c>
      <c r="B306" s="34" t="s">
        <v>28</v>
      </c>
      <c r="C306" s="35" t="s">
        <v>38</v>
      </c>
      <c r="D306" s="34" t="s">
        <v>358</v>
      </c>
      <c r="E306" s="36" t="s">
        <v>363</v>
      </c>
      <c r="F306" s="28" t="s">
        <v>52</v>
      </c>
      <c r="G306" s="34" t="s">
        <v>32</v>
      </c>
      <c r="H306" s="34" t="s">
        <v>53</v>
      </c>
      <c r="I306" s="37">
        <f t="shared" si="140"/>
        <v>6077</v>
      </c>
      <c r="J306" s="37">
        <f t="shared" si="141"/>
        <v>6077</v>
      </c>
      <c r="K306" s="37">
        <f t="shared" si="142"/>
        <v>6077</v>
      </c>
      <c r="L306" s="37">
        <f t="shared" si="143"/>
        <v>6077</v>
      </c>
      <c r="M306" s="37">
        <f t="shared" si="144"/>
        <v>6077</v>
      </c>
      <c r="N306" s="37">
        <f t="shared" si="145"/>
        <v>6077</v>
      </c>
      <c r="O306" s="37">
        <f t="shared" si="146"/>
        <v>6077</v>
      </c>
      <c r="P306" s="37">
        <f t="shared" si="147"/>
        <v>6077</v>
      </c>
      <c r="Q306" s="37">
        <f t="shared" si="152"/>
        <v>6077</v>
      </c>
      <c r="R306" s="37">
        <f t="shared" si="153"/>
        <v>6077</v>
      </c>
      <c r="S306" s="37">
        <f t="shared" si="150"/>
        <v>6077</v>
      </c>
      <c r="T306" s="37">
        <f t="shared" si="151"/>
        <v>6077</v>
      </c>
      <c r="U306" s="37">
        <f t="shared" si="115"/>
        <v>72924</v>
      </c>
      <c r="W306" s="64">
        <v>5900</v>
      </c>
      <c r="X306" s="39">
        <v>45639</v>
      </c>
      <c r="Y306" s="40" t="s">
        <v>51</v>
      </c>
      <c r="Z306" s="40"/>
      <c r="AA306" s="40" t="s">
        <v>45</v>
      </c>
      <c r="AB306" s="41">
        <v>0.03</v>
      </c>
      <c r="AD306" s="42" t="str">
        <f>C306&amp;A306</f>
        <v>ALUGUEIS DE EQUIPAMENTOSOper</v>
      </c>
      <c r="AE306" s="42" t="str">
        <f>IFERROR(VLOOKUP(C306,[34]Planilha1!$B:$C,2,0),"Não se Aplica")</f>
        <v>Sim</v>
      </c>
      <c r="AF306" s="42" t="str">
        <f>VLOOKUP(AD306,[34]Planilha1!$H:$J,3,0)</f>
        <v>Sim</v>
      </c>
      <c r="AG306" s="43">
        <f t="shared" si="114"/>
        <v>66178.53</v>
      </c>
    </row>
    <row r="307" spans="1:33" x14ac:dyDescent="0.3">
      <c r="A307" s="1" t="s">
        <v>836</v>
      </c>
      <c r="B307" s="34" t="s">
        <v>20</v>
      </c>
      <c r="C307" s="35" t="s">
        <v>38</v>
      </c>
      <c r="D307" s="34" t="s">
        <v>364</v>
      </c>
      <c r="E307" s="36" t="s">
        <v>365</v>
      </c>
      <c r="F307" s="34" t="s">
        <v>60</v>
      </c>
      <c r="G307" s="34" t="s">
        <v>32</v>
      </c>
      <c r="H307" s="34" t="s">
        <v>61</v>
      </c>
      <c r="I307" s="37">
        <f t="shared" si="140"/>
        <v>30400</v>
      </c>
      <c r="J307" s="37">
        <f t="shared" si="141"/>
        <v>30400</v>
      </c>
      <c r="K307" s="37">
        <f t="shared" si="142"/>
        <v>30400</v>
      </c>
      <c r="L307" s="37">
        <f t="shared" si="143"/>
        <v>30400</v>
      </c>
      <c r="M307" s="37">
        <f t="shared" si="144"/>
        <v>30400</v>
      </c>
      <c r="N307" s="37">
        <f t="shared" si="145"/>
        <v>30400</v>
      </c>
      <c r="O307" s="37">
        <f t="shared" si="146"/>
        <v>30400</v>
      </c>
      <c r="P307" s="37">
        <f t="shared" si="147"/>
        <v>30400</v>
      </c>
      <c r="Q307" s="37">
        <f t="shared" si="152"/>
        <v>31312</v>
      </c>
      <c r="R307" s="37">
        <f t="shared" si="153"/>
        <v>31312</v>
      </c>
      <c r="S307" s="37">
        <f t="shared" si="150"/>
        <v>31312</v>
      </c>
      <c r="T307" s="37">
        <f t="shared" si="151"/>
        <v>31312</v>
      </c>
      <c r="U307" s="37">
        <f t="shared" si="115"/>
        <v>368448</v>
      </c>
      <c r="W307" s="64">
        <v>30400</v>
      </c>
      <c r="X307" s="39">
        <v>46271</v>
      </c>
      <c r="Y307" s="40" t="s">
        <v>129</v>
      </c>
      <c r="Z307" s="40"/>
      <c r="AA307" s="40" t="s">
        <v>45</v>
      </c>
      <c r="AB307" s="41">
        <v>0.03</v>
      </c>
      <c r="AD307" s="42" t="str">
        <f>C307&amp;A307</f>
        <v>ALUGUEIS DE EQUIPAMENTOSOper</v>
      </c>
      <c r="AE307" s="42" t="str">
        <f>IFERROR(VLOOKUP(C307,[34]Planilha1!$B:$C,2,0),"Não se Aplica")</f>
        <v>Sim</v>
      </c>
      <c r="AF307" s="42" t="str">
        <f>VLOOKUP(AD307,[34]Planilha1!$H:$J,3,0)</f>
        <v>Sim</v>
      </c>
      <c r="AG307" s="43">
        <f t="shared" si="114"/>
        <v>334366.56</v>
      </c>
    </row>
    <row r="308" spans="1:33" x14ac:dyDescent="0.3">
      <c r="A308" s="1" t="s">
        <v>836</v>
      </c>
      <c r="B308" s="34" t="s">
        <v>20</v>
      </c>
      <c r="C308" s="35" t="s">
        <v>210</v>
      </c>
      <c r="D308" s="34" t="s">
        <v>366</v>
      </c>
      <c r="E308" s="36" t="s">
        <v>367</v>
      </c>
      <c r="F308" s="34" t="s">
        <v>60</v>
      </c>
      <c r="G308" s="34" t="s">
        <v>22</v>
      </c>
      <c r="H308" s="34" t="s">
        <v>61</v>
      </c>
      <c r="I308" s="37">
        <f t="shared" si="140"/>
        <v>750</v>
      </c>
      <c r="J308" s="37">
        <f t="shared" si="141"/>
        <v>750</v>
      </c>
      <c r="K308" s="37">
        <f t="shared" si="142"/>
        <v>750</v>
      </c>
      <c r="L308" s="37">
        <f t="shared" si="143"/>
        <v>750</v>
      </c>
      <c r="M308" s="37">
        <f t="shared" si="144"/>
        <v>750</v>
      </c>
      <c r="N308" s="37">
        <f t="shared" si="145"/>
        <v>750</v>
      </c>
      <c r="O308" s="37">
        <f t="shared" si="146"/>
        <v>750</v>
      </c>
      <c r="P308" s="37">
        <f t="shared" si="147"/>
        <v>750</v>
      </c>
      <c r="Q308" s="37">
        <f t="shared" si="152"/>
        <v>750</v>
      </c>
      <c r="R308" s="37">
        <f t="shared" si="153"/>
        <v>750</v>
      </c>
      <c r="S308" s="37">
        <f t="shared" si="150"/>
        <v>750</v>
      </c>
      <c r="T308" s="37">
        <f t="shared" si="151"/>
        <v>772.5</v>
      </c>
      <c r="U308" s="37">
        <f t="shared" si="115"/>
        <v>9022.5</v>
      </c>
      <c r="W308" s="64">
        <v>750</v>
      </c>
      <c r="X308" s="39">
        <v>46009</v>
      </c>
      <c r="Y308" s="40" t="s">
        <v>222</v>
      </c>
      <c r="Z308" s="40"/>
      <c r="AA308" s="40" t="s">
        <v>45</v>
      </c>
      <c r="AB308" s="41">
        <v>0.03</v>
      </c>
      <c r="AD308" s="42" t="str">
        <f>C308&amp;A308</f>
        <v>CERTIFICACAO/QUALIDADEOper</v>
      </c>
      <c r="AE308" s="42" t="str">
        <f>IFERROR(VLOOKUP(C308,[34]Planilha1!$B:$C,2,0),"Não se Aplica")</f>
        <v>Sim</v>
      </c>
      <c r="AF308" s="42" t="str">
        <f>VLOOKUP(AD308,[34]Planilha1!$H:$J,3,0)</f>
        <v>Não</v>
      </c>
      <c r="AG308" s="43">
        <f t="shared" si="114"/>
        <v>9022.5</v>
      </c>
    </row>
    <row r="309" spans="1:33" x14ac:dyDescent="0.3">
      <c r="A309" s="1" t="s">
        <v>836</v>
      </c>
      <c r="B309" s="34" t="s">
        <v>20</v>
      </c>
      <c r="C309" s="35" t="s">
        <v>38</v>
      </c>
      <c r="D309" s="34" t="s">
        <v>368</v>
      </c>
      <c r="E309" s="36" t="s">
        <v>369</v>
      </c>
      <c r="F309" s="34" t="s">
        <v>60</v>
      </c>
      <c r="G309" s="34" t="s">
        <v>32</v>
      </c>
      <c r="H309" s="34" t="s">
        <v>61</v>
      </c>
      <c r="I309" s="37">
        <f t="shared" si="140"/>
        <v>4300</v>
      </c>
      <c r="J309" s="37">
        <f t="shared" si="141"/>
        <v>4300</v>
      </c>
      <c r="K309" s="37">
        <f t="shared" si="142"/>
        <v>4300</v>
      </c>
      <c r="L309" s="37">
        <f t="shared" si="143"/>
        <v>4300</v>
      </c>
      <c r="M309" s="37">
        <f t="shared" si="144"/>
        <v>4300</v>
      </c>
      <c r="N309" s="37">
        <f t="shared" si="145"/>
        <v>4300</v>
      </c>
      <c r="O309" s="37">
        <f t="shared" si="146"/>
        <v>4300</v>
      </c>
      <c r="P309" s="37">
        <f t="shared" si="147"/>
        <v>4300</v>
      </c>
      <c r="Q309" s="37">
        <f t="shared" si="152"/>
        <v>4300</v>
      </c>
      <c r="R309" s="37">
        <f t="shared" si="153"/>
        <v>4300</v>
      </c>
      <c r="S309" s="37">
        <f t="shared" si="150"/>
        <v>4300</v>
      </c>
      <c r="T309" s="37">
        <f t="shared" si="151"/>
        <v>4300</v>
      </c>
      <c r="U309" s="37">
        <f t="shared" si="115"/>
        <v>51600</v>
      </c>
      <c r="W309" s="64">
        <v>4300</v>
      </c>
      <c r="X309" s="39"/>
      <c r="Y309" s="40" t="s">
        <v>51</v>
      </c>
      <c r="Z309" s="40"/>
      <c r="AA309" s="40" t="s">
        <v>45</v>
      </c>
      <c r="AB309" s="41">
        <v>0</v>
      </c>
      <c r="AD309" s="42" t="str">
        <f>C309&amp;A309</f>
        <v>ALUGUEIS DE EQUIPAMENTOSOper</v>
      </c>
      <c r="AE309" s="42" t="str">
        <f>IFERROR(VLOOKUP(C309,[34]Planilha1!$B:$C,2,0),"Não se Aplica")</f>
        <v>Sim</v>
      </c>
      <c r="AF309" s="42" t="str">
        <f>VLOOKUP(AD309,[34]Planilha1!$H:$J,3,0)</f>
        <v>Sim</v>
      </c>
      <c r="AG309" s="43">
        <f t="shared" si="114"/>
        <v>46827</v>
      </c>
    </row>
    <row r="310" spans="1:33" x14ac:dyDescent="0.3">
      <c r="A310" s="1" t="s">
        <v>836</v>
      </c>
      <c r="B310" s="34" t="s">
        <v>28</v>
      </c>
      <c r="C310" s="35" t="s">
        <v>38</v>
      </c>
      <c r="D310" s="34" t="s">
        <v>368</v>
      </c>
      <c r="E310" s="36" t="s">
        <v>369</v>
      </c>
      <c r="F310" s="34" t="s">
        <v>60</v>
      </c>
      <c r="G310" s="34" t="s">
        <v>32</v>
      </c>
      <c r="H310" s="34" t="s">
        <v>61</v>
      </c>
      <c r="I310" s="37">
        <f t="shared" si="140"/>
        <v>600</v>
      </c>
      <c r="J310" s="37">
        <f t="shared" si="141"/>
        <v>600</v>
      </c>
      <c r="K310" s="37">
        <f t="shared" si="142"/>
        <v>600</v>
      </c>
      <c r="L310" s="37">
        <f t="shared" si="143"/>
        <v>600</v>
      </c>
      <c r="M310" s="37">
        <f t="shared" si="144"/>
        <v>600</v>
      </c>
      <c r="N310" s="37">
        <f t="shared" si="145"/>
        <v>600</v>
      </c>
      <c r="O310" s="37">
        <f t="shared" si="146"/>
        <v>600</v>
      </c>
      <c r="P310" s="37">
        <f t="shared" si="147"/>
        <v>600</v>
      </c>
      <c r="Q310" s="37">
        <f t="shared" si="152"/>
        <v>600</v>
      </c>
      <c r="R310" s="37">
        <f t="shared" si="153"/>
        <v>600</v>
      </c>
      <c r="S310" s="37">
        <f t="shared" si="150"/>
        <v>600</v>
      </c>
      <c r="T310" s="37">
        <f t="shared" si="151"/>
        <v>600</v>
      </c>
      <c r="U310" s="37">
        <f t="shared" si="115"/>
        <v>7200</v>
      </c>
      <c r="W310" s="64">
        <v>600</v>
      </c>
      <c r="X310" s="39"/>
      <c r="Y310" s="40" t="s">
        <v>51</v>
      </c>
      <c r="Z310" s="40"/>
      <c r="AA310" s="40" t="s">
        <v>45</v>
      </c>
      <c r="AB310" s="41">
        <v>0</v>
      </c>
      <c r="AD310" s="42" t="str">
        <f>C310&amp;A310</f>
        <v>ALUGUEIS DE EQUIPAMENTOSOper</v>
      </c>
      <c r="AE310" s="42" t="str">
        <f>IFERROR(VLOOKUP(C310,[34]Planilha1!$B:$C,2,0),"Não se Aplica")</f>
        <v>Sim</v>
      </c>
      <c r="AF310" s="42" t="str">
        <f>VLOOKUP(AD310,[34]Planilha1!$H:$J,3,0)</f>
        <v>Sim</v>
      </c>
      <c r="AG310" s="43">
        <f t="shared" si="114"/>
        <v>6534</v>
      </c>
    </row>
    <row r="311" spans="1:33" x14ac:dyDescent="0.3">
      <c r="A311" s="1" t="s">
        <v>836</v>
      </c>
      <c r="B311" s="34" t="s">
        <v>20</v>
      </c>
      <c r="C311" s="35" t="s">
        <v>38</v>
      </c>
      <c r="D311" s="34" t="s">
        <v>370</v>
      </c>
      <c r="E311" s="36" t="s">
        <v>369</v>
      </c>
      <c r="F311" s="34" t="s">
        <v>60</v>
      </c>
      <c r="G311" s="34" t="s">
        <v>32</v>
      </c>
      <c r="H311" s="34" t="s">
        <v>61</v>
      </c>
      <c r="I311" s="37">
        <f t="shared" si="140"/>
        <v>6000</v>
      </c>
      <c r="J311" s="37">
        <f t="shared" si="141"/>
        <v>6000</v>
      </c>
      <c r="K311" s="37">
        <f t="shared" si="142"/>
        <v>6000</v>
      </c>
      <c r="L311" s="37">
        <f t="shared" si="143"/>
        <v>6000</v>
      </c>
      <c r="M311" s="37">
        <f t="shared" si="144"/>
        <v>6000</v>
      </c>
      <c r="N311" s="37">
        <f t="shared" si="145"/>
        <v>6000</v>
      </c>
      <c r="O311" s="37">
        <f t="shared" si="146"/>
        <v>6000</v>
      </c>
      <c r="P311" s="37">
        <f t="shared" si="147"/>
        <v>6000</v>
      </c>
      <c r="Q311" s="37">
        <f t="shared" si="152"/>
        <v>6000</v>
      </c>
      <c r="R311" s="37">
        <f t="shared" si="153"/>
        <v>6000</v>
      </c>
      <c r="S311" s="37">
        <f t="shared" si="150"/>
        <v>6000</v>
      </c>
      <c r="T311" s="37">
        <f t="shared" si="151"/>
        <v>6000</v>
      </c>
      <c r="U311" s="37">
        <f t="shared" si="115"/>
        <v>72000</v>
      </c>
      <c r="W311" s="64">
        <v>6000</v>
      </c>
      <c r="X311" s="39"/>
      <c r="Y311" s="40" t="s">
        <v>51</v>
      </c>
      <c r="Z311" s="40"/>
      <c r="AA311" s="40" t="s">
        <v>45</v>
      </c>
      <c r="AB311" s="41">
        <v>0</v>
      </c>
      <c r="AD311" s="42" t="str">
        <f>C311&amp;A311</f>
        <v>ALUGUEIS DE EQUIPAMENTOSOper</v>
      </c>
      <c r="AE311" s="42" t="str">
        <f>IFERROR(VLOOKUP(C311,[34]Planilha1!$B:$C,2,0),"Não se Aplica")</f>
        <v>Sim</v>
      </c>
      <c r="AF311" s="42" t="str">
        <f>VLOOKUP(AD311,[34]Planilha1!$H:$J,3,0)</f>
        <v>Sim</v>
      </c>
      <c r="AG311" s="43">
        <f t="shared" si="114"/>
        <v>65340</v>
      </c>
    </row>
    <row r="312" spans="1:33" x14ac:dyDescent="0.3">
      <c r="A312" s="1" t="s">
        <v>836</v>
      </c>
      <c r="B312" s="34" t="s">
        <v>20</v>
      </c>
      <c r="C312" s="35" t="s">
        <v>38</v>
      </c>
      <c r="D312" s="34" t="s">
        <v>370</v>
      </c>
      <c r="E312" s="36" t="s">
        <v>369</v>
      </c>
      <c r="F312" s="34" t="s">
        <v>60</v>
      </c>
      <c r="G312" s="34" t="s">
        <v>22</v>
      </c>
      <c r="H312" s="34" t="s">
        <v>61</v>
      </c>
      <c r="I312" s="37">
        <f t="shared" si="140"/>
        <v>5700</v>
      </c>
      <c r="J312" s="37">
        <f t="shared" si="141"/>
        <v>5700</v>
      </c>
      <c r="K312" s="37">
        <f t="shared" si="142"/>
        <v>5700</v>
      </c>
      <c r="L312" s="37">
        <f t="shared" si="143"/>
        <v>5700</v>
      </c>
      <c r="M312" s="37">
        <f t="shared" si="144"/>
        <v>5700</v>
      </c>
      <c r="N312" s="37">
        <f t="shared" si="145"/>
        <v>5700</v>
      </c>
      <c r="O312" s="37">
        <f t="shared" si="146"/>
        <v>5700</v>
      </c>
      <c r="P312" s="37">
        <f t="shared" si="147"/>
        <v>5700</v>
      </c>
      <c r="Q312" s="37">
        <f t="shared" si="152"/>
        <v>5700</v>
      </c>
      <c r="R312" s="37">
        <f t="shared" si="153"/>
        <v>5700</v>
      </c>
      <c r="S312" s="37">
        <f t="shared" si="150"/>
        <v>5700</v>
      </c>
      <c r="T312" s="37">
        <f t="shared" si="151"/>
        <v>5700</v>
      </c>
      <c r="U312" s="37">
        <f t="shared" si="115"/>
        <v>68400</v>
      </c>
      <c r="W312" s="64">
        <v>5700</v>
      </c>
      <c r="X312" s="39"/>
      <c r="Y312" s="40" t="s">
        <v>51</v>
      </c>
      <c r="Z312" s="40"/>
      <c r="AA312" s="40" t="s">
        <v>45</v>
      </c>
      <c r="AB312" s="41">
        <v>0</v>
      </c>
      <c r="AD312" s="42" t="str">
        <f>C312&amp;A312</f>
        <v>ALUGUEIS DE EQUIPAMENTOSOper</v>
      </c>
      <c r="AE312" s="42" t="str">
        <f>IFERROR(VLOOKUP(C312,[34]Planilha1!$B:$C,2,0),"Não se Aplica")</f>
        <v>Sim</v>
      </c>
      <c r="AF312" s="42" t="str">
        <f>VLOOKUP(AD312,[34]Planilha1!$H:$J,3,0)</f>
        <v>Sim</v>
      </c>
      <c r="AG312" s="43">
        <f t="shared" si="114"/>
        <v>62073</v>
      </c>
    </row>
    <row r="313" spans="1:33" x14ac:dyDescent="0.3">
      <c r="A313" s="1" t="s">
        <v>836</v>
      </c>
      <c r="B313" s="34" t="s">
        <v>20</v>
      </c>
      <c r="C313" s="35" t="s">
        <v>38</v>
      </c>
      <c r="D313" s="34" t="s">
        <v>371</v>
      </c>
      <c r="E313" s="36" t="s">
        <v>369</v>
      </c>
      <c r="F313" s="34" t="s">
        <v>60</v>
      </c>
      <c r="G313" s="34" t="s">
        <v>27</v>
      </c>
      <c r="H313" s="34" t="s">
        <v>61</v>
      </c>
      <c r="I313" s="37">
        <f t="shared" si="140"/>
        <v>6000</v>
      </c>
      <c r="J313" s="37">
        <f t="shared" si="141"/>
        <v>6000</v>
      </c>
      <c r="K313" s="37">
        <f t="shared" si="142"/>
        <v>6000</v>
      </c>
      <c r="L313" s="37">
        <f t="shared" si="143"/>
        <v>6000</v>
      </c>
      <c r="M313" s="37">
        <f t="shared" si="144"/>
        <v>6000</v>
      </c>
      <c r="N313" s="37">
        <f t="shared" si="145"/>
        <v>6000</v>
      </c>
      <c r="O313" s="37">
        <f t="shared" si="146"/>
        <v>6000</v>
      </c>
      <c r="P313" s="37">
        <f t="shared" si="147"/>
        <v>6000</v>
      </c>
      <c r="Q313" s="37">
        <f t="shared" si="152"/>
        <v>6000</v>
      </c>
      <c r="R313" s="37">
        <f t="shared" si="153"/>
        <v>6000</v>
      </c>
      <c r="S313" s="37">
        <f t="shared" si="150"/>
        <v>6000</v>
      </c>
      <c r="T313" s="37">
        <f t="shared" si="151"/>
        <v>6000</v>
      </c>
      <c r="U313" s="37">
        <f t="shared" si="115"/>
        <v>72000</v>
      </c>
      <c r="V313" s="6"/>
      <c r="W313" s="64">
        <v>6000</v>
      </c>
      <c r="X313" s="39"/>
      <c r="Y313" s="40" t="s">
        <v>51</v>
      </c>
      <c r="Z313" s="40"/>
      <c r="AA313" s="40" t="s">
        <v>45</v>
      </c>
      <c r="AB313" s="41">
        <v>0</v>
      </c>
      <c r="AD313" s="42" t="str">
        <f>C313&amp;A313</f>
        <v>ALUGUEIS DE EQUIPAMENTOSOper</v>
      </c>
      <c r="AE313" s="42" t="str">
        <f>IFERROR(VLOOKUP(C313,[34]Planilha1!$B:$C,2,0),"Não se Aplica")</f>
        <v>Sim</v>
      </c>
      <c r="AF313" s="42" t="str">
        <f>VLOOKUP(AD313,[34]Planilha1!$H:$J,3,0)</f>
        <v>Sim</v>
      </c>
      <c r="AG313" s="43">
        <f t="shared" si="114"/>
        <v>65340</v>
      </c>
    </row>
    <row r="314" spans="1:33" x14ac:dyDescent="0.3">
      <c r="A314" s="1" t="s">
        <v>836</v>
      </c>
      <c r="B314" s="65" t="s">
        <v>20</v>
      </c>
      <c r="C314" s="66" t="s">
        <v>161</v>
      </c>
      <c r="D314" s="65" t="s">
        <v>372</v>
      </c>
      <c r="E314" s="67" t="s">
        <v>369</v>
      </c>
      <c r="F314" s="65" t="s">
        <v>60</v>
      </c>
      <c r="G314" s="65" t="s">
        <v>32</v>
      </c>
      <c r="H314" s="65" t="s">
        <v>61</v>
      </c>
      <c r="I314" s="27"/>
      <c r="J314" s="27"/>
      <c r="K314" s="27">
        <v>2500</v>
      </c>
      <c r="L314" s="27"/>
      <c r="M314" s="27"/>
      <c r="N314" s="27"/>
      <c r="O314" s="27"/>
      <c r="P314" s="27"/>
      <c r="Q314" s="27">
        <v>2500</v>
      </c>
      <c r="R314" s="27"/>
      <c r="S314" s="27"/>
      <c r="T314" s="27"/>
      <c r="U314" s="27">
        <f t="shared" si="115"/>
        <v>5000</v>
      </c>
      <c r="V314" s="6"/>
      <c r="W314" s="6"/>
      <c r="X314" s="6"/>
      <c r="Y314" s="6"/>
      <c r="Z314" s="6"/>
      <c r="AA314" s="6"/>
      <c r="AB314" s="6"/>
      <c r="AD314" s="42" t="str">
        <f>C314&amp;A314</f>
        <v>CONSERVACAO DE PREDIOSOper</v>
      </c>
      <c r="AE314" s="42" t="str">
        <f>IFERROR(VLOOKUP(C314,[34]Planilha1!$B:$C,2,0),"Não se Aplica")</f>
        <v>Sim</v>
      </c>
      <c r="AF314" s="42" t="str">
        <f>VLOOKUP(AD314,[34]Planilha1!$H:$J,3,0)</f>
        <v>Sim</v>
      </c>
      <c r="AG314" s="43">
        <f t="shared" si="114"/>
        <v>4537.5</v>
      </c>
    </row>
    <row r="315" spans="1:33" x14ac:dyDescent="0.3">
      <c r="A315" s="1" t="s">
        <v>836</v>
      </c>
      <c r="B315" s="65" t="s">
        <v>20</v>
      </c>
      <c r="C315" s="66" t="s">
        <v>161</v>
      </c>
      <c r="D315" s="65" t="s">
        <v>373</v>
      </c>
      <c r="E315" s="67" t="s">
        <v>369</v>
      </c>
      <c r="F315" s="65" t="s">
        <v>60</v>
      </c>
      <c r="G315" s="65" t="s">
        <v>32</v>
      </c>
      <c r="H315" s="65" t="s">
        <v>61</v>
      </c>
      <c r="I315" s="27"/>
      <c r="J315" s="27"/>
      <c r="K315" s="27"/>
      <c r="L315" s="27"/>
      <c r="M315" s="27">
        <v>2500</v>
      </c>
      <c r="N315" s="27"/>
      <c r="O315" s="27"/>
      <c r="P315" s="27"/>
      <c r="Q315" s="27">
        <v>2500</v>
      </c>
      <c r="R315" s="27"/>
      <c r="S315" s="27"/>
      <c r="T315" s="27"/>
      <c r="U315" s="27">
        <f t="shared" si="115"/>
        <v>5000</v>
      </c>
      <c r="W315"/>
      <c r="X315"/>
      <c r="Y315"/>
      <c r="Z315"/>
      <c r="AA315"/>
      <c r="AB315"/>
      <c r="AD315" s="42" t="str">
        <f>C315&amp;A315</f>
        <v>CONSERVACAO DE PREDIOSOper</v>
      </c>
      <c r="AE315" s="42" t="str">
        <f>IFERROR(VLOOKUP(C315,[34]Planilha1!$B:$C,2,0),"Não se Aplica")</f>
        <v>Sim</v>
      </c>
      <c r="AF315" s="42" t="str">
        <f>VLOOKUP(AD315,[34]Planilha1!$H:$J,3,0)</f>
        <v>Sim</v>
      </c>
      <c r="AG315" s="43">
        <f t="shared" si="114"/>
        <v>4537.5</v>
      </c>
    </row>
    <row r="316" spans="1:33" x14ac:dyDescent="0.3">
      <c r="A316" s="1" t="s">
        <v>836</v>
      </c>
      <c r="B316" s="65" t="s">
        <v>20</v>
      </c>
      <c r="C316" s="66" t="s">
        <v>161</v>
      </c>
      <c r="D316" s="65" t="s">
        <v>373</v>
      </c>
      <c r="E316" s="67" t="s">
        <v>369</v>
      </c>
      <c r="F316" s="65" t="s">
        <v>60</v>
      </c>
      <c r="G316" s="65" t="s">
        <v>22</v>
      </c>
      <c r="H316" s="65" t="s">
        <v>61</v>
      </c>
      <c r="I316" s="27"/>
      <c r="J316" s="27"/>
      <c r="K316" s="27"/>
      <c r="L316" s="27"/>
      <c r="M316" s="27"/>
      <c r="N316" s="27">
        <v>6046</v>
      </c>
      <c r="O316" s="27"/>
      <c r="P316" s="27"/>
      <c r="Q316" s="27"/>
      <c r="R316" s="27"/>
      <c r="S316" s="27"/>
      <c r="T316" s="27"/>
      <c r="U316" s="27">
        <f t="shared" si="115"/>
        <v>6046</v>
      </c>
      <c r="V316" s="6"/>
      <c r="W316" s="6"/>
      <c r="X316" s="6"/>
      <c r="Y316" s="6"/>
      <c r="Z316" s="6"/>
      <c r="AA316" s="6"/>
      <c r="AB316" s="6"/>
      <c r="AD316" s="42" t="str">
        <f>C316&amp;A316</f>
        <v>CONSERVACAO DE PREDIOSOper</v>
      </c>
      <c r="AE316" s="42" t="str">
        <f>IFERROR(VLOOKUP(C316,[34]Planilha1!$B:$C,2,0),"Não se Aplica")</f>
        <v>Sim</v>
      </c>
      <c r="AF316" s="42" t="str">
        <f>VLOOKUP(AD316,[34]Planilha1!$H:$J,3,0)</f>
        <v>Sim</v>
      </c>
      <c r="AG316" s="43">
        <f t="shared" si="114"/>
        <v>5486.7449999999999</v>
      </c>
    </row>
    <row r="317" spans="1:33" x14ac:dyDescent="0.3">
      <c r="A317" s="1" t="s">
        <v>836</v>
      </c>
      <c r="B317" s="65" t="s">
        <v>20</v>
      </c>
      <c r="C317" s="66" t="s">
        <v>161</v>
      </c>
      <c r="D317" s="65" t="s">
        <v>373</v>
      </c>
      <c r="E317" s="67" t="s">
        <v>369</v>
      </c>
      <c r="F317" s="65" t="s">
        <v>60</v>
      </c>
      <c r="G317" s="65" t="s">
        <v>27</v>
      </c>
      <c r="H317" s="65" t="s">
        <v>61</v>
      </c>
      <c r="I317" s="27"/>
      <c r="J317" s="27"/>
      <c r="K317" s="27"/>
      <c r="L317" s="27"/>
      <c r="M317" s="27"/>
      <c r="N317" s="27"/>
      <c r="O317" s="27">
        <v>6164</v>
      </c>
      <c r="P317" s="27"/>
      <c r="Q317" s="27"/>
      <c r="R317" s="27"/>
      <c r="S317" s="27"/>
      <c r="T317" s="27"/>
      <c r="U317" s="27">
        <f t="shared" si="115"/>
        <v>6164</v>
      </c>
      <c r="V317" s="6"/>
      <c r="W317" s="6"/>
      <c r="X317" s="6"/>
      <c r="Y317" s="6"/>
      <c r="Z317" s="6"/>
      <c r="AA317" s="6"/>
      <c r="AB317" s="6"/>
      <c r="AD317" s="42" t="str">
        <f>C317&amp;A317</f>
        <v>CONSERVACAO DE PREDIOSOper</v>
      </c>
      <c r="AE317" s="42" t="str">
        <f>IFERROR(VLOOKUP(C317,[34]Planilha1!$B:$C,2,0),"Não se Aplica")</f>
        <v>Sim</v>
      </c>
      <c r="AF317" s="42" t="str">
        <f>VLOOKUP(AD317,[34]Planilha1!$H:$J,3,0)</f>
        <v>Sim</v>
      </c>
      <c r="AG317" s="43">
        <f t="shared" si="114"/>
        <v>5593.83</v>
      </c>
    </row>
    <row r="318" spans="1:33" x14ac:dyDescent="0.3">
      <c r="A318" s="1" t="s">
        <v>836</v>
      </c>
      <c r="B318" s="34" t="s">
        <v>28</v>
      </c>
      <c r="C318" s="35" t="s">
        <v>161</v>
      </c>
      <c r="D318" s="34" t="s">
        <v>374</v>
      </c>
      <c r="E318" s="36" t="s">
        <v>375</v>
      </c>
      <c r="F318" s="34" t="s">
        <v>60</v>
      </c>
      <c r="G318" s="34" t="s">
        <v>100</v>
      </c>
      <c r="H318" s="34" t="s">
        <v>61</v>
      </c>
      <c r="I318" s="37">
        <f t="shared" ref="I318:I334" si="154">IF($Y318="janeiro",$W318*(1+$AB318),$W318)</f>
        <v>410</v>
      </c>
      <c r="J318" s="37">
        <f t="shared" ref="J318:J334" si="155">IF($Y318="fevereiro",$I318*(1+$AB318),$I318)</f>
        <v>410</v>
      </c>
      <c r="K318" s="37">
        <f t="shared" ref="K318:K334" si="156">IF($Y318="março",$J318*(1+$AB318),$J318)</f>
        <v>410</v>
      </c>
      <c r="L318" s="37">
        <f t="shared" ref="L318:L334" si="157">IF($Y318="abril",$K318*(1+$AB318),$K318)</f>
        <v>422.3</v>
      </c>
      <c r="M318" s="37">
        <f t="shared" ref="M318:M334" si="158">IF($Y318="maio",$L318*(1+$AB318),$L318)</f>
        <v>422.3</v>
      </c>
      <c r="N318" s="37">
        <f t="shared" ref="N318:N334" si="159">IF($Y318="junho",$M318*(1+$AB318),$M318)</f>
        <v>422.3</v>
      </c>
      <c r="O318" s="37">
        <f t="shared" ref="O318:O334" si="160">IF($Y318="julho",$N318*(1+$AB318),$N318)</f>
        <v>422.3</v>
      </c>
      <c r="P318" s="37">
        <f t="shared" ref="P318:P334" si="161">IF($Y318="agosto",$O318*(1+$AB318),$O318)</f>
        <v>422.3</v>
      </c>
      <c r="Q318" s="37">
        <f t="shared" ref="Q318:Q334" si="162">IF($Y318="setembro",$P318*(1+$AB318),$P318)</f>
        <v>422.3</v>
      </c>
      <c r="R318" s="37">
        <f t="shared" ref="R318:R334" si="163">IF($Y318="outubro",$Q318*(1+$AB318),$Q318)</f>
        <v>422.3</v>
      </c>
      <c r="S318" s="37">
        <f t="shared" ref="S318:S334" si="164">IF($Y318="novembro",$R318*(1+$AB318),$R318)</f>
        <v>422.3</v>
      </c>
      <c r="T318" s="37">
        <f t="shared" ref="T318:T334" si="165">IF($Y318="dezembro",$S318*(1+$AB318),$S318)</f>
        <v>422.3</v>
      </c>
      <c r="U318" s="37">
        <f t="shared" si="115"/>
        <v>5030.7000000000007</v>
      </c>
      <c r="V318" s="6"/>
      <c r="W318" s="64">
        <v>410</v>
      </c>
      <c r="X318" s="39">
        <v>45757</v>
      </c>
      <c r="Y318" s="40" t="s">
        <v>103</v>
      </c>
      <c r="Z318" s="40"/>
      <c r="AA318" s="40" t="s">
        <v>45</v>
      </c>
      <c r="AB318" s="41">
        <v>0.03</v>
      </c>
      <c r="AD318" s="42" t="str">
        <f>C318&amp;A318</f>
        <v>CONSERVACAO DE PREDIOSOper</v>
      </c>
      <c r="AE318" s="42" t="str">
        <f>IFERROR(VLOOKUP(C318,[34]Planilha1!$B:$C,2,0),"Não se Aplica")</f>
        <v>Sim</v>
      </c>
      <c r="AF318" s="42" t="str">
        <f>VLOOKUP(AD318,[34]Planilha1!$H:$J,3,0)</f>
        <v>Sim</v>
      </c>
      <c r="AG318" s="43">
        <f t="shared" si="114"/>
        <v>4565.3602500000006</v>
      </c>
    </row>
    <row r="319" spans="1:33" x14ac:dyDescent="0.3">
      <c r="A319" s="1" t="s">
        <v>836</v>
      </c>
      <c r="B319" s="34" t="s">
        <v>28</v>
      </c>
      <c r="C319" s="35" t="s">
        <v>161</v>
      </c>
      <c r="D319" s="34" t="s">
        <v>376</v>
      </c>
      <c r="E319" s="36" t="s">
        <v>377</v>
      </c>
      <c r="F319" s="34" t="s">
        <v>60</v>
      </c>
      <c r="G319" s="34" t="s">
        <v>33</v>
      </c>
      <c r="H319" s="34" t="s">
        <v>61</v>
      </c>
      <c r="I319" s="37">
        <f t="shared" si="154"/>
        <v>1500</v>
      </c>
      <c r="J319" s="37">
        <f t="shared" si="155"/>
        <v>1500</v>
      </c>
      <c r="K319" s="37">
        <f t="shared" si="156"/>
        <v>1500</v>
      </c>
      <c r="L319" s="37">
        <f t="shared" si="157"/>
        <v>1545</v>
      </c>
      <c r="M319" s="37">
        <f t="shared" si="158"/>
        <v>1545</v>
      </c>
      <c r="N319" s="37">
        <f t="shared" si="159"/>
        <v>1545</v>
      </c>
      <c r="O319" s="37">
        <f t="shared" si="160"/>
        <v>1545</v>
      </c>
      <c r="P319" s="37">
        <f t="shared" si="161"/>
        <v>1545</v>
      </c>
      <c r="Q319" s="37">
        <f t="shared" si="162"/>
        <v>1545</v>
      </c>
      <c r="R319" s="37">
        <f t="shared" si="163"/>
        <v>1545</v>
      </c>
      <c r="S319" s="37">
        <f t="shared" si="164"/>
        <v>1545</v>
      </c>
      <c r="T319" s="37">
        <f t="shared" si="165"/>
        <v>1545</v>
      </c>
      <c r="U319" s="37">
        <f t="shared" si="115"/>
        <v>18405</v>
      </c>
      <c r="V319" s="6"/>
      <c r="W319" s="64">
        <v>1500</v>
      </c>
      <c r="X319" s="39">
        <v>46128</v>
      </c>
      <c r="Y319" s="40" t="s">
        <v>103</v>
      </c>
      <c r="Z319" s="40"/>
      <c r="AA319" s="40" t="s">
        <v>45</v>
      </c>
      <c r="AB319" s="41">
        <v>0.03</v>
      </c>
      <c r="AD319" s="42" t="str">
        <f>C319&amp;A319</f>
        <v>CONSERVACAO DE PREDIOSOper</v>
      </c>
      <c r="AE319" s="42" t="str">
        <f>IFERROR(VLOOKUP(C319,[34]Planilha1!$B:$C,2,0),"Não se Aplica")</f>
        <v>Sim</v>
      </c>
      <c r="AF319" s="42" t="str">
        <f>VLOOKUP(AD319,[34]Planilha1!$H:$J,3,0)</f>
        <v>Sim</v>
      </c>
      <c r="AG319" s="43">
        <f t="shared" si="114"/>
        <v>16702.537499999999</v>
      </c>
    </row>
    <row r="320" spans="1:33" x14ac:dyDescent="0.3">
      <c r="A320" s="1" t="s">
        <v>836</v>
      </c>
      <c r="B320" s="34" t="s">
        <v>20</v>
      </c>
      <c r="C320" s="35" t="s">
        <v>161</v>
      </c>
      <c r="D320" s="34" t="s">
        <v>378</v>
      </c>
      <c r="E320" s="36" t="s">
        <v>379</v>
      </c>
      <c r="F320" s="34" t="s">
        <v>60</v>
      </c>
      <c r="G320" s="34" t="s">
        <v>27</v>
      </c>
      <c r="H320" s="34" t="s">
        <v>61</v>
      </c>
      <c r="I320" s="37">
        <f t="shared" si="154"/>
        <v>2400</v>
      </c>
      <c r="J320" s="37">
        <f t="shared" si="155"/>
        <v>2400</v>
      </c>
      <c r="K320" s="37">
        <f t="shared" si="156"/>
        <v>2400</v>
      </c>
      <c r="L320" s="37">
        <f t="shared" si="157"/>
        <v>2400</v>
      </c>
      <c r="M320" s="37">
        <f t="shared" si="158"/>
        <v>2400</v>
      </c>
      <c r="N320" s="37">
        <f t="shared" si="159"/>
        <v>2400</v>
      </c>
      <c r="O320" s="37">
        <f t="shared" si="160"/>
        <v>2400</v>
      </c>
      <c r="P320" s="37">
        <f t="shared" si="161"/>
        <v>2400</v>
      </c>
      <c r="Q320" s="37">
        <f t="shared" si="162"/>
        <v>2400</v>
      </c>
      <c r="R320" s="37">
        <f t="shared" si="163"/>
        <v>2472</v>
      </c>
      <c r="S320" s="37">
        <f t="shared" si="164"/>
        <v>2472</v>
      </c>
      <c r="T320" s="37">
        <f t="shared" si="165"/>
        <v>2472</v>
      </c>
      <c r="U320" s="37">
        <f t="shared" si="115"/>
        <v>29016</v>
      </c>
      <c r="V320" s="6"/>
      <c r="W320" s="64">
        <v>2400</v>
      </c>
      <c r="X320" s="39">
        <v>46305</v>
      </c>
      <c r="Y320" s="40" t="s">
        <v>54</v>
      </c>
      <c r="Z320" s="40"/>
      <c r="AA320" s="40" t="s">
        <v>45</v>
      </c>
      <c r="AB320" s="41">
        <v>0.03</v>
      </c>
      <c r="AD320" s="42" t="str">
        <f>C320&amp;A320</f>
        <v>CONSERVACAO DE PREDIOSOper</v>
      </c>
      <c r="AE320" s="42" t="str">
        <f>IFERROR(VLOOKUP(C320,[34]Planilha1!$B:$C,2,0),"Não se Aplica")</f>
        <v>Sim</v>
      </c>
      <c r="AF320" s="42" t="str">
        <f>VLOOKUP(AD320,[34]Planilha1!$H:$J,3,0)</f>
        <v>Sim</v>
      </c>
      <c r="AG320" s="43">
        <f t="shared" ref="AG320:AG376" si="166">IF(AF320="Sim", U320 * 0.9075, U320)</f>
        <v>26332.02</v>
      </c>
    </row>
    <row r="321" spans="1:33" x14ac:dyDescent="0.3">
      <c r="A321" s="1" t="s">
        <v>836</v>
      </c>
      <c r="B321" s="34" t="s">
        <v>20</v>
      </c>
      <c r="C321" s="68" t="s">
        <v>161</v>
      </c>
      <c r="D321" s="60" t="s">
        <v>376</v>
      </c>
      <c r="E321" s="69" t="s">
        <v>380</v>
      </c>
      <c r="F321" s="70" t="s">
        <v>60</v>
      </c>
      <c r="G321" s="34" t="s">
        <v>22</v>
      </c>
      <c r="H321" s="70" t="s">
        <v>61</v>
      </c>
      <c r="I321" s="37">
        <f t="shared" si="154"/>
        <v>17000</v>
      </c>
      <c r="J321" s="37">
        <f t="shared" si="155"/>
        <v>17000</v>
      </c>
      <c r="K321" s="37">
        <f t="shared" si="156"/>
        <v>17000</v>
      </c>
      <c r="L321" s="37">
        <f t="shared" si="157"/>
        <v>17510</v>
      </c>
      <c r="M321" s="37">
        <f t="shared" si="158"/>
        <v>17510</v>
      </c>
      <c r="N321" s="37">
        <f t="shared" si="159"/>
        <v>17510</v>
      </c>
      <c r="O321" s="37">
        <f t="shared" si="160"/>
        <v>17510</v>
      </c>
      <c r="P321" s="37">
        <f t="shared" si="161"/>
        <v>17510</v>
      </c>
      <c r="Q321" s="37">
        <f t="shared" si="162"/>
        <v>17510</v>
      </c>
      <c r="R321" s="37">
        <f t="shared" si="163"/>
        <v>17510</v>
      </c>
      <c r="S321" s="37">
        <f t="shared" si="164"/>
        <v>17510</v>
      </c>
      <c r="T321" s="37">
        <f t="shared" si="165"/>
        <v>17510</v>
      </c>
      <c r="U321" s="37">
        <f t="shared" si="115"/>
        <v>208590</v>
      </c>
      <c r="V321" s="6"/>
      <c r="W321" s="64">
        <v>17000</v>
      </c>
      <c r="X321" s="39">
        <v>46128</v>
      </c>
      <c r="Y321" s="40" t="s">
        <v>103</v>
      </c>
      <c r="Z321" s="40" t="s">
        <v>92</v>
      </c>
      <c r="AA321" s="40" t="s">
        <v>45</v>
      </c>
      <c r="AB321" s="41">
        <v>0.03</v>
      </c>
      <c r="AD321" s="42" t="str">
        <f>C321&amp;A321</f>
        <v>CONSERVACAO DE PREDIOSOper</v>
      </c>
      <c r="AE321" s="42" t="str">
        <f>IFERROR(VLOOKUP(C321,[34]Planilha1!$B:$C,2,0),"Não se Aplica")</f>
        <v>Sim</v>
      </c>
      <c r="AF321" s="42" t="str">
        <f>VLOOKUP(AD321,[34]Planilha1!$H:$J,3,0)</f>
        <v>Sim</v>
      </c>
      <c r="AG321" s="43">
        <f t="shared" si="166"/>
        <v>189295.42499999999</v>
      </c>
    </row>
    <row r="322" spans="1:33" x14ac:dyDescent="0.3">
      <c r="A322" s="1" t="s">
        <v>836</v>
      </c>
      <c r="B322" s="34" t="s">
        <v>20</v>
      </c>
      <c r="C322" s="68" t="s">
        <v>161</v>
      </c>
      <c r="D322" s="60" t="s">
        <v>381</v>
      </c>
      <c r="E322" s="69" t="s">
        <v>382</v>
      </c>
      <c r="F322" s="70" t="s">
        <v>60</v>
      </c>
      <c r="G322" s="34" t="s">
        <v>22</v>
      </c>
      <c r="H322" s="70" t="s">
        <v>61</v>
      </c>
      <c r="I322" s="37">
        <f t="shared" si="154"/>
        <v>1200</v>
      </c>
      <c r="J322" s="37">
        <f t="shared" si="155"/>
        <v>1200</v>
      </c>
      <c r="K322" s="37">
        <f t="shared" si="156"/>
        <v>1200</v>
      </c>
      <c r="L322" s="37">
        <f t="shared" si="157"/>
        <v>1236</v>
      </c>
      <c r="M322" s="37">
        <f t="shared" si="158"/>
        <v>1236</v>
      </c>
      <c r="N322" s="37">
        <f t="shared" si="159"/>
        <v>1236</v>
      </c>
      <c r="O322" s="37">
        <f t="shared" si="160"/>
        <v>1236</v>
      </c>
      <c r="P322" s="37">
        <f t="shared" si="161"/>
        <v>1236</v>
      </c>
      <c r="Q322" s="37">
        <f t="shared" si="162"/>
        <v>1236</v>
      </c>
      <c r="R322" s="37">
        <f t="shared" si="163"/>
        <v>1236</v>
      </c>
      <c r="S322" s="37">
        <f t="shared" si="164"/>
        <v>1236</v>
      </c>
      <c r="T322" s="37">
        <f t="shared" si="165"/>
        <v>1236</v>
      </c>
      <c r="U322" s="37">
        <f t="shared" si="115"/>
        <v>14724</v>
      </c>
      <c r="V322" s="6"/>
      <c r="W322" s="64">
        <v>1200</v>
      </c>
      <c r="X322" s="39">
        <v>46127</v>
      </c>
      <c r="Y322" s="40" t="s">
        <v>103</v>
      </c>
      <c r="Z322" s="40" t="s">
        <v>55</v>
      </c>
      <c r="AA322" s="40" t="s">
        <v>45</v>
      </c>
      <c r="AB322" s="41">
        <v>0.03</v>
      </c>
      <c r="AD322" s="42" t="str">
        <f>C322&amp;A322</f>
        <v>CONSERVACAO DE PREDIOSOper</v>
      </c>
      <c r="AE322" s="42" t="str">
        <f>IFERROR(VLOOKUP(C322,[34]Planilha1!$B:$C,2,0),"Não se Aplica")</f>
        <v>Sim</v>
      </c>
      <c r="AF322" s="42" t="str">
        <f>VLOOKUP(AD322,[34]Planilha1!$H:$J,3,0)</f>
        <v>Sim</v>
      </c>
      <c r="AG322" s="43">
        <f t="shared" si="166"/>
        <v>13362.029999999999</v>
      </c>
    </row>
    <row r="323" spans="1:33" x14ac:dyDescent="0.3">
      <c r="A323" s="1" t="s">
        <v>836</v>
      </c>
      <c r="B323" s="34" t="s">
        <v>20</v>
      </c>
      <c r="C323" s="68" t="s">
        <v>38</v>
      </c>
      <c r="D323" s="60" t="s">
        <v>383</v>
      </c>
      <c r="E323" s="69" t="s">
        <v>384</v>
      </c>
      <c r="F323" s="70" t="s">
        <v>60</v>
      </c>
      <c r="G323" s="34" t="s">
        <v>32</v>
      </c>
      <c r="H323" s="70" t="s">
        <v>61</v>
      </c>
      <c r="I323" s="37">
        <f t="shared" si="154"/>
        <v>7638.4800000000005</v>
      </c>
      <c r="J323" s="37">
        <f t="shared" si="155"/>
        <v>7638.4800000000005</v>
      </c>
      <c r="K323" s="37">
        <f t="shared" si="156"/>
        <v>7638.4800000000005</v>
      </c>
      <c r="L323" s="37">
        <f t="shared" si="157"/>
        <v>7638.4800000000005</v>
      </c>
      <c r="M323" s="37">
        <f t="shared" si="158"/>
        <v>7638.4800000000005</v>
      </c>
      <c r="N323" s="37">
        <f t="shared" si="159"/>
        <v>7638.4800000000005</v>
      </c>
      <c r="O323" s="37">
        <f t="shared" si="160"/>
        <v>7638.4800000000005</v>
      </c>
      <c r="P323" s="37">
        <f t="shared" si="161"/>
        <v>7638.4800000000005</v>
      </c>
      <c r="Q323" s="37">
        <f t="shared" si="162"/>
        <v>7638.4800000000005</v>
      </c>
      <c r="R323" s="37">
        <f t="shared" si="163"/>
        <v>7638.4800000000005</v>
      </c>
      <c r="S323" s="37">
        <f t="shared" si="164"/>
        <v>7638.4800000000005</v>
      </c>
      <c r="T323" s="37">
        <f t="shared" si="165"/>
        <v>7638.4800000000005</v>
      </c>
      <c r="U323" s="37">
        <f t="shared" si="115"/>
        <v>91661.759999999995</v>
      </c>
      <c r="V323" s="6"/>
      <c r="W323" s="64">
        <v>7416</v>
      </c>
      <c r="X323" s="39">
        <v>45659</v>
      </c>
      <c r="Y323" s="40" t="s">
        <v>51</v>
      </c>
      <c r="Z323" s="40" t="s">
        <v>385</v>
      </c>
      <c r="AA323" s="40" t="s">
        <v>45</v>
      </c>
      <c r="AB323" s="41">
        <v>0.03</v>
      </c>
      <c r="AD323" s="42" t="str">
        <f>C323&amp;A323</f>
        <v>ALUGUEIS DE EQUIPAMENTOSOper</v>
      </c>
      <c r="AE323" s="42" t="str">
        <f>IFERROR(VLOOKUP(C323,[34]Planilha1!$B:$C,2,0),"Não se Aplica")</f>
        <v>Sim</v>
      </c>
      <c r="AF323" s="42" t="str">
        <f>VLOOKUP(AD323,[34]Planilha1!$H:$J,3,0)</f>
        <v>Sim</v>
      </c>
      <c r="AG323" s="43">
        <f t="shared" si="166"/>
        <v>83183.047199999986</v>
      </c>
    </row>
    <row r="324" spans="1:33" x14ac:dyDescent="0.3">
      <c r="A324" s="1" t="s">
        <v>836</v>
      </c>
      <c r="B324" s="34" t="s">
        <v>20</v>
      </c>
      <c r="C324" s="68" t="s">
        <v>161</v>
      </c>
      <c r="D324" s="60" t="s">
        <v>386</v>
      </c>
      <c r="E324" s="69" t="s">
        <v>384</v>
      </c>
      <c r="F324" s="70" t="s">
        <v>60</v>
      </c>
      <c r="G324" s="34" t="s">
        <v>32</v>
      </c>
      <c r="H324" s="70" t="s">
        <v>61</v>
      </c>
      <c r="I324" s="37">
        <f t="shared" si="154"/>
        <v>11585.028</v>
      </c>
      <c r="J324" s="37">
        <f t="shared" si="155"/>
        <v>11585.028</v>
      </c>
      <c r="K324" s="37">
        <f t="shared" si="156"/>
        <v>11585.028</v>
      </c>
      <c r="L324" s="37">
        <f t="shared" si="157"/>
        <v>11585.028</v>
      </c>
      <c r="M324" s="37">
        <f t="shared" si="158"/>
        <v>11585.028</v>
      </c>
      <c r="N324" s="37">
        <f t="shared" si="159"/>
        <v>11585.028</v>
      </c>
      <c r="O324" s="37">
        <f t="shared" si="160"/>
        <v>11585.028</v>
      </c>
      <c r="P324" s="37">
        <f t="shared" si="161"/>
        <v>11585.028</v>
      </c>
      <c r="Q324" s="37">
        <f t="shared" si="162"/>
        <v>11585.028</v>
      </c>
      <c r="R324" s="37">
        <f t="shared" si="163"/>
        <v>11585.028</v>
      </c>
      <c r="S324" s="37">
        <f t="shared" si="164"/>
        <v>11585.028</v>
      </c>
      <c r="T324" s="37">
        <f t="shared" si="165"/>
        <v>11585.028</v>
      </c>
      <c r="U324" s="37">
        <f t="shared" si="115"/>
        <v>139020.33600000004</v>
      </c>
      <c r="V324" s="6"/>
      <c r="W324" s="64">
        <v>11247.6</v>
      </c>
      <c r="X324" s="39">
        <v>45659</v>
      </c>
      <c r="Y324" s="40" t="s">
        <v>51</v>
      </c>
      <c r="Z324" s="40" t="s">
        <v>385</v>
      </c>
      <c r="AA324" s="40" t="s">
        <v>45</v>
      </c>
      <c r="AB324" s="41">
        <v>0.03</v>
      </c>
      <c r="AD324" s="42" t="str">
        <f>C324&amp;A324</f>
        <v>CONSERVACAO DE PREDIOSOper</v>
      </c>
      <c r="AE324" s="42" t="str">
        <f>IFERROR(VLOOKUP(C324,[34]Planilha1!$B:$C,2,0),"Não se Aplica")</f>
        <v>Sim</v>
      </c>
      <c r="AF324" s="42" t="str">
        <f>VLOOKUP(AD324,[34]Planilha1!$H:$J,3,0)</f>
        <v>Sim</v>
      </c>
      <c r="AG324" s="43">
        <f t="shared" si="166"/>
        <v>126160.95492000003</v>
      </c>
    </row>
    <row r="325" spans="1:33" x14ac:dyDescent="0.3">
      <c r="A325" s="1" t="s">
        <v>836</v>
      </c>
      <c r="B325" s="34" t="s">
        <v>20</v>
      </c>
      <c r="C325" s="68" t="s">
        <v>161</v>
      </c>
      <c r="D325" s="60" t="s">
        <v>387</v>
      </c>
      <c r="E325" s="69" t="s">
        <v>388</v>
      </c>
      <c r="F325" s="70" t="s">
        <v>60</v>
      </c>
      <c r="G325" s="34" t="s">
        <v>27</v>
      </c>
      <c r="H325" s="70" t="s">
        <v>61</v>
      </c>
      <c r="I325" s="37">
        <f t="shared" si="154"/>
        <v>692.8</v>
      </c>
      <c r="J325" s="37">
        <f t="shared" si="155"/>
        <v>692.8</v>
      </c>
      <c r="K325" s="37">
        <f t="shared" si="156"/>
        <v>692.8</v>
      </c>
      <c r="L325" s="37">
        <f t="shared" si="157"/>
        <v>692.8</v>
      </c>
      <c r="M325" s="37">
        <f t="shared" si="158"/>
        <v>692.8</v>
      </c>
      <c r="N325" s="37">
        <f t="shared" si="159"/>
        <v>713.58399999999995</v>
      </c>
      <c r="O325" s="37">
        <f t="shared" si="160"/>
        <v>713.58399999999995</v>
      </c>
      <c r="P325" s="37">
        <f t="shared" si="161"/>
        <v>713.58399999999995</v>
      </c>
      <c r="Q325" s="37">
        <f t="shared" si="162"/>
        <v>713.58399999999995</v>
      </c>
      <c r="R325" s="37">
        <f t="shared" si="163"/>
        <v>713.58399999999995</v>
      </c>
      <c r="S325" s="37">
        <f t="shared" si="164"/>
        <v>713.58399999999995</v>
      </c>
      <c r="T325" s="37">
        <f t="shared" si="165"/>
        <v>713.58399999999995</v>
      </c>
      <c r="U325" s="37">
        <f t="shared" ref="U325:U376" si="167">SUM(I325:T325)</f>
        <v>8459.0879999999997</v>
      </c>
      <c r="V325" s="6"/>
      <c r="W325" s="64">
        <v>692.8</v>
      </c>
      <c r="X325" s="39">
        <v>46178</v>
      </c>
      <c r="Y325" s="40" t="s">
        <v>96</v>
      </c>
      <c r="Z325" s="40" t="s">
        <v>55</v>
      </c>
      <c r="AA325" s="40" t="s">
        <v>45</v>
      </c>
      <c r="AB325" s="41">
        <v>0.03</v>
      </c>
      <c r="AD325" s="42" t="str">
        <f>C325&amp;A325</f>
        <v>CONSERVACAO DE PREDIOSOper</v>
      </c>
      <c r="AE325" s="42" t="str">
        <f>IFERROR(VLOOKUP(C325,[34]Planilha1!$B:$C,2,0),"Não se Aplica")</f>
        <v>Sim</v>
      </c>
      <c r="AF325" s="42" t="str">
        <f>VLOOKUP(AD325,[34]Planilha1!$H:$J,3,0)</f>
        <v>Sim</v>
      </c>
      <c r="AG325" s="43">
        <f t="shared" si="166"/>
        <v>7676.6223599999994</v>
      </c>
    </row>
    <row r="326" spans="1:33" x14ac:dyDescent="0.3">
      <c r="A326" s="1" t="s">
        <v>836</v>
      </c>
      <c r="B326" s="34" t="s">
        <v>28</v>
      </c>
      <c r="C326" s="68" t="s">
        <v>161</v>
      </c>
      <c r="D326" s="60" t="s">
        <v>387</v>
      </c>
      <c r="E326" s="69" t="s">
        <v>388</v>
      </c>
      <c r="F326" s="70" t="s">
        <v>60</v>
      </c>
      <c r="G326" s="34" t="s">
        <v>33</v>
      </c>
      <c r="H326" s="70" t="s">
        <v>61</v>
      </c>
      <c r="I326" s="37">
        <f t="shared" si="154"/>
        <v>571.79999999999995</v>
      </c>
      <c r="J326" s="37">
        <f t="shared" si="155"/>
        <v>571.79999999999995</v>
      </c>
      <c r="K326" s="37">
        <f t="shared" si="156"/>
        <v>571.79999999999995</v>
      </c>
      <c r="L326" s="37">
        <f t="shared" si="157"/>
        <v>571.79999999999995</v>
      </c>
      <c r="M326" s="37">
        <f t="shared" si="158"/>
        <v>571.79999999999995</v>
      </c>
      <c r="N326" s="37">
        <f t="shared" si="159"/>
        <v>588.95399999999995</v>
      </c>
      <c r="O326" s="37">
        <f t="shared" si="160"/>
        <v>588.95399999999995</v>
      </c>
      <c r="P326" s="37">
        <f t="shared" si="161"/>
        <v>588.95399999999995</v>
      </c>
      <c r="Q326" s="37">
        <f t="shared" si="162"/>
        <v>588.95399999999995</v>
      </c>
      <c r="R326" s="37">
        <f t="shared" si="163"/>
        <v>588.95399999999995</v>
      </c>
      <c r="S326" s="37">
        <f t="shared" si="164"/>
        <v>588.95399999999995</v>
      </c>
      <c r="T326" s="37">
        <f t="shared" si="165"/>
        <v>588.95399999999995</v>
      </c>
      <c r="U326" s="37">
        <f t="shared" si="167"/>
        <v>6981.6779999999981</v>
      </c>
      <c r="V326" s="6"/>
      <c r="W326" s="64">
        <v>571.79999999999995</v>
      </c>
      <c r="X326" s="39">
        <v>46178</v>
      </c>
      <c r="Y326" s="40" t="s">
        <v>96</v>
      </c>
      <c r="Z326" s="40" t="s">
        <v>55</v>
      </c>
      <c r="AA326" s="40" t="s">
        <v>45</v>
      </c>
      <c r="AB326" s="41">
        <v>0.03</v>
      </c>
      <c r="AD326" s="42" t="str">
        <f>C326&amp;A326</f>
        <v>CONSERVACAO DE PREDIOSOper</v>
      </c>
      <c r="AE326" s="42" t="str">
        <f>IFERROR(VLOOKUP(C326,[34]Planilha1!$B:$C,2,0),"Não se Aplica")</f>
        <v>Sim</v>
      </c>
      <c r="AF326" s="42" t="str">
        <f>VLOOKUP(AD326,[34]Planilha1!$H:$J,3,0)</f>
        <v>Sim</v>
      </c>
      <c r="AG326" s="43">
        <f t="shared" si="166"/>
        <v>6335.8727849999977</v>
      </c>
    </row>
    <row r="327" spans="1:33" x14ac:dyDescent="0.3">
      <c r="A327" s="1" t="s">
        <v>836</v>
      </c>
      <c r="B327" s="34" t="s">
        <v>20</v>
      </c>
      <c r="C327" s="68" t="s">
        <v>161</v>
      </c>
      <c r="D327" s="60" t="s">
        <v>387</v>
      </c>
      <c r="E327" s="69" t="s">
        <v>388</v>
      </c>
      <c r="F327" s="70" t="s">
        <v>60</v>
      </c>
      <c r="G327" s="34" t="s">
        <v>31</v>
      </c>
      <c r="H327" s="70" t="s">
        <v>61</v>
      </c>
      <c r="I327" s="37">
        <f t="shared" si="154"/>
        <v>1141.3</v>
      </c>
      <c r="J327" s="37">
        <f t="shared" si="155"/>
        <v>1141.3</v>
      </c>
      <c r="K327" s="37">
        <f t="shared" si="156"/>
        <v>1141.3</v>
      </c>
      <c r="L327" s="37">
        <f t="shared" si="157"/>
        <v>1141.3</v>
      </c>
      <c r="M327" s="37">
        <f t="shared" si="158"/>
        <v>1141.3</v>
      </c>
      <c r="N327" s="37">
        <f t="shared" si="159"/>
        <v>1175.539</v>
      </c>
      <c r="O327" s="37">
        <f t="shared" si="160"/>
        <v>1175.539</v>
      </c>
      <c r="P327" s="37">
        <f t="shared" si="161"/>
        <v>1175.539</v>
      </c>
      <c r="Q327" s="37">
        <f t="shared" si="162"/>
        <v>1175.539</v>
      </c>
      <c r="R327" s="37">
        <f t="shared" si="163"/>
        <v>1175.539</v>
      </c>
      <c r="S327" s="37">
        <f t="shared" si="164"/>
        <v>1175.539</v>
      </c>
      <c r="T327" s="37">
        <f t="shared" si="165"/>
        <v>1175.539</v>
      </c>
      <c r="U327" s="37">
        <f t="shared" si="167"/>
        <v>13935.273000000003</v>
      </c>
      <c r="V327" s="6"/>
      <c r="W327" s="64">
        <v>1141.3</v>
      </c>
      <c r="X327" s="39">
        <v>46178</v>
      </c>
      <c r="Y327" s="40" t="s">
        <v>96</v>
      </c>
      <c r="Z327" s="40" t="s">
        <v>55</v>
      </c>
      <c r="AA327" s="40" t="s">
        <v>45</v>
      </c>
      <c r="AB327" s="41">
        <v>0.03</v>
      </c>
      <c r="AD327" s="42" t="str">
        <f>C327&amp;A327</f>
        <v>CONSERVACAO DE PREDIOSOper</v>
      </c>
      <c r="AE327" s="42" t="str">
        <f>IFERROR(VLOOKUP(C327,[34]Planilha1!$B:$C,2,0),"Não se Aplica")</f>
        <v>Sim</v>
      </c>
      <c r="AF327" s="42" t="str">
        <f>VLOOKUP(AD327,[34]Planilha1!$H:$J,3,0)</f>
        <v>Sim</v>
      </c>
      <c r="AG327" s="43">
        <f t="shared" si="166"/>
        <v>12646.260247500002</v>
      </c>
    </row>
    <row r="328" spans="1:33" x14ac:dyDescent="0.3">
      <c r="A328" s="1" t="s">
        <v>836</v>
      </c>
      <c r="B328" s="34" t="s">
        <v>28</v>
      </c>
      <c r="C328" s="68" t="s">
        <v>161</v>
      </c>
      <c r="D328" s="60" t="s">
        <v>387</v>
      </c>
      <c r="E328" s="69" t="s">
        <v>388</v>
      </c>
      <c r="F328" s="70" t="s">
        <v>60</v>
      </c>
      <c r="G328" s="34" t="s">
        <v>30</v>
      </c>
      <c r="H328" s="70" t="s">
        <v>61</v>
      </c>
      <c r="I328" s="37">
        <f t="shared" si="154"/>
        <v>802.37</v>
      </c>
      <c r="J328" s="37">
        <f t="shared" si="155"/>
        <v>802.37</v>
      </c>
      <c r="K328" s="37">
        <f t="shared" si="156"/>
        <v>802.37</v>
      </c>
      <c r="L328" s="37">
        <f t="shared" si="157"/>
        <v>802.37</v>
      </c>
      <c r="M328" s="37">
        <f t="shared" si="158"/>
        <v>802.37</v>
      </c>
      <c r="N328" s="37">
        <f t="shared" si="159"/>
        <v>826.44110000000001</v>
      </c>
      <c r="O328" s="37">
        <f t="shared" si="160"/>
        <v>826.44110000000001</v>
      </c>
      <c r="P328" s="37">
        <f t="shared" si="161"/>
        <v>826.44110000000001</v>
      </c>
      <c r="Q328" s="37">
        <f t="shared" si="162"/>
        <v>826.44110000000001</v>
      </c>
      <c r="R328" s="37">
        <f t="shared" si="163"/>
        <v>826.44110000000001</v>
      </c>
      <c r="S328" s="37">
        <f t="shared" si="164"/>
        <v>826.44110000000001</v>
      </c>
      <c r="T328" s="37">
        <f t="shared" si="165"/>
        <v>826.44110000000001</v>
      </c>
      <c r="U328" s="37">
        <f t="shared" si="167"/>
        <v>9796.9377000000004</v>
      </c>
      <c r="W328" s="64">
        <v>802.37</v>
      </c>
      <c r="X328" s="39">
        <v>46178</v>
      </c>
      <c r="Y328" s="40" t="s">
        <v>96</v>
      </c>
      <c r="Z328" s="40" t="s">
        <v>55</v>
      </c>
      <c r="AA328" s="40" t="s">
        <v>45</v>
      </c>
      <c r="AB328" s="41">
        <v>0.03</v>
      </c>
      <c r="AD328" s="42" t="str">
        <f>C328&amp;A328</f>
        <v>CONSERVACAO DE PREDIOSOper</v>
      </c>
      <c r="AE328" s="42" t="str">
        <f>IFERROR(VLOOKUP(C328,[34]Planilha1!$B:$C,2,0),"Não se Aplica")</f>
        <v>Sim</v>
      </c>
      <c r="AF328" s="42" t="str">
        <f>VLOOKUP(AD328,[34]Planilha1!$H:$J,3,0)</f>
        <v>Sim</v>
      </c>
      <c r="AG328" s="43">
        <f t="shared" si="166"/>
        <v>8890.7209627499997</v>
      </c>
    </row>
    <row r="329" spans="1:33" x14ac:dyDescent="0.3">
      <c r="A329" s="1" t="s">
        <v>836</v>
      </c>
      <c r="B329" s="34" t="s">
        <v>20</v>
      </c>
      <c r="C329" s="68" t="s">
        <v>161</v>
      </c>
      <c r="D329" s="60" t="s">
        <v>387</v>
      </c>
      <c r="E329" s="69" t="s">
        <v>388</v>
      </c>
      <c r="F329" s="70" t="s">
        <v>60</v>
      </c>
      <c r="G329" s="34" t="s">
        <v>32</v>
      </c>
      <c r="H329" s="70" t="s">
        <v>61</v>
      </c>
      <c r="I329" s="37">
        <f t="shared" si="154"/>
        <v>1697.45</v>
      </c>
      <c r="J329" s="37">
        <f t="shared" si="155"/>
        <v>1697.45</v>
      </c>
      <c r="K329" s="37">
        <f t="shared" si="156"/>
        <v>1697.45</v>
      </c>
      <c r="L329" s="37">
        <f t="shared" si="157"/>
        <v>1697.45</v>
      </c>
      <c r="M329" s="37">
        <f t="shared" si="158"/>
        <v>1697.45</v>
      </c>
      <c r="N329" s="37">
        <f t="shared" si="159"/>
        <v>1748.3735000000001</v>
      </c>
      <c r="O329" s="37">
        <f t="shared" si="160"/>
        <v>1748.3735000000001</v>
      </c>
      <c r="P329" s="37">
        <f t="shared" si="161"/>
        <v>1748.3735000000001</v>
      </c>
      <c r="Q329" s="37">
        <f t="shared" si="162"/>
        <v>1748.3735000000001</v>
      </c>
      <c r="R329" s="37">
        <f t="shared" si="163"/>
        <v>1748.3735000000001</v>
      </c>
      <c r="S329" s="37">
        <f t="shared" si="164"/>
        <v>1748.3735000000001</v>
      </c>
      <c r="T329" s="37">
        <f t="shared" si="165"/>
        <v>1748.3735000000001</v>
      </c>
      <c r="U329" s="37">
        <f t="shared" si="167"/>
        <v>20725.864500000003</v>
      </c>
      <c r="W329" s="64">
        <v>1697.45</v>
      </c>
      <c r="X329" s="39">
        <v>46178</v>
      </c>
      <c r="Y329" s="40" t="s">
        <v>96</v>
      </c>
      <c r="Z329" s="40" t="s">
        <v>55</v>
      </c>
      <c r="AA329" s="40" t="s">
        <v>45</v>
      </c>
      <c r="AB329" s="41">
        <v>0.03</v>
      </c>
      <c r="AD329" s="42" t="str">
        <f>C329&amp;A329</f>
        <v>CONSERVACAO DE PREDIOSOper</v>
      </c>
      <c r="AE329" s="42" t="str">
        <f>IFERROR(VLOOKUP(C329,[34]Planilha1!$B:$C,2,0),"Não se Aplica")</f>
        <v>Sim</v>
      </c>
      <c r="AF329" s="42" t="str">
        <f>VLOOKUP(AD329,[34]Planilha1!$H:$J,3,0)</f>
        <v>Sim</v>
      </c>
      <c r="AG329" s="43">
        <f t="shared" si="166"/>
        <v>18808.722033750004</v>
      </c>
    </row>
    <row r="330" spans="1:33" x14ac:dyDescent="0.3">
      <c r="A330" s="1" t="s">
        <v>836</v>
      </c>
      <c r="B330" s="34" t="s">
        <v>20</v>
      </c>
      <c r="C330" s="68" t="s">
        <v>161</v>
      </c>
      <c r="D330" s="60" t="s">
        <v>387</v>
      </c>
      <c r="E330" s="69" t="s">
        <v>388</v>
      </c>
      <c r="F330" s="70" t="s">
        <v>60</v>
      </c>
      <c r="G330" s="34" t="s">
        <v>22</v>
      </c>
      <c r="H330" s="70" t="s">
        <v>61</v>
      </c>
      <c r="I330" s="37">
        <f t="shared" si="154"/>
        <v>3429.48</v>
      </c>
      <c r="J330" s="37">
        <f t="shared" si="155"/>
        <v>3429.48</v>
      </c>
      <c r="K330" s="37">
        <f t="shared" si="156"/>
        <v>3429.48</v>
      </c>
      <c r="L330" s="37">
        <f t="shared" si="157"/>
        <v>3429.48</v>
      </c>
      <c r="M330" s="37">
        <f t="shared" si="158"/>
        <v>3429.48</v>
      </c>
      <c r="N330" s="37">
        <f t="shared" si="159"/>
        <v>3532.3643999999999</v>
      </c>
      <c r="O330" s="37">
        <f t="shared" si="160"/>
        <v>3532.3643999999999</v>
      </c>
      <c r="P330" s="37">
        <f t="shared" si="161"/>
        <v>3532.3643999999999</v>
      </c>
      <c r="Q330" s="37">
        <f t="shared" si="162"/>
        <v>3532.3643999999999</v>
      </c>
      <c r="R330" s="37">
        <f t="shared" si="163"/>
        <v>3532.3643999999999</v>
      </c>
      <c r="S330" s="37">
        <f t="shared" si="164"/>
        <v>3532.3643999999999</v>
      </c>
      <c r="T330" s="37">
        <f t="shared" si="165"/>
        <v>3532.3643999999999</v>
      </c>
      <c r="U330" s="37">
        <f t="shared" si="167"/>
        <v>41873.950799999991</v>
      </c>
      <c r="V330" s="6"/>
      <c r="W330" s="64">
        <v>3429.48</v>
      </c>
      <c r="X330" s="39">
        <v>46178</v>
      </c>
      <c r="Y330" s="40" t="s">
        <v>96</v>
      </c>
      <c r="Z330" s="40" t="s">
        <v>55</v>
      </c>
      <c r="AA330" s="40" t="s">
        <v>45</v>
      </c>
      <c r="AB330" s="41">
        <v>0.03</v>
      </c>
      <c r="AD330" s="42" t="str">
        <f>C330&amp;A330</f>
        <v>CONSERVACAO DE PREDIOSOper</v>
      </c>
      <c r="AE330" s="42" t="str">
        <f>IFERROR(VLOOKUP(C330,[34]Planilha1!$B:$C,2,0),"Não se Aplica")</f>
        <v>Sim</v>
      </c>
      <c r="AF330" s="42" t="str">
        <f>VLOOKUP(AD330,[34]Planilha1!$H:$J,3,0)</f>
        <v>Sim</v>
      </c>
      <c r="AG330" s="43">
        <f t="shared" si="166"/>
        <v>38000.610350999988</v>
      </c>
    </row>
    <row r="331" spans="1:33" x14ac:dyDescent="0.3">
      <c r="A331" s="1" t="s">
        <v>836</v>
      </c>
      <c r="B331" s="34" t="s">
        <v>20</v>
      </c>
      <c r="C331" s="68" t="s">
        <v>38</v>
      </c>
      <c r="D331" s="60" t="s">
        <v>389</v>
      </c>
      <c r="E331" s="69" t="s">
        <v>390</v>
      </c>
      <c r="F331" s="70" t="s">
        <v>60</v>
      </c>
      <c r="G331" s="34" t="s">
        <v>22</v>
      </c>
      <c r="H331" s="70" t="s">
        <v>61</v>
      </c>
      <c r="I331" s="37">
        <f t="shared" si="154"/>
        <v>713.53250000000003</v>
      </c>
      <c r="J331" s="37">
        <f t="shared" si="155"/>
        <v>713.53250000000003</v>
      </c>
      <c r="K331" s="37">
        <f t="shared" si="156"/>
        <v>713.53250000000003</v>
      </c>
      <c r="L331" s="37">
        <f t="shared" si="157"/>
        <v>713.53250000000003</v>
      </c>
      <c r="M331" s="37">
        <f t="shared" si="158"/>
        <v>713.53250000000003</v>
      </c>
      <c r="N331" s="37">
        <f t="shared" si="159"/>
        <v>713.53250000000003</v>
      </c>
      <c r="O331" s="37">
        <f t="shared" si="160"/>
        <v>713.53250000000003</v>
      </c>
      <c r="P331" s="37">
        <f t="shared" si="161"/>
        <v>713.53250000000003</v>
      </c>
      <c r="Q331" s="37">
        <f t="shared" si="162"/>
        <v>713.53250000000003</v>
      </c>
      <c r="R331" s="37">
        <f t="shared" si="163"/>
        <v>713.53250000000003</v>
      </c>
      <c r="S331" s="37">
        <f t="shared" si="164"/>
        <v>713.53250000000003</v>
      </c>
      <c r="T331" s="37">
        <f t="shared" si="165"/>
        <v>713.53250000000003</v>
      </c>
      <c r="U331" s="37">
        <f t="shared" si="167"/>
        <v>8562.3900000000012</v>
      </c>
      <c r="V331" s="6"/>
      <c r="W331" s="64">
        <v>692.75</v>
      </c>
      <c r="X331" s="39">
        <v>46141</v>
      </c>
      <c r="Y331" s="40" t="s">
        <v>51</v>
      </c>
      <c r="Z331" s="40" t="s">
        <v>44</v>
      </c>
      <c r="AA331" s="40" t="s">
        <v>45</v>
      </c>
      <c r="AB331" s="41">
        <v>0.03</v>
      </c>
      <c r="AD331" s="42" t="str">
        <f>C331&amp;A331</f>
        <v>ALUGUEIS DE EQUIPAMENTOSOper</v>
      </c>
      <c r="AE331" s="42" t="str">
        <f>IFERROR(VLOOKUP(C331,[34]Planilha1!$B:$C,2,0),"Não se Aplica")</f>
        <v>Sim</v>
      </c>
      <c r="AF331" s="42" t="str">
        <f>VLOOKUP(AD331,[34]Planilha1!$H:$J,3,0)</f>
        <v>Sim</v>
      </c>
      <c r="AG331" s="43">
        <f t="shared" si="166"/>
        <v>7770.3689250000007</v>
      </c>
    </row>
    <row r="332" spans="1:33" x14ac:dyDescent="0.3">
      <c r="A332" s="1" t="s">
        <v>836</v>
      </c>
      <c r="B332" s="34" t="s">
        <v>20</v>
      </c>
      <c r="C332" s="68" t="s">
        <v>161</v>
      </c>
      <c r="D332" s="60" t="s">
        <v>391</v>
      </c>
      <c r="E332" s="69" t="s">
        <v>392</v>
      </c>
      <c r="F332" s="70" t="s">
        <v>60</v>
      </c>
      <c r="G332" s="34" t="s">
        <v>22</v>
      </c>
      <c r="H332" s="70" t="s">
        <v>61</v>
      </c>
      <c r="I332" s="37">
        <f t="shared" si="154"/>
        <v>6242.18</v>
      </c>
      <c r="J332" s="37">
        <f t="shared" si="155"/>
        <v>6242.18</v>
      </c>
      <c r="K332" s="37">
        <f t="shared" si="156"/>
        <v>6242.18</v>
      </c>
      <c r="L332" s="37">
        <f t="shared" si="157"/>
        <v>6429.4454000000005</v>
      </c>
      <c r="M332" s="37">
        <f t="shared" si="158"/>
        <v>6429.4454000000005</v>
      </c>
      <c r="N332" s="37">
        <f t="shared" si="159"/>
        <v>6429.4454000000005</v>
      </c>
      <c r="O332" s="37">
        <f t="shared" si="160"/>
        <v>6429.4454000000005</v>
      </c>
      <c r="P332" s="37">
        <f t="shared" si="161"/>
        <v>6429.4454000000005</v>
      </c>
      <c r="Q332" s="37">
        <f t="shared" si="162"/>
        <v>6429.4454000000005</v>
      </c>
      <c r="R332" s="37">
        <f t="shared" si="163"/>
        <v>6429.4454000000005</v>
      </c>
      <c r="S332" s="37">
        <f t="shared" si="164"/>
        <v>6429.4454000000005</v>
      </c>
      <c r="T332" s="37">
        <f t="shared" si="165"/>
        <v>6429.4454000000005</v>
      </c>
      <c r="U332" s="37">
        <f t="shared" si="167"/>
        <v>76591.54859999998</v>
      </c>
      <c r="V332" s="6"/>
      <c r="W332" s="64">
        <v>6242.18</v>
      </c>
      <c r="X332" s="39">
        <v>46128</v>
      </c>
      <c r="Y332" s="40" t="s">
        <v>103</v>
      </c>
      <c r="Z332" s="40" t="s">
        <v>55</v>
      </c>
      <c r="AA332" s="40" t="s">
        <v>45</v>
      </c>
      <c r="AB332" s="41">
        <v>0.03</v>
      </c>
      <c r="AD332" s="42" t="str">
        <f>C332&amp;A332</f>
        <v>CONSERVACAO DE PREDIOSOper</v>
      </c>
      <c r="AE332" s="42" t="str">
        <f>IFERROR(VLOOKUP(C332,[34]Planilha1!$B:$C,2,0),"Não se Aplica")</f>
        <v>Sim</v>
      </c>
      <c r="AF332" s="42" t="str">
        <f>VLOOKUP(AD332,[34]Planilha1!$H:$J,3,0)</f>
        <v>Sim</v>
      </c>
      <c r="AG332" s="43">
        <f t="shared" si="166"/>
        <v>69506.83035449998</v>
      </c>
    </row>
    <row r="333" spans="1:33" x14ac:dyDescent="0.3">
      <c r="A333" s="1" t="s">
        <v>836</v>
      </c>
      <c r="B333" s="34" t="s">
        <v>20</v>
      </c>
      <c r="C333" s="68" t="s">
        <v>38</v>
      </c>
      <c r="D333" s="60" t="s">
        <v>393</v>
      </c>
      <c r="E333" s="69" t="s">
        <v>394</v>
      </c>
      <c r="F333" s="70" t="s">
        <v>60</v>
      </c>
      <c r="G333" s="34" t="s">
        <v>22</v>
      </c>
      <c r="H333" s="70" t="s">
        <v>61</v>
      </c>
      <c r="I333" s="37">
        <f t="shared" si="154"/>
        <v>5730</v>
      </c>
      <c r="J333" s="37">
        <f t="shared" si="155"/>
        <v>5730</v>
      </c>
      <c r="K333" s="37">
        <f t="shared" si="156"/>
        <v>5730</v>
      </c>
      <c r="L333" s="37">
        <f t="shared" si="157"/>
        <v>5901.9000000000005</v>
      </c>
      <c r="M333" s="37">
        <f t="shared" si="158"/>
        <v>5901.9000000000005</v>
      </c>
      <c r="N333" s="37">
        <f t="shared" si="159"/>
        <v>5901.9000000000005</v>
      </c>
      <c r="O333" s="37">
        <f t="shared" si="160"/>
        <v>5901.9000000000005</v>
      </c>
      <c r="P333" s="37">
        <f t="shared" si="161"/>
        <v>5901.9000000000005</v>
      </c>
      <c r="Q333" s="37">
        <f t="shared" si="162"/>
        <v>5901.9000000000005</v>
      </c>
      <c r="R333" s="37">
        <f t="shared" si="163"/>
        <v>5901.9000000000005</v>
      </c>
      <c r="S333" s="37">
        <f t="shared" si="164"/>
        <v>5901.9000000000005</v>
      </c>
      <c r="T333" s="37">
        <f t="shared" si="165"/>
        <v>5901.9000000000005</v>
      </c>
      <c r="U333" s="37">
        <f t="shared" si="167"/>
        <v>70307.100000000006</v>
      </c>
      <c r="V333" s="6"/>
      <c r="W333" s="64">
        <v>5730</v>
      </c>
      <c r="X333" s="39">
        <v>46127</v>
      </c>
      <c r="Y333" s="40" t="s">
        <v>103</v>
      </c>
      <c r="Z333" s="40"/>
      <c r="AA333" s="40" t="s">
        <v>45</v>
      </c>
      <c r="AB333" s="41">
        <v>0.03</v>
      </c>
      <c r="AD333" s="42" t="str">
        <f>C333&amp;A333</f>
        <v>ALUGUEIS DE EQUIPAMENTOSOper</v>
      </c>
      <c r="AE333" s="42" t="str">
        <f>IFERROR(VLOOKUP(C333,[34]Planilha1!$B:$C,2,0),"Não se Aplica")</f>
        <v>Sim</v>
      </c>
      <c r="AF333" s="42" t="str">
        <f>VLOOKUP(AD333,[34]Planilha1!$H:$J,3,0)</f>
        <v>Sim</v>
      </c>
      <c r="AG333" s="43">
        <f t="shared" si="166"/>
        <v>63803.693250000004</v>
      </c>
    </row>
    <row r="334" spans="1:33" x14ac:dyDescent="0.3">
      <c r="A334" s="1" t="s">
        <v>836</v>
      </c>
      <c r="B334" s="34" t="s">
        <v>20</v>
      </c>
      <c r="C334" s="68" t="s">
        <v>38</v>
      </c>
      <c r="D334" s="60" t="s">
        <v>395</v>
      </c>
      <c r="E334" s="69" t="s">
        <v>396</v>
      </c>
      <c r="F334" s="70" t="s">
        <v>60</v>
      </c>
      <c r="G334" s="34" t="s">
        <v>32</v>
      </c>
      <c r="H334" s="70" t="s">
        <v>61</v>
      </c>
      <c r="I334" s="37">
        <f t="shared" si="154"/>
        <v>6330</v>
      </c>
      <c r="J334" s="37">
        <f t="shared" si="155"/>
        <v>6330</v>
      </c>
      <c r="K334" s="37">
        <f t="shared" si="156"/>
        <v>6330</v>
      </c>
      <c r="L334" s="37">
        <f t="shared" si="157"/>
        <v>6330</v>
      </c>
      <c r="M334" s="37">
        <f t="shared" si="158"/>
        <v>6330</v>
      </c>
      <c r="N334" s="37">
        <f t="shared" si="159"/>
        <v>6330</v>
      </c>
      <c r="O334" s="37">
        <f t="shared" si="160"/>
        <v>6330</v>
      </c>
      <c r="P334" s="37">
        <f t="shared" si="161"/>
        <v>6330</v>
      </c>
      <c r="Q334" s="37">
        <f t="shared" si="162"/>
        <v>6330</v>
      </c>
      <c r="R334" s="37">
        <f t="shared" si="163"/>
        <v>6519.9000000000005</v>
      </c>
      <c r="S334" s="37">
        <f t="shared" si="164"/>
        <v>6519.9000000000005</v>
      </c>
      <c r="T334" s="37">
        <f t="shared" si="165"/>
        <v>6519.9000000000005</v>
      </c>
      <c r="U334" s="37">
        <f t="shared" si="167"/>
        <v>76529.7</v>
      </c>
      <c r="V334" s="6"/>
      <c r="W334" s="64">
        <v>6330</v>
      </c>
      <c r="X334" s="39">
        <v>46320</v>
      </c>
      <c r="Y334" s="40" t="s">
        <v>54</v>
      </c>
      <c r="Z334" s="40"/>
      <c r="AA334" s="40" t="s">
        <v>45</v>
      </c>
      <c r="AB334" s="41">
        <v>0.03</v>
      </c>
      <c r="AD334" s="42" t="str">
        <f>C334&amp;A334</f>
        <v>ALUGUEIS DE EQUIPAMENTOSOper</v>
      </c>
      <c r="AE334" s="42" t="str">
        <f>IFERROR(VLOOKUP(C334,[34]Planilha1!$B:$C,2,0),"Não se Aplica")</f>
        <v>Sim</v>
      </c>
      <c r="AF334" s="42" t="str">
        <f>VLOOKUP(AD334,[34]Planilha1!$H:$J,3,0)</f>
        <v>Sim</v>
      </c>
      <c r="AG334" s="43">
        <f t="shared" si="166"/>
        <v>69450.702749999997</v>
      </c>
    </row>
    <row r="335" spans="1:33" x14ac:dyDescent="0.3">
      <c r="A335" s="44" t="s">
        <v>836</v>
      </c>
      <c r="B335" s="45" t="s">
        <v>20</v>
      </c>
      <c r="C335" s="52" t="s">
        <v>38</v>
      </c>
      <c r="D335" s="71" t="s">
        <v>397</v>
      </c>
      <c r="E335" s="72" t="s">
        <v>396</v>
      </c>
      <c r="F335" s="53" t="s">
        <v>60</v>
      </c>
      <c r="G335" s="45" t="s">
        <v>32</v>
      </c>
      <c r="H335" s="53" t="s">
        <v>61</v>
      </c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>
        <f t="shared" si="167"/>
        <v>0</v>
      </c>
      <c r="V335" s="73"/>
      <c r="W335" s="74">
        <v>6330</v>
      </c>
      <c r="X335" s="48">
        <v>46320</v>
      </c>
      <c r="Y335" s="49" t="s">
        <v>54</v>
      </c>
      <c r="Z335" s="49"/>
      <c r="AA335" s="49" t="s">
        <v>45</v>
      </c>
      <c r="AB335" s="50">
        <v>0.03</v>
      </c>
      <c r="AD335" s="42" t="str">
        <f>C335&amp;A335</f>
        <v>ALUGUEIS DE EQUIPAMENTOSOper</v>
      </c>
      <c r="AE335" s="42" t="str">
        <f>IFERROR(VLOOKUP(C335,[34]Planilha1!$B:$C,2,0),"Não se Aplica")</f>
        <v>Sim</v>
      </c>
      <c r="AF335" s="42" t="str">
        <f>VLOOKUP(AD335,[34]Planilha1!$H:$J,3,0)</f>
        <v>Sim</v>
      </c>
      <c r="AG335" s="43">
        <f t="shared" si="166"/>
        <v>0</v>
      </c>
    </row>
    <row r="336" spans="1:33" x14ac:dyDescent="0.3">
      <c r="A336" s="1" t="s">
        <v>836</v>
      </c>
      <c r="B336" s="34" t="s">
        <v>28</v>
      </c>
      <c r="C336" s="68" t="s">
        <v>161</v>
      </c>
      <c r="D336" s="60" t="s">
        <v>376</v>
      </c>
      <c r="E336" s="75" t="s">
        <v>398</v>
      </c>
      <c r="F336" s="70" t="s">
        <v>60</v>
      </c>
      <c r="G336" s="34" t="s">
        <v>31</v>
      </c>
      <c r="H336" s="70" t="s">
        <v>61</v>
      </c>
      <c r="I336" s="37">
        <f t="shared" ref="I336:I369" si="168">IF($Y336="janeiro",$W336*(1+$AB336),$W336)</f>
        <v>2300</v>
      </c>
      <c r="J336" s="37">
        <f t="shared" ref="J336:J369" si="169">IF($Y336="fevereiro",$I336*(1+$AB336),$I336)</f>
        <v>2300</v>
      </c>
      <c r="K336" s="37">
        <f t="shared" ref="K336:K369" si="170">IF($Y336="março",$J336*(1+$AB336),$J336)</f>
        <v>2300</v>
      </c>
      <c r="L336" s="37">
        <f t="shared" ref="L336:L369" si="171">IF($Y336="abril",$K336*(1+$AB336),$K336)</f>
        <v>2300</v>
      </c>
      <c r="M336" s="37">
        <f t="shared" ref="M336:M346" si="172">IF($Y336="maio",$L336*(1+$AB336),$L336)</f>
        <v>2300</v>
      </c>
      <c r="N336" s="37">
        <f t="shared" ref="N336:N346" si="173">IF($Y336="junho",$M336*(1+$AB336),$M336)</f>
        <v>2300</v>
      </c>
      <c r="O336" s="37">
        <f t="shared" ref="O336:O346" si="174">IF($Y336="julho",$N336*(1+$AB336),$N336)</f>
        <v>2369</v>
      </c>
      <c r="P336" s="37">
        <f t="shared" ref="P336:P346" si="175">IF($Y336="agosto",$O336*(1+$AB336),$O336)</f>
        <v>2369</v>
      </c>
      <c r="Q336" s="37">
        <f t="shared" ref="Q336:Q346" si="176">IF($Y336="setembro",$P336*(1+$AB336),$P336)</f>
        <v>2369</v>
      </c>
      <c r="R336" s="37">
        <f t="shared" ref="R336:R346" si="177">IF($Y336="outubro",$Q336*(1+$AB336),$Q336)</f>
        <v>2369</v>
      </c>
      <c r="S336" s="37">
        <f t="shared" ref="S336:S369" si="178">IF($Y336="novembro",$R336*(1+$AB336),$R336)</f>
        <v>2369</v>
      </c>
      <c r="T336" s="37">
        <f t="shared" ref="T336:T369" si="179">IF($Y336="dezembro",$S336*(1+$AB336),$S336)</f>
        <v>2369</v>
      </c>
      <c r="U336" s="37">
        <f t="shared" si="167"/>
        <v>28014</v>
      </c>
      <c r="V336" s="6"/>
      <c r="W336" s="64">
        <v>2300</v>
      </c>
      <c r="X336" s="39">
        <v>46212</v>
      </c>
      <c r="Y336" s="40" t="s">
        <v>102</v>
      </c>
      <c r="Z336" s="40"/>
      <c r="AA336" s="40" t="s">
        <v>45</v>
      </c>
      <c r="AB336" s="41">
        <v>0.03</v>
      </c>
      <c r="AD336" s="42" t="str">
        <f>C336&amp;A336</f>
        <v>CONSERVACAO DE PREDIOSOper</v>
      </c>
      <c r="AE336" s="42" t="str">
        <f>IFERROR(VLOOKUP(C336,[34]Planilha1!$B:$C,2,0),"Não se Aplica")</f>
        <v>Sim</v>
      </c>
      <c r="AF336" s="42" t="str">
        <f>VLOOKUP(AD336,[34]Planilha1!$H:$J,3,0)</f>
        <v>Sim</v>
      </c>
      <c r="AG336" s="43">
        <f t="shared" si="166"/>
        <v>25422.704999999998</v>
      </c>
    </row>
    <row r="337" spans="1:33" x14ac:dyDescent="0.3">
      <c r="A337" s="1" t="s">
        <v>836</v>
      </c>
      <c r="B337" s="34" t="s">
        <v>28</v>
      </c>
      <c r="C337" s="68" t="s">
        <v>161</v>
      </c>
      <c r="D337" s="60" t="s">
        <v>376</v>
      </c>
      <c r="E337" s="69" t="s">
        <v>399</v>
      </c>
      <c r="F337" s="70" t="s">
        <v>60</v>
      </c>
      <c r="G337" s="34" t="s">
        <v>30</v>
      </c>
      <c r="H337" s="70" t="s">
        <v>61</v>
      </c>
      <c r="I337" s="37">
        <f t="shared" si="168"/>
        <v>401.7</v>
      </c>
      <c r="J337" s="37">
        <f t="shared" si="169"/>
        <v>401.7</v>
      </c>
      <c r="K337" s="37">
        <f t="shared" si="170"/>
        <v>401.7</v>
      </c>
      <c r="L337" s="37">
        <f t="shared" si="171"/>
        <v>401.7</v>
      </c>
      <c r="M337" s="37">
        <f t="shared" si="172"/>
        <v>401.7</v>
      </c>
      <c r="N337" s="37">
        <f t="shared" si="173"/>
        <v>413.75099999999998</v>
      </c>
      <c r="O337" s="37">
        <f t="shared" si="174"/>
        <v>413.75099999999998</v>
      </c>
      <c r="P337" s="37">
        <f t="shared" si="175"/>
        <v>413.75099999999998</v>
      </c>
      <c r="Q337" s="37">
        <f t="shared" si="176"/>
        <v>413.75099999999998</v>
      </c>
      <c r="R337" s="37">
        <f t="shared" si="177"/>
        <v>413.75099999999998</v>
      </c>
      <c r="S337" s="37">
        <f t="shared" si="178"/>
        <v>413.75099999999998</v>
      </c>
      <c r="T337" s="37">
        <f t="shared" si="179"/>
        <v>413.75099999999998</v>
      </c>
      <c r="U337" s="37">
        <f t="shared" si="167"/>
        <v>4904.7570000000014</v>
      </c>
      <c r="V337" s="6"/>
      <c r="W337" s="64">
        <v>401.7</v>
      </c>
      <c r="X337" s="39">
        <v>46197</v>
      </c>
      <c r="Y337" s="40" t="s">
        <v>164</v>
      </c>
      <c r="Z337" s="40"/>
      <c r="AA337" s="40" t="s">
        <v>45</v>
      </c>
      <c r="AB337" s="41">
        <v>0.03</v>
      </c>
      <c r="AD337" s="42" t="str">
        <f>C337&amp;A337</f>
        <v>CONSERVACAO DE PREDIOSOper</v>
      </c>
      <c r="AE337" s="42" t="str">
        <f>IFERROR(VLOOKUP(C337,[34]Planilha1!$B:$C,2,0),"Não se Aplica")</f>
        <v>Sim</v>
      </c>
      <c r="AF337" s="42" t="str">
        <f>VLOOKUP(AD337,[34]Planilha1!$H:$J,3,0)</f>
        <v>Sim</v>
      </c>
      <c r="AG337" s="43">
        <f t="shared" si="166"/>
        <v>4451.0669775000015</v>
      </c>
    </row>
    <row r="338" spans="1:33" x14ac:dyDescent="0.3">
      <c r="A338" s="1" t="s">
        <v>836</v>
      </c>
      <c r="B338" s="34" t="s">
        <v>20</v>
      </c>
      <c r="C338" s="68" t="s">
        <v>107</v>
      </c>
      <c r="D338" s="60" t="s">
        <v>400</v>
      </c>
      <c r="E338" s="69" t="s">
        <v>401</v>
      </c>
      <c r="F338" s="70" t="s">
        <v>252</v>
      </c>
      <c r="G338" s="34" t="s">
        <v>22</v>
      </c>
      <c r="H338" s="70" t="s">
        <v>402</v>
      </c>
      <c r="I338" s="37">
        <f t="shared" si="168"/>
        <v>54662.622000000003</v>
      </c>
      <c r="J338" s="37">
        <f t="shared" si="169"/>
        <v>54662.622000000003</v>
      </c>
      <c r="K338" s="37">
        <f t="shared" si="170"/>
        <v>54662.622000000003</v>
      </c>
      <c r="L338" s="37">
        <f t="shared" si="171"/>
        <v>54662.622000000003</v>
      </c>
      <c r="M338" s="37">
        <f t="shared" si="172"/>
        <v>54662.622000000003</v>
      </c>
      <c r="N338" s="37">
        <f t="shared" si="173"/>
        <v>54662.622000000003</v>
      </c>
      <c r="O338" s="37">
        <f t="shared" si="174"/>
        <v>54662.622000000003</v>
      </c>
      <c r="P338" s="37">
        <f t="shared" si="175"/>
        <v>54662.622000000003</v>
      </c>
      <c r="Q338" s="37">
        <f t="shared" si="176"/>
        <v>54662.622000000003</v>
      </c>
      <c r="R338" s="37">
        <f t="shared" si="177"/>
        <v>54662.622000000003</v>
      </c>
      <c r="S338" s="37">
        <f t="shared" si="178"/>
        <v>54662.622000000003</v>
      </c>
      <c r="T338" s="37">
        <f t="shared" si="179"/>
        <v>54662.622000000003</v>
      </c>
      <c r="U338" s="37">
        <f t="shared" si="167"/>
        <v>655951.4639999998</v>
      </c>
      <c r="V338" s="6"/>
      <c r="W338" s="64">
        <v>52059.64</v>
      </c>
      <c r="X338" s="39">
        <v>45665</v>
      </c>
      <c r="Y338" s="40" t="s">
        <v>51</v>
      </c>
      <c r="Z338" s="40"/>
      <c r="AA338" s="40" t="s">
        <v>45</v>
      </c>
      <c r="AB338" s="41">
        <v>0.05</v>
      </c>
      <c r="AD338" s="42" t="str">
        <f>C338&amp;A338</f>
        <v>SEGURANCA PREDIALOper</v>
      </c>
      <c r="AE338" s="42" t="str">
        <f>IFERROR(VLOOKUP(C338,[34]Planilha1!$B:$C,2,0),"Não se Aplica")</f>
        <v>Sim</v>
      </c>
      <c r="AF338" s="42" t="str">
        <f>VLOOKUP(AD338,[34]Planilha1!$H:$J,3,0)</f>
        <v>Sim</v>
      </c>
      <c r="AG338" s="43">
        <f t="shared" si="166"/>
        <v>595275.95357999986</v>
      </c>
    </row>
    <row r="339" spans="1:33" x14ac:dyDescent="0.3">
      <c r="A339" s="1" t="s">
        <v>836</v>
      </c>
      <c r="B339" s="34" t="s">
        <v>20</v>
      </c>
      <c r="C339" s="68" t="s">
        <v>107</v>
      </c>
      <c r="D339" s="60" t="s">
        <v>403</v>
      </c>
      <c r="E339" s="69" t="s">
        <v>401</v>
      </c>
      <c r="F339" s="70" t="s">
        <v>252</v>
      </c>
      <c r="G339" s="34" t="s">
        <v>22</v>
      </c>
      <c r="H339" s="70" t="s">
        <v>402</v>
      </c>
      <c r="I339" s="37">
        <f t="shared" si="168"/>
        <v>2970</v>
      </c>
      <c r="J339" s="37">
        <f t="shared" si="169"/>
        <v>2970</v>
      </c>
      <c r="K339" s="37">
        <f t="shared" si="170"/>
        <v>2970</v>
      </c>
      <c r="L339" s="37">
        <f t="shared" si="171"/>
        <v>3059.1</v>
      </c>
      <c r="M339" s="37">
        <f t="shared" si="172"/>
        <v>3059.1</v>
      </c>
      <c r="N339" s="37">
        <f t="shared" si="173"/>
        <v>3059.1</v>
      </c>
      <c r="O339" s="37">
        <f t="shared" si="174"/>
        <v>3059.1</v>
      </c>
      <c r="P339" s="37">
        <f t="shared" si="175"/>
        <v>3059.1</v>
      </c>
      <c r="Q339" s="37">
        <f t="shared" si="176"/>
        <v>3059.1</v>
      </c>
      <c r="R339" s="37">
        <f t="shared" si="177"/>
        <v>3059.1</v>
      </c>
      <c r="S339" s="37">
        <f t="shared" si="178"/>
        <v>3059.1</v>
      </c>
      <c r="T339" s="37">
        <f t="shared" si="179"/>
        <v>3059.1</v>
      </c>
      <c r="U339" s="37">
        <f t="shared" si="167"/>
        <v>36441.899999999994</v>
      </c>
      <c r="V339" s="6"/>
      <c r="W339" s="64">
        <v>2970</v>
      </c>
      <c r="X339" s="39">
        <v>45748</v>
      </c>
      <c r="Y339" s="40" t="s">
        <v>103</v>
      </c>
      <c r="Z339" s="40"/>
      <c r="AA339" s="40" t="s">
        <v>45</v>
      </c>
      <c r="AB339" s="41">
        <v>0.03</v>
      </c>
      <c r="AD339" s="42" t="str">
        <f>C339&amp;A339</f>
        <v>SEGURANCA PREDIALOper</v>
      </c>
      <c r="AE339" s="42" t="str">
        <f>IFERROR(VLOOKUP(C339,[34]Planilha1!$B:$C,2,0),"Não se Aplica")</f>
        <v>Sim</v>
      </c>
      <c r="AF339" s="42" t="str">
        <f>VLOOKUP(AD339,[34]Planilha1!$H:$J,3,0)</f>
        <v>Sim</v>
      </c>
      <c r="AG339" s="43">
        <f t="shared" si="166"/>
        <v>33071.024249999995</v>
      </c>
    </row>
    <row r="340" spans="1:33" x14ac:dyDescent="0.3">
      <c r="A340" s="1" t="s">
        <v>836</v>
      </c>
      <c r="B340" s="34" t="s">
        <v>20</v>
      </c>
      <c r="C340" s="68" t="s">
        <v>38</v>
      </c>
      <c r="D340" s="60" t="s">
        <v>404</v>
      </c>
      <c r="E340" s="69" t="s">
        <v>405</v>
      </c>
      <c r="F340" s="70" t="s">
        <v>252</v>
      </c>
      <c r="G340" s="34" t="s">
        <v>27</v>
      </c>
      <c r="H340" s="70" t="s">
        <v>402</v>
      </c>
      <c r="I340" s="37">
        <f t="shared" si="168"/>
        <v>5145</v>
      </c>
      <c r="J340" s="37">
        <f t="shared" si="169"/>
        <v>5145</v>
      </c>
      <c r="K340" s="37">
        <f t="shared" si="170"/>
        <v>5145</v>
      </c>
      <c r="L340" s="37">
        <f t="shared" si="171"/>
        <v>5145</v>
      </c>
      <c r="M340" s="37">
        <f t="shared" si="172"/>
        <v>5145</v>
      </c>
      <c r="N340" s="37">
        <f t="shared" si="173"/>
        <v>5145</v>
      </c>
      <c r="O340" s="37">
        <f t="shared" si="174"/>
        <v>5145</v>
      </c>
      <c r="P340" s="37">
        <f t="shared" si="175"/>
        <v>5145</v>
      </c>
      <c r="Q340" s="37">
        <f t="shared" si="176"/>
        <v>5145</v>
      </c>
      <c r="R340" s="37">
        <f t="shared" si="177"/>
        <v>5145</v>
      </c>
      <c r="S340" s="37">
        <f t="shared" si="178"/>
        <v>5145</v>
      </c>
      <c r="T340" s="37">
        <f t="shared" si="179"/>
        <v>5145</v>
      </c>
      <c r="U340" s="37">
        <f t="shared" si="167"/>
        <v>61740</v>
      </c>
      <c r="V340" s="6"/>
      <c r="W340" s="64">
        <v>5145</v>
      </c>
      <c r="X340" s="39"/>
      <c r="Y340" s="40" t="s">
        <v>51</v>
      </c>
      <c r="Z340" s="40"/>
      <c r="AA340" s="40" t="s">
        <v>45</v>
      </c>
      <c r="AB340" s="41">
        <v>0</v>
      </c>
      <c r="AD340" s="42" t="str">
        <f>C340&amp;A340</f>
        <v>ALUGUEIS DE EQUIPAMENTOSOper</v>
      </c>
      <c r="AE340" s="42" t="str">
        <f>IFERROR(VLOOKUP(C340,[34]Planilha1!$B:$C,2,0),"Não se Aplica")</f>
        <v>Sim</v>
      </c>
      <c r="AF340" s="42" t="str">
        <f>VLOOKUP(AD340,[34]Planilha1!$H:$J,3,0)</f>
        <v>Sim</v>
      </c>
      <c r="AG340" s="43">
        <f t="shared" si="166"/>
        <v>56029.049999999996</v>
      </c>
    </row>
    <row r="341" spans="1:33" x14ac:dyDescent="0.3">
      <c r="A341" s="1" t="s">
        <v>836</v>
      </c>
      <c r="B341" s="34" t="s">
        <v>28</v>
      </c>
      <c r="C341" s="68" t="s">
        <v>107</v>
      </c>
      <c r="D341" s="34" t="s">
        <v>354</v>
      </c>
      <c r="E341" s="36" t="s">
        <v>405</v>
      </c>
      <c r="F341" s="70" t="s">
        <v>252</v>
      </c>
      <c r="G341" s="34" t="s">
        <v>32</v>
      </c>
      <c r="H341" s="70" t="s">
        <v>402</v>
      </c>
      <c r="I341" s="37">
        <f t="shared" si="168"/>
        <v>2226.6</v>
      </c>
      <c r="J341" s="37">
        <f t="shared" si="169"/>
        <v>2226.6</v>
      </c>
      <c r="K341" s="37">
        <f t="shared" si="170"/>
        <v>2226.6</v>
      </c>
      <c r="L341" s="37">
        <f t="shared" si="171"/>
        <v>2226.6</v>
      </c>
      <c r="M341" s="37">
        <f t="shared" si="172"/>
        <v>2226.6</v>
      </c>
      <c r="N341" s="37">
        <f t="shared" si="173"/>
        <v>2226.6</v>
      </c>
      <c r="O341" s="37">
        <f t="shared" si="174"/>
        <v>2226.6</v>
      </c>
      <c r="P341" s="37">
        <f t="shared" si="175"/>
        <v>2226.6</v>
      </c>
      <c r="Q341" s="37">
        <f t="shared" si="176"/>
        <v>2226.6</v>
      </c>
      <c r="R341" s="37">
        <f t="shared" si="177"/>
        <v>2226.6</v>
      </c>
      <c r="S341" s="37">
        <f t="shared" si="178"/>
        <v>2226.6</v>
      </c>
      <c r="T341" s="37">
        <f t="shared" si="179"/>
        <v>2226.6</v>
      </c>
      <c r="U341" s="37">
        <f t="shared" si="167"/>
        <v>26719.199999999993</v>
      </c>
      <c r="V341" s="6"/>
      <c r="W341" s="64">
        <v>2226.6</v>
      </c>
      <c r="X341" s="39"/>
      <c r="Y341" s="40"/>
      <c r="Z341" s="40"/>
      <c r="AA341" s="40" t="s">
        <v>45</v>
      </c>
      <c r="AB341" s="41">
        <v>0</v>
      </c>
      <c r="AD341" s="42" t="str">
        <f>C341&amp;A341</f>
        <v>SEGURANCA PREDIALOper</v>
      </c>
      <c r="AE341" s="42" t="str">
        <f>IFERROR(VLOOKUP(C341,[34]Planilha1!$B:$C,2,0),"Não se Aplica")</f>
        <v>Sim</v>
      </c>
      <c r="AF341" s="42" t="str">
        <f>VLOOKUP(AD341,[34]Planilha1!$H:$J,3,0)</f>
        <v>Sim</v>
      </c>
      <c r="AG341" s="43">
        <f t="shared" si="166"/>
        <v>24247.673999999992</v>
      </c>
    </row>
    <row r="342" spans="1:33" x14ac:dyDescent="0.3">
      <c r="A342" s="1" t="s">
        <v>836</v>
      </c>
      <c r="B342" s="34" t="s">
        <v>20</v>
      </c>
      <c r="C342" s="68" t="s">
        <v>107</v>
      </c>
      <c r="D342" s="34" t="s">
        <v>354</v>
      </c>
      <c r="E342" s="36" t="s">
        <v>405</v>
      </c>
      <c r="F342" s="70" t="s">
        <v>252</v>
      </c>
      <c r="G342" s="34" t="s">
        <v>22</v>
      </c>
      <c r="H342" s="70" t="s">
        <v>402</v>
      </c>
      <c r="I342" s="37">
        <f t="shared" si="168"/>
        <v>2316</v>
      </c>
      <c r="J342" s="37">
        <f t="shared" si="169"/>
        <v>2316</v>
      </c>
      <c r="K342" s="37">
        <f t="shared" si="170"/>
        <v>2316</v>
      </c>
      <c r="L342" s="37">
        <f t="shared" si="171"/>
        <v>2316</v>
      </c>
      <c r="M342" s="37">
        <f t="shared" si="172"/>
        <v>2316</v>
      </c>
      <c r="N342" s="37">
        <f t="shared" si="173"/>
        <v>2316</v>
      </c>
      <c r="O342" s="37">
        <f t="shared" si="174"/>
        <v>2316</v>
      </c>
      <c r="P342" s="37">
        <f t="shared" si="175"/>
        <v>2316</v>
      </c>
      <c r="Q342" s="37">
        <f t="shared" si="176"/>
        <v>2316</v>
      </c>
      <c r="R342" s="37">
        <f t="shared" si="177"/>
        <v>2316</v>
      </c>
      <c r="S342" s="37">
        <f t="shared" si="178"/>
        <v>2316</v>
      </c>
      <c r="T342" s="37">
        <f t="shared" si="179"/>
        <v>2316</v>
      </c>
      <c r="U342" s="37">
        <f t="shared" si="167"/>
        <v>27792</v>
      </c>
      <c r="V342" s="6"/>
      <c r="W342" s="64">
        <v>2316</v>
      </c>
      <c r="X342" s="39"/>
      <c r="Y342" s="40"/>
      <c r="Z342" s="40"/>
      <c r="AA342" s="40" t="s">
        <v>45</v>
      </c>
      <c r="AB342" s="41">
        <v>0</v>
      </c>
      <c r="AD342" s="42" t="str">
        <f>C342&amp;A342</f>
        <v>SEGURANCA PREDIALOper</v>
      </c>
      <c r="AE342" s="42" t="str">
        <f>IFERROR(VLOOKUP(C342,[34]Planilha1!$B:$C,2,0),"Não se Aplica")</f>
        <v>Sim</v>
      </c>
      <c r="AF342" s="42" t="str">
        <f>VLOOKUP(AD342,[34]Planilha1!$H:$J,3,0)</f>
        <v>Sim</v>
      </c>
      <c r="AG342" s="43">
        <f t="shared" si="166"/>
        <v>25221.239999999998</v>
      </c>
    </row>
    <row r="343" spans="1:33" x14ac:dyDescent="0.3">
      <c r="A343" s="1" t="s">
        <v>836</v>
      </c>
      <c r="B343" s="34" t="s">
        <v>28</v>
      </c>
      <c r="C343" s="68" t="s">
        <v>38</v>
      </c>
      <c r="D343" s="60" t="s">
        <v>406</v>
      </c>
      <c r="E343" s="69" t="s">
        <v>405</v>
      </c>
      <c r="F343" s="70" t="s">
        <v>252</v>
      </c>
      <c r="G343" s="34" t="s">
        <v>32</v>
      </c>
      <c r="H343" s="70" t="s">
        <v>402</v>
      </c>
      <c r="I343" s="37">
        <f t="shared" si="168"/>
        <v>23464.85</v>
      </c>
      <c r="J343" s="37">
        <f t="shared" si="169"/>
        <v>23464.85</v>
      </c>
      <c r="K343" s="37">
        <f t="shared" si="170"/>
        <v>23464.85</v>
      </c>
      <c r="L343" s="37">
        <f t="shared" si="171"/>
        <v>23464.85</v>
      </c>
      <c r="M343" s="37">
        <f t="shared" si="172"/>
        <v>23464.85</v>
      </c>
      <c r="N343" s="37">
        <f t="shared" si="173"/>
        <v>23464.85</v>
      </c>
      <c r="O343" s="37">
        <f t="shared" si="174"/>
        <v>23464.85</v>
      </c>
      <c r="P343" s="37">
        <f t="shared" si="175"/>
        <v>23464.85</v>
      </c>
      <c r="Q343" s="37">
        <f t="shared" si="176"/>
        <v>23464.85</v>
      </c>
      <c r="R343" s="37">
        <f t="shared" si="177"/>
        <v>23464.85</v>
      </c>
      <c r="S343" s="37">
        <f t="shared" si="178"/>
        <v>23464.85</v>
      </c>
      <c r="T343" s="37">
        <f t="shared" si="179"/>
        <v>23464.85</v>
      </c>
      <c r="U343" s="37">
        <f t="shared" si="167"/>
        <v>281578.2</v>
      </c>
      <c r="V343" s="6"/>
      <c r="W343" s="64">
        <v>23464.85</v>
      </c>
      <c r="X343" s="39"/>
      <c r="Y343" s="40" t="s">
        <v>51</v>
      </c>
      <c r="Z343" s="40"/>
      <c r="AA343" s="40" t="s">
        <v>45</v>
      </c>
      <c r="AB343" s="41">
        <v>0</v>
      </c>
      <c r="AD343" s="42" t="str">
        <f>C343&amp;A343</f>
        <v>ALUGUEIS DE EQUIPAMENTOSOper</v>
      </c>
      <c r="AE343" s="42" t="str">
        <f>IFERROR(VLOOKUP(C343,[34]Planilha1!$B:$C,2,0),"Não se Aplica")</f>
        <v>Sim</v>
      </c>
      <c r="AF343" s="42" t="str">
        <f>VLOOKUP(AD343,[34]Planilha1!$H:$J,3,0)</f>
        <v>Sim</v>
      </c>
      <c r="AG343" s="43">
        <f t="shared" si="166"/>
        <v>255532.21650000001</v>
      </c>
    </row>
    <row r="344" spans="1:33" x14ac:dyDescent="0.3">
      <c r="A344" s="1" t="s">
        <v>836</v>
      </c>
      <c r="B344" s="34" t="s">
        <v>20</v>
      </c>
      <c r="C344" s="68" t="s">
        <v>38</v>
      </c>
      <c r="D344" s="60" t="s">
        <v>407</v>
      </c>
      <c r="E344" s="69" t="s">
        <v>405</v>
      </c>
      <c r="F344" s="70" t="s">
        <v>252</v>
      </c>
      <c r="G344" s="34" t="s">
        <v>22</v>
      </c>
      <c r="H344" s="70" t="s">
        <v>402</v>
      </c>
      <c r="I344" s="37">
        <f t="shared" si="168"/>
        <v>21999.91</v>
      </c>
      <c r="J344" s="37">
        <f t="shared" si="169"/>
        <v>21999.91</v>
      </c>
      <c r="K344" s="37">
        <f t="shared" si="170"/>
        <v>21999.91</v>
      </c>
      <c r="L344" s="37">
        <f t="shared" si="171"/>
        <v>21999.91</v>
      </c>
      <c r="M344" s="37">
        <f t="shared" si="172"/>
        <v>21999.91</v>
      </c>
      <c r="N344" s="37">
        <f t="shared" si="173"/>
        <v>21999.91</v>
      </c>
      <c r="O344" s="37">
        <f t="shared" si="174"/>
        <v>21999.91</v>
      </c>
      <c r="P344" s="37">
        <f t="shared" si="175"/>
        <v>22659.907299999999</v>
      </c>
      <c r="Q344" s="37">
        <f t="shared" si="176"/>
        <v>22659.907299999999</v>
      </c>
      <c r="R344" s="37">
        <f t="shared" si="177"/>
        <v>22659.907299999999</v>
      </c>
      <c r="S344" s="37">
        <f t="shared" si="178"/>
        <v>22659.907299999999</v>
      </c>
      <c r="T344" s="37">
        <f t="shared" si="179"/>
        <v>22659.907299999999</v>
      </c>
      <c r="U344" s="37">
        <f t="shared" si="167"/>
        <v>267298.90649999998</v>
      </c>
      <c r="V344" s="6"/>
      <c r="W344" s="64">
        <v>21999.91</v>
      </c>
      <c r="X344" s="39">
        <v>46600</v>
      </c>
      <c r="Y344" s="40" t="s">
        <v>65</v>
      </c>
      <c r="Z344" s="40"/>
      <c r="AA344" s="40" t="s">
        <v>45</v>
      </c>
      <c r="AB344" s="41">
        <v>0.03</v>
      </c>
      <c r="AD344" s="42" t="str">
        <f>C344&amp;A344</f>
        <v>ALUGUEIS DE EQUIPAMENTOSOper</v>
      </c>
      <c r="AE344" s="42" t="str">
        <f>IFERROR(VLOOKUP(C344,[34]Planilha1!$B:$C,2,0),"Não se Aplica")</f>
        <v>Sim</v>
      </c>
      <c r="AF344" s="42" t="str">
        <f>VLOOKUP(AD344,[34]Planilha1!$H:$J,3,0)</f>
        <v>Sim</v>
      </c>
      <c r="AG344" s="43">
        <f t="shared" si="166"/>
        <v>242573.75764874998</v>
      </c>
    </row>
    <row r="345" spans="1:33" x14ac:dyDescent="0.3">
      <c r="A345" s="1" t="s">
        <v>837</v>
      </c>
      <c r="B345" s="34" t="s">
        <v>20</v>
      </c>
      <c r="C345" s="35" t="s">
        <v>408</v>
      </c>
      <c r="D345" s="34" t="s">
        <v>409</v>
      </c>
      <c r="E345" s="36" t="s">
        <v>410</v>
      </c>
      <c r="F345" s="34" t="s">
        <v>34</v>
      </c>
      <c r="G345" s="34" t="s">
        <v>32</v>
      </c>
      <c r="H345" s="34" t="s">
        <v>411</v>
      </c>
      <c r="I345" s="37">
        <f t="shared" si="168"/>
        <v>4944</v>
      </c>
      <c r="J345" s="37">
        <f t="shared" si="169"/>
        <v>4944</v>
      </c>
      <c r="K345" s="37">
        <f t="shared" si="170"/>
        <v>4944</v>
      </c>
      <c r="L345" s="37">
        <f t="shared" si="171"/>
        <v>4944</v>
      </c>
      <c r="M345" s="37">
        <f t="shared" si="172"/>
        <v>4944</v>
      </c>
      <c r="N345" s="37">
        <f t="shared" si="173"/>
        <v>4944</v>
      </c>
      <c r="O345" s="37">
        <f t="shared" si="174"/>
        <v>4944</v>
      </c>
      <c r="P345" s="37">
        <f t="shared" si="175"/>
        <v>4944</v>
      </c>
      <c r="Q345" s="37">
        <f t="shared" si="176"/>
        <v>4944</v>
      </c>
      <c r="R345" s="37">
        <f t="shared" si="177"/>
        <v>4944</v>
      </c>
      <c r="S345" s="37">
        <f t="shared" si="178"/>
        <v>4944</v>
      </c>
      <c r="T345" s="37">
        <f t="shared" si="179"/>
        <v>4944</v>
      </c>
      <c r="U345" s="37">
        <f t="shared" si="167"/>
        <v>59328</v>
      </c>
      <c r="V345" s="6"/>
      <c r="W345" s="76">
        <v>4800</v>
      </c>
      <c r="X345" s="39">
        <v>46078</v>
      </c>
      <c r="Y345" s="40" t="s">
        <v>51</v>
      </c>
      <c r="Z345" s="40"/>
      <c r="AA345" s="40" t="s">
        <v>45</v>
      </c>
      <c r="AB345" s="41">
        <v>0.03</v>
      </c>
      <c r="AD345" s="42" t="str">
        <f>C345&amp;A345</f>
        <v>PORTES/SELOS E TELEGRAMAS CORREIOSAdm</v>
      </c>
      <c r="AE345" s="42" t="str">
        <f>IFERROR(VLOOKUP(C345,[34]Planilha1!$B:$C,2,0),"Não se Aplica")</f>
        <v>Sim</v>
      </c>
      <c r="AF345" s="42" t="str">
        <f>VLOOKUP(AD345,[34]Planilha1!$H:$J,3,0)</f>
        <v>Não</v>
      </c>
      <c r="AG345" s="43">
        <f t="shared" si="166"/>
        <v>59328</v>
      </c>
    </row>
    <row r="346" spans="1:33" x14ac:dyDescent="0.3">
      <c r="A346" s="1" t="s">
        <v>837</v>
      </c>
      <c r="B346" s="34" t="s">
        <v>28</v>
      </c>
      <c r="C346" s="35" t="s">
        <v>408</v>
      </c>
      <c r="D346" s="34" t="s">
        <v>409</v>
      </c>
      <c r="E346" s="36" t="s">
        <v>410</v>
      </c>
      <c r="F346" s="34" t="s">
        <v>34</v>
      </c>
      <c r="G346" s="34" t="s">
        <v>32</v>
      </c>
      <c r="H346" s="34" t="s">
        <v>411</v>
      </c>
      <c r="I346" s="37">
        <f t="shared" si="168"/>
        <v>4944</v>
      </c>
      <c r="J346" s="37">
        <f t="shared" si="169"/>
        <v>4944</v>
      </c>
      <c r="K346" s="37">
        <f t="shared" si="170"/>
        <v>4944</v>
      </c>
      <c r="L346" s="37">
        <f t="shared" si="171"/>
        <v>4944</v>
      </c>
      <c r="M346" s="37">
        <f t="shared" si="172"/>
        <v>4944</v>
      </c>
      <c r="N346" s="37">
        <f t="shared" si="173"/>
        <v>4944</v>
      </c>
      <c r="O346" s="37">
        <f t="shared" si="174"/>
        <v>4944</v>
      </c>
      <c r="P346" s="37">
        <f t="shared" si="175"/>
        <v>4944</v>
      </c>
      <c r="Q346" s="37">
        <f t="shared" si="176"/>
        <v>4944</v>
      </c>
      <c r="R346" s="37">
        <f t="shared" si="177"/>
        <v>4944</v>
      </c>
      <c r="S346" s="37">
        <f t="shared" si="178"/>
        <v>4944</v>
      </c>
      <c r="T346" s="37">
        <f t="shared" si="179"/>
        <v>4944</v>
      </c>
      <c r="U346" s="37">
        <f t="shared" si="167"/>
        <v>59328</v>
      </c>
      <c r="V346" s="6"/>
      <c r="W346" s="76">
        <v>4800</v>
      </c>
      <c r="X346" s="39">
        <v>46078</v>
      </c>
      <c r="Y346" s="40" t="s">
        <v>51</v>
      </c>
      <c r="Z346" s="40"/>
      <c r="AA346" s="40" t="s">
        <v>45</v>
      </c>
      <c r="AB346" s="41">
        <v>0.03</v>
      </c>
      <c r="AD346" s="42" t="str">
        <f>C346&amp;A346</f>
        <v>PORTES/SELOS E TELEGRAMAS CORREIOSAdm</v>
      </c>
      <c r="AE346" s="42" t="str">
        <f>IFERROR(VLOOKUP(C346,[34]Planilha1!$B:$C,2,0),"Não se Aplica")</f>
        <v>Sim</v>
      </c>
      <c r="AF346" s="42" t="str">
        <f>VLOOKUP(AD346,[34]Planilha1!$H:$J,3,0)</f>
        <v>Não</v>
      </c>
      <c r="AG346" s="43">
        <f t="shared" si="166"/>
        <v>59328</v>
      </c>
    </row>
    <row r="347" spans="1:33" x14ac:dyDescent="0.3">
      <c r="A347" s="1" t="s">
        <v>837</v>
      </c>
      <c r="B347" s="34" t="s">
        <v>28</v>
      </c>
      <c r="C347" s="68" t="s">
        <v>57</v>
      </c>
      <c r="D347" s="60" t="s">
        <v>412</v>
      </c>
      <c r="E347" s="69" t="s">
        <v>413</v>
      </c>
      <c r="F347" s="70" t="s">
        <v>414</v>
      </c>
      <c r="G347" s="34" t="s">
        <v>32</v>
      </c>
      <c r="H347" s="70" t="s">
        <v>415</v>
      </c>
      <c r="I347" s="37">
        <f t="shared" si="168"/>
        <v>8713.52</v>
      </c>
      <c r="J347" s="37">
        <f t="shared" si="169"/>
        <v>8713.52</v>
      </c>
      <c r="K347" s="37">
        <f t="shared" si="170"/>
        <v>8713.52</v>
      </c>
      <c r="L347" s="37">
        <f t="shared" si="171"/>
        <v>8713.52</v>
      </c>
      <c r="M347" s="37"/>
      <c r="N347" s="37"/>
      <c r="O347" s="37"/>
      <c r="P347" s="37"/>
      <c r="Q347" s="37"/>
      <c r="R347" s="37">
        <f>IF($Y347="ABRIL",$K347*(1+$AB347),$K347)</f>
        <v>8713.52</v>
      </c>
      <c r="S347" s="37">
        <f t="shared" si="178"/>
        <v>8713.52</v>
      </c>
      <c r="T347" s="37">
        <f t="shared" si="179"/>
        <v>8713.52</v>
      </c>
      <c r="U347" s="37">
        <f t="shared" si="167"/>
        <v>60994.640000000014</v>
      </c>
      <c r="V347" s="6"/>
      <c r="W347" s="64">
        <v>8713.52</v>
      </c>
      <c r="X347" s="39"/>
      <c r="Y347" s="40" t="s">
        <v>54</v>
      </c>
      <c r="Z347" s="40"/>
      <c r="AA347" s="40" t="s">
        <v>45</v>
      </c>
      <c r="AB347" s="41">
        <v>0</v>
      </c>
      <c r="AD347" s="42" t="str">
        <f>C347&amp;A347</f>
        <v>AUDITORIA/CONSULTORIAAdm</v>
      </c>
      <c r="AE347" s="42" t="str">
        <f>IFERROR(VLOOKUP(C347,[34]Planilha1!$B:$C,2,0),"Não se Aplica")</f>
        <v>Sim</v>
      </c>
      <c r="AF347" s="42" t="str">
        <f>VLOOKUP(AD347,[34]Planilha1!$H:$J,3,0)</f>
        <v>Não</v>
      </c>
      <c r="AG347" s="43">
        <f t="shared" si="166"/>
        <v>60994.640000000014</v>
      </c>
    </row>
    <row r="348" spans="1:33" x14ac:dyDescent="0.3">
      <c r="A348" s="1" t="s">
        <v>837</v>
      </c>
      <c r="B348" s="34" t="s">
        <v>20</v>
      </c>
      <c r="C348" s="68" t="s">
        <v>57</v>
      </c>
      <c r="D348" s="60" t="s">
        <v>412</v>
      </c>
      <c r="E348" s="69" t="s">
        <v>413</v>
      </c>
      <c r="F348" s="70" t="s">
        <v>414</v>
      </c>
      <c r="G348" s="34" t="s">
        <v>32</v>
      </c>
      <c r="H348" s="70" t="s">
        <v>415</v>
      </c>
      <c r="I348" s="37">
        <f t="shared" si="168"/>
        <v>12338.31</v>
      </c>
      <c r="J348" s="37">
        <f t="shared" si="169"/>
        <v>12338.31</v>
      </c>
      <c r="K348" s="37">
        <f t="shared" si="170"/>
        <v>12338.31</v>
      </c>
      <c r="L348" s="37">
        <f t="shared" si="171"/>
        <v>12338.31</v>
      </c>
      <c r="M348" s="37"/>
      <c r="N348" s="37"/>
      <c r="O348" s="37"/>
      <c r="P348" s="37"/>
      <c r="Q348" s="37"/>
      <c r="R348" s="37">
        <f>IF($Y348="ABRIL",$K348*(1+$AB348),$K348)</f>
        <v>12338.31</v>
      </c>
      <c r="S348" s="37">
        <f t="shared" si="178"/>
        <v>12338.31</v>
      </c>
      <c r="T348" s="37">
        <f t="shared" si="179"/>
        <v>12338.31</v>
      </c>
      <c r="U348" s="37">
        <f t="shared" si="167"/>
        <v>86368.17</v>
      </c>
      <c r="V348" s="6"/>
      <c r="W348" s="64">
        <v>12338.31</v>
      </c>
      <c r="X348" s="39"/>
      <c r="Y348" s="40" t="s">
        <v>54</v>
      </c>
      <c r="Z348" s="40"/>
      <c r="AA348" s="40" t="s">
        <v>45</v>
      </c>
      <c r="AB348" s="41">
        <v>0</v>
      </c>
      <c r="AD348" s="42" t="str">
        <f>C348&amp;A348</f>
        <v>AUDITORIA/CONSULTORIAAdm</v>
      </c>
      <c r="AE348" s="42" t="str">
        <f>IFERROR(VLOOKUP(C348,[34]Planilha1!$B:$C,2,0),"Não se Aplica")</f>
        <v>Sim</v>
      </c>
      <c r="AF348" s="42" t="str">
        <f>VLOOKUP(AD348,[34]Planilha1!$H:$J,3,0)</f>
        <v>Não</v>
      </c>
      <c r="AG348" s="43">
        <f t="shared" si="166"/>
        <v>86368.17</v>
      </c>
    </row>
    <row r="349" spans="1:33" x14ac:dyDescent="0.3">
      <c r="A349" s="1" t="s">
        <v>837</v>
      </c>
      <c r="B349" s="34" t="s">
        <v>20</v>
      </c>
      <c r="C349" s="68" t="s">
        <v>57</v>
      </c>
      <c r="D349" s="60" t="s">
        <v>416</v>
      </c>
      <c r="E349" s="69" t="s">
        <v>417</v>
      </c>
      <c r="F349" s="70" t="s">
        <v>414</v>
      </c>
      <c r="G349" s="34" t="s">
        <v>32</v>
      </c>
      <c r="H349" s="70" t="s">
        <v>415</v>
      </c>
      <c r="I349" s="37">
        <f t="shared" si="168"/>
        <v>4311.96</v>
      </c>
      <c r="J349" s="37">
        <f t="shared" si="169"/>
        <v>4311.96</v>
      </c>
      <c r="K349" s="37">
        <f t="shared" si="170"/>
        <v>4311.96</v>
      </c>
      <c r="L349" s="37">
        <f t="shared" si="171"/>
        <v>4311.96</v>
      </c>
      <c r="M349" s="37">
        <f t="shared" ref="M349:M369" si="180">IF($Y349="maio",$L349*(1+$AB349),$L349)</f>
        <v>4441.3188</v>
      </c>
      <c r="N349" s="37">
        <f t="shared" ref="N349:N369" si="181">IF($Y349="junho",$M349*(1+$AB349),$M349)</f>
        <v>4441.3188</v>
      </c>
      <c r="O349" s="37">
        <f t="shared" ref="O349:O369" si="182">IF($Y349="julho",$N349*(1+$AB349),$N349)</f>
        <v>4441.3188</v>
      </c>
      <c r="P349" s="37">
        <f t="shared" ref="P349:P369" si="183">IF($Y349="agosto",$O349*(1+$AB349),$O349)</f>
        <v>4441.3188</v>
      </c>
      <c r="Q349" s="37">
        <f t="shared" ref="Q349:Q369" si="184">IF($Y349="setembro",$P349*(1+$AB349),$P349)</f>
        <v>4441.3188</v>
      </c>
      <c r="R349" s="37">
        <f t="shared" ref="R349:R369" si="185">IF($Y349="outubro",$Q349*(1+$AB349),$Q349)</f>
        <v>4441.3188</v>
      </c>
      <c r="S349" s="37">
        <f t="shared" si="178"/>
        <v>4441.3188</v>
      </c>
      <c r="T349" s="37">
        <f t="shared" si="179"/>
        <v>4441.3188</v>
      </c>
      <c r="U349" s="37">
        <f t="shared" si="167"/>
        <v>52778.390400000004</v>
      </c>
      <c r="V349" s="6"/>
      <c r="W349" s="64">
        <v>4311.96</v>
      </c>
      <c r="X349" s="39">
        <v>45047</v>
      </c>
      <c r="Y349" s="40" t="s">
        <v>62</v>
      </c>
      <c r="Z349" s="40" t="s">
        <v>44</v>
      </c>
      <c r="AA349" s="40" t="s">
        <v>45</v>
      </c>
      <c r="AB349" s="41">
        <v>0.03</v>
      </c>
      <c r="AD349" s="42" t="str">
        <f>C349&amp;A349</f>
        <v>AUDITORIA/CONSULTORIAAdm</v>
      </c>
      <c r="AE349" s="42" t="str">
        <f>IFERROR(VLOOKUP(C349,[34]Planilha1!$B:$C,2,0),"Não se Aplica")</f>
        <v>Sim</v>
      </c>
      <c r="AF349" s="42" t="str">
        <f>VLOOKUP(AD349,[34]Planilha1!$H:$J,3,0)</f>
        <v>Não</v>
      </c>
      <c r="AG349" s="43">
        <f t="shared" si="166"/>
        <v>52778.390400000004</v>
      </c>
    </row>
    <row r="350" spans="1:33" x14ac:dyDescent="0.3">
      <c r="A350" s="1" t="s">
        <v>837</v>
      </c>
      <c r="B350" s="34" t="s">
        <v>28</v>
      </c>
      <c r="C350" s="68" t="s">
        <v>57</v>
      </c>
      <c r="D350" s="60" t="s">
        <v>416</v>
      </c>
      <c r="E350" s="69" t="s">
        <v>418</v>
      </c>
      <c r="F350" s="70" t="s">
        <v>414</v>
      </c>
      <c r="G350" s="34" t="s">
        <v>32</v>
      </c>
      <c r="H350" s="70" t="s">
        <v>415</v>
      </c>
      <c r="I350" s="37">
        <f t="shared" si="168"/>
        <v>3298.22</v>
      </c>
      <c r="J350" s="37">
        <f t="shared" si="169"/>
        <v>3298.22</v>
      </c>
      <c r="K350" s="37">
        <f t="shared" si="170"/>
        <v>3298.22</v>
      </c>
      <c r="L350" s="37">
        <f t="shared" si="171"/>
        <v>3298.22</v>
      </c>
      <c r="M350" s="37">
        <f t="shared" si="180"/>
        <v>3397.1666</v>
      </c>
      <c r="N350" s="37">
        <f t="shared" si="181"/>
        <v>3397.1666</v>
      </c>
      <c r="O350" s="37">
        <f t="shared" si="182"/>
        <v>3397.1666</v>
      </c>
      <c r="P350" s="37">
        <f t="shared" si="183"/>
        <v>3397.1666</v>
      </c>
      <c r="Q350" s="37">
        <f t="shared" si="184"/>
        <v>3397.1666</v>
      </c>
      <c r="R350" s="37">
        <f t="shared" si="185"/>
        <v>3397.1666</v>
      </c>
      <c r="S350" s="37">
        <f t="shared" si="178"/>
        <v>3397.1666</v>
      </c>
      <c r="T350" s="37">
        <f t="shared" si="179"/>
        <v>3397.1666</v>
      </c>
      <c r="U350" s="37">
        <f t="shared" si="167"/>
        <v>40370.212799999994</v>
      </c>
      <c r="V350" s="6"/>
      <c r="W350" s="64">
        <v>3298.22</v>
      </c>
      <c r="X350" s="39">
        <v>45047</v>
      </c>
      <c r="Y350" s="40" t="s">
        <v>62</v>
      </c>
      <c r="Z350" s="40" t="s">
        <v>44</v>
      </c>
      <c r="AA350" s="40" t="s">
        <v>45</v>
      </c>
      <c r="AB350" s="41">
        <v>0.03</v>
      </c>
      <c r="AD350" s="42" t="str">
        <f>C350&amp;A350</f>
        <v>AUDITORIA/CONSULTORIAAdm</v>
      </c>
      <c r="AE350" s="42" t="str">
        <f>IFERROR(VLOOKUP(C350,[34]Planilha1!$B:$C,2,0),"Não se Aplica")</f>
        <v>Sim</v>
      </c>
      <c r="AF350" s="42" t="str">
        <f>VLOOKUP(AD350,[34]Planilha1!$H:$J,3,0)</f>
        <v>Não</v>
      </c>
      <c r="AG350" s="43">
        <f t="shared" si="166"/>
        <v>40370.212799999994</v>
      </c>
    </row>
    <row r="351" spans="1:33" x14ac:dyDescent="0.3">
      <c r="A351" s="1" t="s">
        <v>837</v>
      </c>
      <c r="B351" s="34" t="s">
        <v>20</v>
      </c>
      <c r="C351" s="68" t="s">
        <v>57</v>
      </c>
      <c r="D351" s="60" t="s">
        <v>419</v>
      </c>
      <c r="E351" s="69" t="s">
        <v>231</v>
      </c>
      <c r="F351" s="70" t="s">
        <v>414</v>
      </c>
      <c r="G351" s="34" t="s">
        <v>32</v>
      </c>
      <c r="H351" s="70" t="s">
        <v>415</v>
      </c>
      <c r="I351" s="37">
        <f t="shared" si="168"/>
        <v>130000</v>
      </c>
      <c r="J351" s="37">
        <f t="shared" si="169"/>
        <v>130000</v>
      </c>
      <c r="K351" s="37">
        <f t="shared" si="170"/>
        <v>130000</v>
      </c>
      <c r="L351" s="37">
        <f t="shared" si="171"/>
        <v>130000</v>
      </c>
      <c r="M351" s="37">
        <f t="shared" si="180"/>
        <v>130000</v>
      </c>
      <c r="N351" s="37">
        <f t="shared" si="181"/>
        <v>130000</v>
      </c>
      <c r="O351" s="37">
        <f t="shared" si="182"/>
        <v>130000</v>
      </c>
      <c r="P351" s="37">
        <f t="shared" si="183"/>
        <v>130000</v>
      </c>
      <c r="Q351" s="37">
        <f t="shared" si="184"/>
        <v>130000</v>
      </c>
      <c r="R351" s="37">
        <f t="shared" si="185"/>
        <v>130000</v>
      </c>
      <c r="S351" s="37">
        <f t="shared" si="178"/>
        <v>130000</v>
      </c>
      <c r="T351" s="37">
        <f t="shared" si="179"/>
        <v>130000</v>
      </c>
      <c r="U351" s="37">
        <f t="shared" si="167"/>
        <v>1560000</v>
      </c>
      <c r="V351" s="6"/>
      <c r="W351" s="64">
        <v>130000</v>
      </c>
      <c r="X351" s="39"/>
      <c r="Y351" s="40" t="s">
        <v>51</v>
      </c>
      <c r="Z351" s="40"/>
      <c r="AA351" s="40" t="s">
        <v>45</v>
      </c>
      <c r="AB351" s="41">
        <v>0</v>
      </c>
      <c r="AD351" s="42" t="str">
        <f>C351&amp;A351</f>
        <v>AUDITORIA/CONSULTORIAAdm</v>
      </c>
      <c r="AE351" s="42" t="str">
        <f>IFERROR(VLOOKUP(C351,[34]Planilha1!$B:$C,2,0),"Não se Aplica")</f>
        <v>Sim</v>
      </c>
      <c r="AF351" s="42" t="str">
        <f>VLOOKUP(AD351,[34]Planilha1!$H:$J,3,0)</f>
        <v>Não</v>
      </c>
      <c r="AG351" s="43">
        <f t="shared" si="166"/>
        <v>1560000</v>
      </c>
    </row>
    <row r="352" spans="1:33" x14ac:dyDescent="0.3">
      <c r="A352" s="1" t="s">
        <v>837</v>
      </c>
      <c r="B352" s="34" t="s">
        <v>28</v>
      </c>
      <c r="C352" s="68" t="s">
        <v>57</v>
      </c>
      <c r="D352" s="60" t="s">
        <v>419</v>
      </c>
      <c r="E352" s="69" t="s">
        <v>231</v>
      </c>
      <c r="F352" s="70" t="s">
        <v>414</v>
      </c>
      <c r="G352" s="34" t="s">
        <v>32</v>
      </c>
      <c r="H352" s="70" t="s">
        <v>415</v>
      </c>
      <c r="I352" s="37">
        <f t="shared" si="168"/>
        <v>160000</v>
      </c>
      <c r="J352" s="37">
        <f t="shared" si="169"/>
        <v>160000</v>
      </c>
      <c r="K352" s="37">
        <f t="shared" si="170"/>
        <v>160000</v>
      </c>
      <c r="L352" s="37">
        <f t="shared" si="171"/>
        <v>160000</v>
      </c>
      <c r="M352" s="37">
        <f t="shared" si="180"/>
        <v>160000</v>
      </c>
      <c r="N352" s="37">
        <f t="shared" si="181"/>
        <v>160000</v>
      </c>
      <c r="O352" s="37">
        <f t="shared" si="182"/>
        <v>160000</v>
      </c>
      <c r="P352" s="37">
        <f t="shared" si="183"/>
        <v>160000</v>
      </c>
      <c r="Q352" s="37">
        <f t="shared" si="184"/>
        <v>160000</v>
      </c>
      <c r="R352" s="37">
        <f t="shared" si="185"/>
        <v>160000</v>
      </c>
      <c r="S352" s="37">
        <f t="shared" si="178"/>
        <v>160000</v>
      </c>
      <c r="T352" s="37">
        <f t="shared" si="179"/>
        <v>160000</v>
      </c>
      <c r="U352" s="37">
        <f t="shared" si="167"/>
        <v>1920000</v>
      </c>
      <c r="V352" s="6"/>
      <c r="W352" s="64">
        <v>160000</v>
      </c>
      <c r="X352" s="39"/>
      <c r="Y352" s="40" t="s">
        <v>51</v>
      </c>
      <c r="Z352" s="40"/>
      <c r="AA352" s="40" t="s">
        <v>45</v>
      </c>
      <c r="AB352" s="41">
        <v>0</v>
      </c>
      <c r="AD352" s="42" t="str">
        <f>C352&amp;A352</f>
        <v>AUDITORIA/CONSULTORIAAdm</v>
      </c>
      <c r="AE352" s="42" t="str">
        <f>IFERROR(VLOOKUP(C352,[34]Planilha1!$B:$C,2,0),"Não se Aplica")</f>
        <v>Sim</v>
      </c>
      <c r="AF352" s="42" t="str">
        <f>VLOOKUP(AD352,[34]Planilha1!$H:$J,3,0)</f>
        <v>Não</v>
      </c>
      <c r="AG352" s="43">
        <f t="shared" si="166"/>
        <v>1920000</v>
      </c>
    </row>
    <row r="353" spans="1:33" x14ac:dyDescent="0.3">
      <c r="A353" s="1" t="s">
        <v>837</v>
      </c>
      <c r="B353" s="34" t="s">
        <v>28</v>
      </c>
      <c r="C353" s="68" t="s">
        <v>46</v>
      </c>
      <c r="D353" s="60" t="s">
        <v>420</v>
      </c>
      <c r="E353" s="69" t="s">
        <v>421</v>
      </c>
      <c r="F353" s="70" t="s">
        <v>414</v>
      </c>
      <c r="G353" s="34" t="s">
        <v>32</v>
      </c>
      <c r="H353" s="70" t="s">
        <v>415</v>
      </c>
      <c r="I353" s="37">
        <f t="shared" si="168"/>
        <v>496.83</v>
      </c>
      <c r="J353" s="37">
        <f t="shared" si="169"/>
        <v>496.83</v>
      </c>
      <c r="K353" s="37">
        <f t="shared" si="170"/>
        <v>496.83</v>
      </c>
      <c r="L353" s="37">
        <f t="shared" si="171"/>
        <v>496.83</v>
      </c>
      <c r="M353" s="37">
        <f t="shared" si="180"/>
        <v>496.83</v>
      </c>
      <c r="N353" s="37">
        <f t="shared" si="181"/>
        <v>496.83</v>
      </c>
      <c r="O353" s="37">
        <f t="shared" si="182"/>
        <v>496.83</v>
      </c>
      <c r="P353" s="37">
        <f t="shared" si="183"/>
        <v>496.83</v>
      </c>
      <c r="Q353" s="37">
        <f t="shared" si="184"/>
        <v>496.83</v>
      </c>
      <c r="R353" s="37">
        <f t="shared" si="185"/>
        <v>496.83</v>
      </c>
      <c r="S353" s="37">
        <f t="shared" si="178"/>
        <v>496.83</v>
      </c>
      <c r="T353" s="37">
        <f t="shared" si="179"/>
        <v>496.83</v>
      </c>
      <c r="U353" s="37">
        <f t="shared" si="167"/>
        <v>5961.96</v>
      </c>
      <c r="V353" s="6"/>
      <c r="W353" s="64">
        <v>496.83</v>
      </c>
      <c r="X353" s="39"/>
      <c r="Y353" s="40" t="s">
        <v>102</v>
      </c>
      <c r="Z353" s="40"/>
      <c r="AA353" s="40" t="s">
        <v>45</v>
      </c>
      <c r="AB353" s="41">
        <v>0</v>
      </c>
      <c r="AD353" s="42" t="str">
        <f>C353&amp;A353</f>
        <v>MANUTEN. SISTEMAS  INFORMATICAAdm</v>
      </c>
      <c r="AE353" s="42" t="str">
        <f>IFERROR(VLOOKUP(C353,[34]Planilha1!$B:$C,2,0),"Não se Aplica")</f>
        <v>Sim</v>
      </c>
      <c r="AF353" s="42" t="str">
        <f>VLOOKUP(AD353,[34]Planilha1!$H:$J,3,0)</f>
        <v>Sim</v>
      </c>
      <c r="AG353" s="43">
        <f t="shared" si="166"/>
        <v>5410.4786999999997</v>
      </c>
    </row>
    <row r="354" spans="1:33" x14ac:dyDescent="0.3">
      <c r="A354" s="1" t="s">
        <v>837</v>
      </c>
      <c r="B354" s="34" t="s">
        <v>28</v>
      </c>
      <c r="C354" s="68" t="s">
        <v>46</v>
      </c>
      <c r="D354" s="60" t="s">
        <v>422</v>
      </c>
      <c r="E354" s="69" t="s">
        <v>421</v>
      </c>
      <c r="F354" s="70" t="s">
        <v>414</v>
      </c>
      <c r="G354" s="34" t="s">
        <v>32</v>
      </c>
      <c r="H354" s="70" t="s">
        <v>415</v>
      </c>
      <c r="I354" s="37">
        <f t="shared" si="168"/>
        <v>1467.48</v>
      </c>
      <c r="J354" s="37">
        <f t="shared" si="169"/>
        <v>1467.48</v>
      </c>
      <c r="K354" s="37">
        <f t="shared" si="170"/>
        <v>1467.48</v>
      </c>
      <c r="L354" s="37">
        <f t="shared" si="171"/>
        <v>1467.48</v>
      </c>
      <c r="M354" s="37">
        <f t="shared" si="180"/>
        <v>1467.48</v>
      </c>
      <c r="N354" s="37">
        <f t="shared" si="181"/>
        <v>1467.48</v>
      </c>
      <c r="O354" s="37">
        <f t="shared" si="182"/>
        <v>1467.48</v>
      </c>
      <c r="P354" s="37">
        <f t="shared" si="183"/>
        <v>1467.48</v>
      </c>
      <c r="Q354" s="37">
        <f t="shared" si="184"/>
        <v>1467.48</v>
      </c>
      <c r="R354" s="37">
        <f t="shared" si="185"/>
        <v>1467.48</v>
      </c>
      <c r="S354" s="37">
        <f t="shared" si="178"/>
        <v>1467.48</v>
      </c>
      <c r="T354" s="37">
        <f t="shared" si="179"/>
        <v>1467.48</v>
      </c>
      <c r="U354" s="37">
        <f t="shared" si="167"/>
        <v>17609.759999999998</v>
      </c>
      <c r="V354" s="6"/>
      <c r="W354" s="64">
        <v>1467.48</v>
      </c>
      <c r="X354" s="39"/>
      <c r="Y354" s="40" t="s">
        <v>62</v>
      </c>
      <c r="Z354" s="40"/>
      <c r="AA354" s="40" t="s">
        <v>45</v>
      </c>
      <c r="AB354" s="41">
        <v>0</v>
      </c>
      <c r="AD354" s="42" t="str">
        <f>C354&amp;A354</f>
        <v>MANUTEN. SISTEMAS  INFORMATICAAdm</v>
      </c>
      <c r="AE354" s="42" t="str">
        <f>IFERROR(VLOOKUP(C354,[34]Planilha1!$B:$C,2,0),"Não se Aplica")</f>
        <v>Sim</v>
      </c>
      <c r="AF354" s="42" t="str">
        <f>VLOOKUP(AD354,[34]Planilha1!$H:$J,3,0)</f>
        <v>Sim</v>
      </c>
      <c r="AG354" s="43">
        <f t="shared" si="166"/>
        <v>15980.857199999999</v>
      </c>
    </row>
    <row r="355" spans="1:33" x14ac:dyDescent="0.3">
      <c r="A355" s="1" t="s">
        <v>837</v>
      </c>
      <c r="B355" s="34" t="s">
        <v>28</v>
      </c>
      <c r="C355" s="68" t="s">
        <v>46</v>
      </c>
      <c r="D355" s="60" t="s">
        <v>423</v>
      </c>
      <c r="E355" s="69" t="s">
        <v>421</v>
      </c>
      <c r="F355" s="70" t="s">
        <v>414</v>
      </c>
      <c r="G355" s="34" t="s">
        <v>32</v>
      </c>
      <c r="H355" s="70" t="s">
        <v>415</v>
      </c>
      <c r="I355" s="37">
        <f t="shared" si="168"/>
        <v>806.53</v>
      </c>
      <c r="J355" s="37">
        <f t="shared" si="169"/>
        <v>806.53</v>
      </c>
      <c r="K355" s="37">
        <f t="shared" si="170"/>
        <v>806.53</v>
      </c>
      <c r="L355" s="37">
        <f t="shared" si="171"/>
        <v>806.53</v>
      </c>
      <c r="M355" s="37">
        <f t="shared" si="180"/>
        <v>806.53</v>
      </c>
      <c r="N355" s="37">
        <f t="shared" si="181"/>
        <v>806.53</v>
      </c>
      <c r="O355" s="37">
        <f t="shared" si="182"/>
        <v>806.53</v>
      </c>
      <c r="P355" s="37">
        <f t="shared" si="183"/>
        <v>806.53</v>
      </c>
      <c r="Q355" s="37">
        <f t="shared" si="184"/>
        <v>806.53</v>
      </c>
      <c r="R355" s="37">
        <f t="shared" si="185"/>
        <v>806.53</v>
      </c>
      <c r="S355" s="37">
        <f t="shared" si="178"/>
        <v>806.53</v>
      </c>
      <c r="T355" s="37">
        <f t="shared" si="179"/>
        <v>806.53</v>
      </c>
      <c r="U355" s="37">
        <f t="shared" si="167"/>
        <v>9678.3599999999988</v>
      </c>
      <c r="V355" s="6"/>
      <c r="W355" s="64">
        <v>806.53</v>
      </c>
      <c r="X355" s="39"/>
      <c r="Y355" s="40" t="s">
        <v>102</v>
      </c>
      <c r="Z355" s="40"/>
      <c r="AA355" s="40" t="s">
        <v>45</v>
      </c>
      <c r="AB355" s="41">
        <v>0</v>
      </c>
      <c r="AD355" s="42" t="str">
        <f>C355&amp;A355</f>
        <v>MANUTEN. SISTEMAS  INFORMATICAAdm</v>
      </c>
      <c r="AE355" s="42" t="str">
        <f>IFERROR(VLOOKUP(C355,[34]Planilha1!$B:$C,2,0),"Não se Aplica")</f>
        <v>Sim</v>
      </c>
      <c r="AF355" s="42" t="str">
        <f>VLOOKUP(AD355,[34]Planilha1!$H:$J,3,0)</f>
        <v>Sim</v>
      </c>
      <c r="AG355" s="43">
        <f t="shared" si="166"/>
        <v>8783.1116999999995</v>
      </c>
    </row>
    <row r="356" spans="1:33" x14ac:dyDescent="0.3">
      <c r="A356" s="1" t="s">
        <v>837</v>
      </c>
      <c r="B356" s="34" t="s">
        <v>20</v>
      </c>
      <c r="C356" s="68" t="s">
        <v>69</v>
      </c>
      <c r="D356" s="60" t="s">
        <v>420</v>
      </c>
      <c r="E356" s="69" t="s">
        <v>421</v>
      </c>
      <c r="F356" s="70" t="s">
        <v>414</v>
      </c>
      <c r="G356" s="34" t="s">
        <v>32</v>
      </c>
      <c r="H356" s="70" t="s">
        <v>415</v>
      </c>
      <c r="I356" s="37">
        <f t="shared" si="168"/>
        <v>382.18</v>
      </c>
      <c r="J356" s="37">
        <f t="shared" si="169"/>
        <v>382.18</v>
      </c>
      <c r="K356" s="37">
        <f t="shared" si="170"/>
        <v>382.18</v>
      </c>
      <c r="L356" s="37">
        <f t="shared" si="171"/>
        <v>382.18</v>
      </c>
      <c r="M356" s="37">
        <f t="shared" si="180"/>
        <v>382.18</v>
      </c>
      <c r="N356" s="37">
        <f t="shared" si="181"/>
        <v>382.18</v>
      </c>
      <c r="O356" s="37">
        <f t="shared" si="182"/>
        <v>382.18</v>
      </c>
      <c r="P356" s="37">
        <f t="shared" si="183"/>
        <v>382.18</v>
      </c>
      <c r="Q356" s="37">
        <f t="shared" si="184"/>
        <v>382.18</v>
      </c>
      <c r="R356" s="37">
        <f t="shared" si="185"/>
        <v>382.18</v>
      </c>
      <c r="S356" s="37">
        <f t="shared" si="178"/>
        <v>382.18</v>
      </c>
      <c r="T356" s="37">
        <f t="shared" si="179"/>
        <v>382.18</v>
      </c>
      <c r="U356" s="37">
        <f t="shared" si="167"/>
        <v>4586.16</v>
      </c>
      <c r="V356" s="6"/>
      <c r="W356" s="64">
        <v>382.18</v>
      </c>
      <c r="X356" s="39"/>
      <c r="Y356" s="40" t="s">
        <v>102</v>
      </c>
      <c r="Z356" s="40"/>
      <c r="AA356" s="40" t="s">
        <v>45</v>
      </c>
      <c r="AB356" s="41">
        <v>0</v>
      </c>
      <c r="AD356" s="42" t="str">
        <f>C356&amp;A356</f>
        <v>ASSESSORIA E SERVICO INFORMATICAAdm</v>
      </c>
      <c r="AE356" s="42" t="str">
        <f>IFERROR(VLOOKUP(C356,[34]Planilha1!$B:$C,2,0),"Não se Aplica")</f>
        <v>Sim</v>
      </c>
      <c r="AF356" s="42" t="str">
        <f>VLOOKUP(AD356,[34]Planilha1!$H:$J,3,0)</f>
        <v>Não</v>
      </c>
      <c r="AG356" s="43">
        <f t="shared" si="166"/>
        <v>4586.16</v>
      </c>
    </row>
    <row r="357" spans="1:33" x14ac:dyDescent="0.3">
      <c r="A357" s="1" t="s">
        <v>837</v>
      </c>
      <c r="B357" s="34" t="s">
        <v>20</v>
      </c>
      <c r="C357" s="68" t="s">
        <v>46</v>
      </c>
      <c r="D357" s="60" t="s">
        <v>422</v>
      </c>
      <c r="E357" s="69" t="s">
        <v>421</v>
      </c>
      <c r="F357" s="70" t="s">
        <v>414</v>
      </c>
      <c r="G357" s="34" t="s">
        <v>32</v>
      </c>
      <c r="H357" s="70" t="s">
        <v>415</v>
      </c>
      <c r="I357" s="37">
        <f t="shared" si="168"/>
        <v>1467.48</v>
      </c>
      <c r="J357" s="37">
        <f t="shared" si="169"/>
        <v>1467.48</v>
      </c>
      <c r="K357" s="37">
        <f t="shared" si="170"/>
        <v>1467.48</v>
      </c>
      <c r="L357" s="37">
        <f t="shared" si="171"/>
        <v>1467.48</v>
      </c>
      <c r="M357" s="37">
        <f t="shared" si="180"/>
        <v>1467.48</v>
      </c>
      <c r="N357" s="37">
        <f t="shared" si="181"/>
        <v>1467.48</v>
      </c>
      <c r="O357" s="37">
        <f t="shared" si="182"/>
        <v>1467.48</v>
      </c>
      <c r="P357" s="37">
        <f t="shared" si="183"/>
        <v>1467.48</v>
      </c>
      <c r="Q357" s="37">
        <f t="shared" si="184"/>
        <v>1467.48</v>
      </c>
      <c r="R357" s="37">
        <f t="shared" si="185"/>
        <v>1467.48</v>
      </c>
      <c r="S357" s="37">
        <f t="shared" si="178"/>
        <v>1467.48</v>
      </c>
      <c r="T357" s="37">
        <f t="shared" si="179"/>
        <v>1467.48</v>
      </c>
      <c r="U357" s="37">
        <f t="shared" si="167"/>
        <v>17609.759999999998</v>
      </c>
      <c r="V357" s="6"/>
      <c r="W357" s="64">
        <v>1467.48</v>
      </c>
      <c r="X357" s="39"/>
      <c r="Y357" s="40" t="s">
        <v>62</v>
      </c>
      <c r="Z357" s="40"/>
      <c r="AA357" s="40" t="s">
        <v>45</v>
      </c>
      <c r="AB357" s="41">
        <v>0</v>
      </c>
      <c r="AD357" s="42" t="str">
        <f>C357&amp;A357</f>
        <v>MANUTEN. SISTEMAS  INFORMATICAAdm</v>
      </c>
      <c r="AE357" s="42" t="str">
        <f>IFERROR(VLOOKUP(C357,[34]Planilha1!$B:$C,2,0),"Não se Aplica")</f>
        <v>Sim</v>
      </c>
      <c r="AF357" s="42" t="str">
        <f>VLOOKUP(AD357,[34]Planilha1!$H:$J,3,0)</f>
        <v>Sim</v>
      </c>
      <c r="AG357" s="43">
        <f t="shared" si="166"/>
        <v>15980.857199999999</v>
      </c>
    </row>
    <row r="358" spans="1:33" x14ac:dyDescent="0.3">
      <c r="A358" s="1" t="s">
        <v>837</v>
      </c>
      <c r="B358" s="34" t="s">
        <v>20</v>
      </c>
      <c r="C358" s="68" t="s">
        <v>46</v>
      </c>
      <c r="D358" s="60" t="s">
        <v>423</v>
      </c>
      <c r="E358" s="69" t="s">
        <v>421</v>
      </c>
      <c r="F358" s="70" t="s">
        <v>414</v>
      </c>
      <c r="G358" s="34" t="s">
        <v>32</v>
      </c>
      <c r="H358" s="70" t="s">
        <v>415</v>
      </c>
      <c r="I358" s="37">
        <f t="shared" si="168"/>
        <v>4960.49</v>
      </c>
      <c r="J358" s="37">
        <f t="shared" si="169"/>
        <v>4960.49</v>
      </c>
      <c r="K358" s="37">
        <f t="shared" si="170"/>
        <v>4960.49</v>
      </c>
      <c r="L358" s="37">
        <f t="shared" si="171"/>
        <v>4960.49</v>
      </c>
      <c r="M358" s="37">
        <f t="shared" si="180"/>
        <v>4960.49</v>
      </c>
      <c r="N358" s="37">
        <f t="shared" si="181"/>
        <v>4960.49</v>
      </c>
      <c r="O358" s="37">
        <f t="shared" si="182"/>
        <v>4960.49</v>
      </c>
      <c r="P358" s="37">
        <f t="shared" si="183"/>
        <v>4960.49</v>
      </c>
      <c r="Q358" s="37">
        <f t="shared" si="184"/>
        <v>4960.49</v>
      </c>
      <c r="R358" s="37">
        <f t="shared" si="185"/>
        <v>4960.49</v>
      </c>
      <c r="S358" s="37">
        <f t="shared" si="178"/>
        <v>4960.49</v>
      </c>
      <c r="T358" s="37">
        <f t="shared" si="179"/>
        <v>4960.49</v>
      </c>
      <c r="U358" s="37">
        <f t="shared" si="167"/>
        <v>59525.879999999983</v>
      </c>
      <c r="V358" s="6"/>
      <c r="W358" s="64">
        <v>4960.49</v>
      </c>
      <c r="X358" s="39"/>
      <c r="Y358" s="40" t="s">
        <v>102</v>
      </c>
      <c r="Z358" s="40"/>
      <c r="AA358" s="40" t="s">
        <v>45</v>
      </c>
      <c r="AB358" s="41">
        <v>0</v>
      </c>
      <c r="AD358" s="42" t="str">
        <f>C358&amp;A358</f>
        <v>MANUTEN. SISTEMAS  INFORMATICAAdm</v>
      </c>
      <c r="AE358" s="42" t="str">
        <f>IFERROR(VLOOKUP(C358,[34]Planilha1!$B:$C,2,0),"Não se Aplica")</f>
        <v>Sim</v>
      </c>
      <c r="AF358" s="42" t="str">
        <f>VLOOKUP(AD358,[34]Planilha1!$H:$J,3,0)</f>
        <v>Sim</v>
      </c>
      <c r="AG358" s="43">
        <f t="shared" si="166"/>
        <v>54019.73609999998</v>
      </c>
    </row>
    <row r="359" spans="1:33" x14ac:dyDescent="0.3">
      <c r="A359" s="1" t="s">
        <v>837</v>
      </c>
      <c r="B359" s="34" t="s">
        <v>28</v>
      </c>
      <c r="C359" s="68" t="s">
        <v>424</v>
      </c>
      <c r="D359" s="60" t="s">
        <v>425</v>
      </c>
      <c r="E359" s="69" t="s">
        <v>426</v>
      </c>
      <c r="F359" s="70" t="s">
        <v>414</v>
      </c>
      <c r="G359" s="34" t="s">
        <v>31</v>
      </c>
      <c r="H359" s="70" t="s">
        <v>427</v>
      </c>
      <c r="I359" s="37">
        <f t="shared" si="168"/>
        <v>1518</v>
      </c>
      <c r="J359" s="37">
        <f t="shared" si="169"/>
        <v>1518</v>
      </c>
      <c r="K359" s="37">
        <f t="shared" si="170"/>
        <v>1518</v>
      </c>
      <c r="L359" s="37">
        <f t="shared" si="171"/>
        <v>1518</v>
      </c>
      <c r="M359" s="37">
        <f t="shared" si="180"/>
        <v>1518</v>
      </c>
      <c r="N359" s="37">
        <f t="shared" si="181"/>
        <v>1518</v>
      </c>
      <c r="O359" s="37">
        <f t="shared" si="182"/>
        <v>1518</v>
      </c>
      <c r="P359" s="37">
        <f t="shared" si="183"/>
        <v>1518</v>
      </c>
      <c r="Q359" s="37">
        <f t="shared" si="184"/>
        <v>1518</v>
      </c>
      <c r="R359" s="37">
        <f t="shared" si="185"/>
        <v>1518</v>
      </c>
      <c r="S359" s="37">
        <f t="shared" si="178"/>
        <v>1518</v>
      </c>
      <c r="T359" s="37">
        <f t="shared" si="179"/>
        <v>1518</v>
      </c>
      <c r="U359" s="37">
        <f t="shared" si="167"/>
        <v>18216</v>
      </c>
      <c r="V359" s="6"/>
      <c r="W359" s="64">
        <v>1518</v>
      </c>
      <c r="X359" s="39"/>
      <c r="Y359" s="40" t="s">
        <v>51</v>
      </c>
      <c r="Z359" s="40"/>
      <c r="AA359" s="40" t="s">
        <v>45</v>
      </c>
      <c r="AB359" s="41">
        <v>0</v>
      </c>
      <c r="AD359" s="42" t="str">
        <f>C359&amp;A359</f>
        <v>ASSESSORIA CONTABILAdm</v>
      </c>
      <c r="AE359" s="42" t="str">
        <f>IFERROR(VLOOKUP(C359,[34]Planilha1!$B:$C,2,0),"Não se Aplica")</f>
        <v>Sim</v>
      </c>
      <c r="AF359" s="42" t="str">
        <f>VLOOKUP(AD359,[34]Planilha1!$H:$J,3,0)</f>
        <v>Não</v>
      </c>
      <c r="AG359" s="43">
        <f t="shared" si="166"/>
        <v>18216</v>
      </c>
    </row>
    <row r="360" spans="1:33" x14ac:dyDescent="0.3">
      <c r="A360" s="1" t="s">
        <v>837</v>
      </c>
      <c r="B360" s="34" t="s">
        <v>28</v>
      </c>
      <c r="C360" s="68" t="s">
        <v>424</v>
      </c>
      <c r="D360" s="60" t="s">
        <v>425</v>
      </c>
      <c r="E360" s="69" t="s">
        <v>428</v>
      </c>
      <c r="F360" s="70" t="s">
        <v>414</v>
      </c>
      <c r="G360" s="34" t="s">
        <v>33</v>
      </c>
      <c r="H360" s="70" t="s">
        <v>427</v>
      </c>
      <c r="I360" s="37">
        <f t="shared" si="168"/>
        <v>608.73</v>
      </c>
      <c r="J360" s="37">
        <f t="shared" si="169"/>
        <v>608.73</v>
      </c>
      <c r="K360" s="37">
        <f t="shared" si="170"/>
        <v>608.73</v>
      </c>
      <c r="L360" s="37">
        <f t="shared" si="171"/>
        <v>608.73</v>
      </c>
      <c r="M360" s="37">
        <f t="shared" si="180"/>
        <v>608.73</v>
      </c>
      <c r="N360" s="37">
        <f t="shared" si="181"/>
        <v>608.73</v>
      </c>
      <c r="O360" s="37">
        <f t="shared" si="182"/>
        <v>608.73</v>
      </c>
      <c r="P360" s="37">
        <f t="shared" si="183"/>
        <v>608.73</v>
      </c>
      <c r="Q360" s="37">
        <f t="shared" si="184"/>
        <v>608.73</v>
      </c>
      <c r="R360" s="37">
        <f t="shared" si="185"/>
        <v>608.73</v>
      </c>
      <c r="S360" s="37">
        <f t="shared" si="178"/>
        <v>608.73</v>
      </c>
      <c r="T360" s="37">
        <f t="shared" si="179"/>
        <v>608.73</v>
      </c>
      <c r="U360" s="37">
        <f t="shared" si="167"/>
        <v>7304.7599999999984</v>
      </c>
      <c r="V360" s="6"/>
      <c r="W360" s="64">
        <v>608.73</v>
      </c>
      <c r="X360" s="39"/>
      <c r="Y360" s="40" t="s">
        <v>51</v>
      </c>
      <c r="Z360" s="40"/>
      <c r="AA360" s="40" t="s">
        <v>45</v>
      </c>
      <c r="AB360" s="41">
        <v>0</v>
      </c>
      <c r="AD360" s="42" t="str">
        <f>C360&amp;A360</f>
        <v>ASSESSORIA CONTABILAdm</v>
      </c>
      <c r="AE360" s="42" t="str">
        <f>IFERROR(VLOOKUP(C360,[34]Planilha1!$B:$C,2,0),"Não se Aplica")</f>
        <v>Sim</v>
      </c>
      <c r="AF360" s="42" t="str">
        <f>VLOOKUP(AD360,[34]Planilha1!$H:$J,3,0)</f>
        <v>Não</v>
      </c>
      <c r="AG360" s="43">
        <f t="shared" si="166"/>
        <v>7304.7599999999984</v>
      </c>
    </row>
    <row r="361" spans="1:33" x14ac:dyDescent="0.3">
      <c r="A361" s="1" t="s">
        <v>837</v>
      </c>
      <c r="B361" s="34" t="s">
        <v>28</v>
      </c>
      <c r="C361" s="68" t="s">
        <v>424</v>
      </c>
      <c r="D361" s="60" t="s">
        <v>425</v>
      </c>
      <c r="E361" s="69" t="s">
        <v>429</v>
      </c>
      <c r="F361" s="70" t="s">
        <v>414</v>
      </c>
      <c r="G361" s="34" t="s">
        <v>100</v>
      </c>
      <c r="H361" s="70" t="s">
        <v>427</v>
      </c>
      <c r="I361" s="37">
        <f t="shared" si="168"/>
        <v>910</v>
      </c>
      <c r="J361" s="37">
        <f t="shared" si="169"/>
        <v>910</v>
      </c>
      <c r="K361" s="37">
        <f t="shared" si="170"/>
        <v>910</v>
      </c>
      <c r="L361" s="37">
        <f t="shared" si="171"/>
        <v>910</v>
      </c>
      <c r="M361" s="37">
        <f t="shared" si="180"/>
        <v>910</v>
      </c>
      <c r="N361" s="37">
        <f t="shared" si="181"/>
        <v>910</v>
      </c>
      <c r="O361" s="37">
        <f t="shared" si="182"/>
        <v>910</v>
      </c>
      <c r="P361" s="37">
        <f t="shared" si="183"/>
        <v>910</v>
      </c>
      <c r="Q361" s="37">
        <f t="shared" si="184"/>
        <v>910</v>
      </c>
      <c r="R361" s="37">
        <f t="shared" si="185"/>
        <v>910</v>
      </c>
      <c r="S361" s="37">
        <f t="shared" si="178"/>
        <v>910</v>
      </c>
      <c r="T361" s="37">
        <f t="shared" si="179"/>
        <v>910</v>
      </c>
      <c r="U361" s="37">
        <f t="shared" si="167"/>
        <v>10920</v>
      </c>
      <c r="V361" s="6"/>
      <c r="W361" s="64">
        <v>910</v>
      </c>
      <c r="X361" s="39"/>
      <c r="Y361" s="40" t="s">
        <v>51</v>
      </c>
      <c r="Z361" s="40"/>
      <c r="AA361" s="40" t="s">
        <v>45</v>
      </c>
      <c r="AB361" s="41">
        <v>0</v>
      </c>
      <c r="AD361" s="42" t="str">
        <f>C361&amp;A361</f>
        <v>ASSESSORIA CONTABILAdm</v>
      </c>
      <c r="AE361" s="42" t="str">
        <f>IFERROR(VLOOKUP(C361,[34]Planilha1!$B:$C,2,0),"Não se Aplica")</f>
        <v>Sim</v>
      </c>
      <c r="AF361" s="42" t="str">
        <f>VLOOKUP(AD361,[34]Planilha1!$H:$J,3,0)</f>
        <v>Não</v>
      </c>
      <c r="AG361" s="43">
        <f t="shared" si="166"/>
        <v>10920</v>
      </c>
    </row>
    <row r="362" spans="1:33" x14ac:dyDescent="0.3">
      <c r="A362" s="1" t="s">
        <v>837</v>
      </c>
      <c r="B362" s="34" t="s">
        <v>28</v>
      </c>
      <c r="C362" s="68" t="s">
        <v>424</v>
      </c>
      <c r="D362" s="60" t="s">
        <v>425</v>
      </c>
      <c r="E362" s="69" t="s">
        <v>430</v>
      </c>
      <c r="F362" s="70" t="s">
        <v>414</v>
      </c>
      <c r="G362" s="34" t="s">
        <v>22</v>
      </c>
      <c r="H362" s="70" t="s">
        <v>427</v>
      </c>
      <c r="I362" s="37">
        <f t="shared" si="168"/>
        <v>1045.07</v>
      </c>
      <c r="J362" s="37">
        <f t="shared" si="169"/>
        <v>1045.07</v>
      </c>
      <c r="K362" s="37">
        <f t="shared" si="170"/>
        <v>1045.07</v>
      </c>
      <c r="L362" s="37">
        <f t="shared" si="171"/>
        <v>1045.07</v>
      </c>
      <c r="M362" s="37">
        <f t="shared" si="180"/>
        <v>1045.07</v>
      </c>
      <c r="N362" s="37">
        <f t="shared" si="181"/>
        <v>1045.07</v>
      </c>
      <c r="O362" s="37">
        <f t="shared" si="182"/>
        <v>1045.07</v>
      </c>
      <c r="P362" s="37">
        <f t="shared" si="183"/>
        <v>1045.07</v>
      </c>
      <c r="Q362" s="37">
        <f t="shared" si="184"/>
        <v>1045.07</v>
      </c>
      <c r="R362" s="37">
        <f t="shared" si="185"/>
        <v>1045.07</v>
      </c>
      <c r="S362" s="37">
        <f t="shared" si="178"/>
        <v>1045.07</v>
      </c>
      <c r="T362" s="37">
        <f t="shared" si="179"/>
        <v>1045.07</v>
      </c>
      <c r="U362" s="37">
        <f t="shared" si="167"/>
        <v>12540.839999999998</v>
      </c>
      <c r="V362" s="6"/>
      <c r="W362" s="64">
        <v>1045.07</v>
      </c>
      <c r="X362" s="39"/>
      <c r="Y362" s="40" t="s">
        <v>51</v>
      </c>
      <c r="Z362" s="40"/>
      <c r="AA362" s="40" t="s">
        <v>45</v>
      </c>
      <c r="AB362" s="41">
        <v>0</v>
      </c>
      <c r="AD362" s="42" t="str">
        <f>C362&amp;A362</f>
        <v>ASSESSORIA CONTABILAdm</v>
      </c>
      <c r="AE362" s="42" t="str">
        <f>IFERROR(VLOOKUP(C362,[34]Planilha1!$B:$C,2,0),"Não se Aplica")</f>
        <v>Sim</v>
      </c>
      <c r="AF362" s="42" t="str">
        <f>VLOOKUP(AD362,[34]Planilha1!$H:$J,3,0)</f>
        <v>Não</v>
      </c>
      <c r="AG362" s="43">
        <f t="shared" si="166"/>
        <v>12540.839999999998</v>
      </c>
    </row>
    <row r="363" spans="1:33" x14ac:dyDescent="0.3">
      <c r="A363" s="1" t="s">
        <v>837</v>
      </c>
      <c r="B363" s="34" t="s">
        <v>28</v>
      </c>
      <c r="C363" s="68" t="s">
        <v>424</v>
      </c>
      <c r="D363" s="60" t="s">
        <v>425</v>
      </c>
      <c r="E363" s="69" t="s">
        <v>431</v>
      </c>
      <c r="F363" s="70" t="s">
        <v>414</v>
      </c>
      <c r="G363" s="34" t="s">
        <v>29</v>
      </c>
      <c r="H363" s="70" t="s">
        <v>427</v>
      </c>
      <c r="I363" s="37">
        <f t="shared" si="168"/>
        <v>1518</v>
      </c>
      <c r="J363" s="37">
        <f t="shared" si="169"/>
        <v>1518</v>
      </c>
      <c r="K363" s="37">
        <f t="shared" si="170"/>
        <v>1518</v>
      </c>
      <c r="L363" s="37">
        <f t="shared" si="171"/>
        <v>1518</v>
      </c>
      <c r="M363" s="37">
        <f t="shared" si="180"/>
        <v>1518</v>
      </c>
      <c r="N363" s="37">
        <f t="shared" si="181"/>
        <v>1518</v>
      </c>
      <c r="O363" s="37">
        <f t="shared" si="182"/>
        <v>1518</v>
      </c>
      <c r="P363" s="37">
        <f t="shared" si="183"/>
        <v>1518</v>
      </c>
      <c r="Q363" s="37">
        <f t="shared" si="184"/>
        <v>1518</v>
      </c>
      <c r="R363" s="37">
        <f t="shared" si="185"/>
        <v>1518</v>
      </c>
      <c r="S363" s="37">
        <f t="shared" si="178"/>
        <v>1518</v>
      </c>
      <c r="T363" s="37">
        <f t="shared" si="179"/>
        <v>1518</v>
      </c>
      <c r="U363" s="37">
        <f t="shared" si="167"/>
        <v>18216</v>
      </c>
      <c r="V363" s="6"/>
      <c r="W363" s="64">
        <v>1518</v>
      </c>
      <c r="X363" s="39"/>
      <c r="Y363" s="40" t="s">
        <v>51</v>
      </c>
      <c r="Z363" s="40"/>
      <c r="AA363" s="40" t="s">
        <v>45</v>
      </c>
      <c r="AB363" s="41">
        <v>0</v>
      </c>
      <c r="AD363" s="42" t="str">
        <f>C363&amp;A363</f>
        <v>ASSESSORIA CONTABILAdm</v>
      </c>
      <c r="AE363" s="42" t="str">
        <f>IFERROR(VLOOKUP(C363,[34]Planilha1!$B:$C,2,0),"Não se Aplica")</f>
        <v>Sim</v>
      </c>
      <c r="AF363" s="42" t="str">
        <f>VLOOKUP(AD363,[34]Planilha1!$H:$J,3,0)</f>
        <v>Não</v>
      </c>
      <c r="AG363" s="43">
        <f t="shared" si="166"/>
        <v>18216</v>
      </c>
    </row>
    <row r="364" spans="1:33" x14ac:dyDescent="0.3">
      <c r="A364" s="1" t="s">
        <v>837</v>
      </c>
      <c r="B364" s="34" t="s">
        <v>28</v>
      </c>
      <c r="C364" s="68" t="s">
        <v>424</v>
      </c>
      <c r="D364" s="60" t="s">
        <v>425</v>
      </c>
      <c r="E364" s="69" t="s">
        <v>432</v>
      </c>
      <c r="F364" s="70" t="s">
        <v>414</v>
      </c>
      <c r="G364" s="34" t="s">
        <v>27</v>
      </c>
      <c r="H364" s="70" t="s">
        <v>427</v>
      </c>
      <c r="I364" s="37">
        <f t="shared" si="168"/>
        <v>1152.5</v>
      </c>
      <c r="J364" s="37">
        <f t="shared" si="169"/>
        <v>1152.5</v>
      </c>
      <c r="K364" s="37">
        <f t="shared" si="170"/>
        <v>1152.5</v>
      </c>
      <c r="L364" s="37">
        <f t="shared" si="171"/>
        <v>1152.5</v>
      </c>
      <c r="M364" s="37">
        <f t="shared" si="180"/>
        <v>1152.5</v>
      </c>
      <c r="N364" s="37">
        <f t="shared" si="181"/>
        <v>1152.5</v>
      </c>
      <c r="O364" s="37">
        <f t="shared" si="182"/>
        <v>1152.5</v>
      </c>
      <c r="P364" s="37">
        <f t="shared" si="183"/>
        <v>1152.5</v>
      </c>
      <c r="Q364" s="37">
        <f t="shared" si="184"/>
        <v>1152.5</v>
      </c>
      <c r="R364" s="37">
        <f t="shared" si="185"/>
        <v>1152.5</v>
      </c>
      <c r="S364" s="37">
        <f t="shared" si="178"/>
        <v>1152.5</v>
      </c>
      <c r="T364" s="37">
        <f t="shared" si="179"/>
        <v>1152.5</v>
      </c>
      <c r="U364" s="37">
        <f t="shared" si="167"/>
        <v>13830</v>
      </c>
      <c r="V364" s="6"/>
      <c r="W364" s="64">
        <v>1152.5</v>
      </c>
      <c r="X364" s="39"/>
      <c r="Y364" s="40" t="s">
        <v>51</v>
      </c>
      <c r="Z364" s="40"/>
      <c r="AA364" s="40" t="s">
        <v>45</v>
      </c>
      <c r="AB364" s="41">
        <v>0</v>
      </c>
      <c r="AD364" s="42" t="str">
        <f>C364&amp;A364</f>
        <v>ASSESSORIA CONTABILAdm</v>
      </c>
      <c r="AE364" s="42" t="str">
        <f>IFERROR(VLOOKUP(C364,[34]Planilha1!$B:$C,2,0),"Não se Aplica")</f>
        <v>Sim</v>
      </c>
      <c r="AF364" s="42" t="str">
        <f>VLOOKUP(AD364,[34]Planilha1!$H:$J,3,0)</f>
        <v>Não</v>
      </c>
      <c r="AG364" s="43">
        <f t="shared" si="166"/>
        <v>13830</v>
      </c>
    </row>
    <row r="365" spans="1:33" x14ac:dyDescent="0.3">
      <c r="A365" s="1" t="s">
        <v>837</v>
      </c>
      <c r="B365" s="34" t="s">
        <v>28</v>
      </c>
      <c r="C365" s="68" t="s">
        <v>424</v>
      </c>
      <c r="D365" s="60" t="s">
        <v>425</v>
      </c>
      <c r="E365" s="69" t="s">
        <v>433</v>
      </c>
      <c r="F365" s="70" t="s">
        <v>414</v>
      </c>
      <c r="G365" s="34" t="s">
        <v>30</v>
      </c>
      <c r="H365" s="70" t="s">
        <v>427</v>
      </c>
      <c r="I365" s="37">
        <f t="shared" si="168"/>
        <v>1353.84</v>
      </c>
      <c r="J365" s="37">
        <f t="shared" si="169"/>
        <v>1353.84</v>
      </c>
      <c r="K365" s="37">
        <f t="shared" si="170"/>
        <v>1353.84</v>
      </c>
      <c r="L365" s="37">
        <f t="shared" si="171"/>
        <v>1353.84</v>
      </c>
      <c r="M365" s="37">
        <f t="shared" si="180"/>
        <v>1353.84</v>
      </c>
      <c r="N365" s="37">
        <f t="shared" si="181"/>
        <v>1353.84</v>
      </c>
      <c r="O365" s="37">
        <f t="shared" si="182"/>
        <v>1353.84</v>
      </c>
      <c r="P365" s="37">
        <f t="shared" si="183"/>
        <v>1353.84</v>
      </c>
      <c r="Q365" s="37">
        <f t="shared" si="184"/>
        <v>1353.84</v>
      </c>
      <c r="R365" s="37">
        <f t="shared" si="185"/>
        <v>1353.84</v>
      </c>
      <c r="S365" s="37">
        <f t="shared" si="178"/>
        <v>1353.84</v>
      </c>
      <c r="T365" s="37">
        <f t="shared" si="179"/>
        <v>1353.84</v>
      </c>
      <c r="U365" s="37">
        <f t="shared" si="167"/>
        <v>16246.08</v>
      </c>
      <c r="V365" s="6"/>
      <c r="W365" s="64">
        <v>1353.84</v>
      </c>
      <c r="X365" s="39"/>
      <c r="Y365" s="40" t="s">
        <v>82</v>
      </c>
      <c r="Z365" s="40"/>
      <c r="AA365" s="40" t="s">
        <v>45</v>
      </c>
      <c r="AB365" s="41">
        <v>0</v>
      </c>
      <c r="AD365" s="42" t="str">
        <f>C365&amp;A365</f>
        <v>ASSESSORIA CONTABILAdm</v>
      </c>
      <c r="AE365" s="42" t="str">
        <f>IFERROR(VLOOKUP(C365,[34]Planilha1!$B:$C,2,0),"Não se Aplica")</f>
        <v>Sim</v>
      </c>
      <c r="AF365" s="42" t="str">
        <f>VLOOKUP(AD365,[34]Planilha1!$H:$J,3,0)</f>
        <v>Não</v>
      </c>
      <c r="AG365" s="43">
        <f t="shared" si="166"/>
        <v>16246.08</v>
      </c>
    </row>
    <row r="366" spans="1:33" x14ac:dyDescent="0.3">
      <c r="A366" s="1" t="s">
        <v>837</v>
      </c>
      <c r="B366" s="34" t="s">
        <v>28</v>
      </c>
      <c r="C366" s="68" t="s">
        <v>424</v>
      </c>
      <c r="D366" s="60" t="s">
        <v>425</v>
      </c>
      <c r="E366" s="69" t="s">
        <v>434</v>
      </c>
      <c r="F366" s="70" t="s">
        <v>414</v>
      </c>
      <c r="G366" s="34" t="s">
        <v>30</v>
      </c>
      <c r="H366" s="70" t="s">
        <v>427</v>
      </c>
      <c r="I366" s="37">
        <f t="shared" si="168"/>
        <v>180</v>
      </c>
      <c r="J366" s="37">
        <f t="shared" si="169"/>
        <v>180</v>
      </c>
      <c r="K366" s="37">
        <f t="shared" si="170"/>
        <v>180</v>
      </c>
      <c r="L366" s="37">
        <f t="shared" si="171"/>
        <v>180</v>
      </c>
      <c r="M366" s="37">
        <f t="shared" si="180"/>
        <v>180</v>
      </c>
      <c r="N366" s="37">
        <f t="shared" si="181"/>
        <v>180</v>
      </c>
      <c r="O366" s="37">
        <f t="shared" si="182"/>
        <v>180</v>
      </c>
      <c r="P366" s="37">
        <f t="shared" si="183"/>
        <v>180</v>
      </c>
      <c r="Q366" s="37">
        <f t="shared" si="184"/>
        <v>180</v>
      </c>
      <c r="R366" s="37">
        <f t="shared" si="185"/>
        <v>180</v>
      </c>
      <c r="S366" s="37">
        <f t="shared" si="178"/>
        <v>180</v>
      </c>
      <c r="T366" s="37">
        <f t="shared" si="179"/>
        <v>180</v>
      </c>
      <c r="U366" s="37">
        <f t="shared" si="167"/>
        <v>2160</v>
      </c>
      <c r="V366" s="6"/>
      <c r="W366" s="64">
        <v>180</v>
      </c>
      <c r="X366" s="39"/>
      <c r="Y366" s="40" t="s">
        <v>51</v>
      </c>
      <c r="Z366" s="40"/>
      <c r="AA366" s="40" t="s">
        <v>45</v>
      </c>
      <c r="AB366" s="41">
        <v>0</v>
      </c>
      <c r="AD366" s="42" t="str">
        <f>C366&amp;A366</f>
        <v>ASSESSORIA CONTABILAdm</v>
      </c>
      <c r="AE366" s="42" t="str">
        <f>IFERROR(VLOOKUP(C366,[34]Planilha1!$B:$C,2,0),"Não se Aplica")</f>
        <v>Sim</v>
      </c>
      <c r="AF366" s="42" t="str">
        <f>VLOOKUP(AD366,[34]Planilha1!$H:$J,3,0)</f>
        <v>Não</v>
      </c>
      <c r="AG366" s="43">
        <f t="shared" si="166"/>
        <v>2160</v>
      </c>
    </row>
    <row r="367" spans="1:33" x14ac:dyDescent="0.3">
      <c r="A367" s="1" t="s">
        <v>837</v>
      </c>
      <c r="B367" s="34" t="s">
        <v>20</v>
      </c>
      <c r="C367" s="68" t="s">
        <v>424</v>
      </c>
      <c r="D367" s="60" t="s">
        <v>425</v>
      </c>
      <c r="E367" s="69" t="s">
        <v>426</v>
      </c>
      <c r="F367" s="70" t="s">
        <v>414</v>
      </c>
      <c r="G367" s="34" t="s">
        <v>31</v>
      </c>
      <c r="H367" s="70" t="s">
        <v>427</v>
      </c>
      <c r="I367" s="37">
        <f t="shared" si="168"/>
        <v>1518</v>
      </c>
      <c r="J367" s="37">
        <f t="shared" si="169"/>
        <v>1518</v>
      </c>
      <c r="K367" s="37">
        <f t="shared" si="170"/>
        <v>1518</v>
      </c>
      <c r="L367" s="37">
        <f t="shared" si="171"/>
        <v>1518</v>
      </c>
      <c r="M367" s="37">
        <f t="shared" si="180"/>
        <v>1518</v>
      </c>
      <c r="N367" s="37">
        <f t="shared" si="181"/>
        <v>1518</v>
      </c>
      <c r="O367" s="37">
        <f t="shared" si="182"/>
        <v>1518</v>
      </c>
      <c r="P367" s="37">
        <f t="shared" si="183"/>
        <v>1518</v>
      </c>
      <c r="Q367" s="37">
        <f t="shared" si="184"/>
        <v>1518</v>
      </c>
      <c r="R367" s="37">
        <f t="shared" si="185"/>
        <v>1518</v>
      </c>
      <c r="S367" s="37">
        <f t="shared" si="178"/>
        <v>1518</v>
      </c>
      <c r="T367" s="37">
        <f t="shared" si="179"/>
        <v>1518</v>
      </c>
      <c r="U367" s="37">
        <f t="shared" si="167"/>
        <v>18216</v>
      </c>
      <c r="V367" s="6"/>
      <c r="W367" s="64">
        <v>1518</v>
      </c>
      <c r="X367" s="39"/>
      <c r="Y367" s="40" t="s">
        <v>51</v>
      </c>
      <c r="Z367" s="40"/>
      <c r="AA367" s="40" t="s">
        <v>45</v>
      </c>
      <c r="AB367" s="41">
        <v>0</v>
      </c>
      <c r="AD367" s="42" t="str">
        <f>C367&amp;A367</f>
        <v>ASSESSORIA CONTABILAdm</v>
      </c>
      <c r="AE367" s="42" t="str">
        <f>IFERROR(VLOOKUP(C367,[34]Planilha1!$B:$C,2,0),"Não se Aplica")</f>
        <v>Sim</v>
      </c>
      <c r="AF367" s="42" t="str">
        <f>VLOOKUP(AD367,[34]Planilha1!$H:$J,3,0)</f>
        <v>Não</v>
      </c>
      <c r="AG367" s="43">
        <f t="shared" si="166"/>
        <v>18216</v>
      </c>
    </row>
    <row r="368" spans="1:33" x14ac:dyDescent="0.3">
      <c r="A368" s="1" t="s">
        <v>837</v>
      </c>
      <c r="B368" s="34" t="s">
        <v>20</v>
      </c>
      <c r="C368" s="68" t="s">
        <v>424</v>
      </c>
      <c r="D368" s="60" t="s">
        <v>425</v>
      </c>
      <c r="E368" s="69" t="s">
        <v>430</v>
      </c>
      <c r="F368" s="70" t="s">
        <v>414</v>
      </c>
      <c r="G368" s="34" t="s">
        <v>22</v>
      </c>
      <c r="H368" s="70" t="s">
        <v>427</v>
      </c>
      <c r="I368" s="37">
        <f t="shared" si="168"/>
        <v>1578.54</v>
      </c>
      <c r="J368" s="37">
        <f t="shared" si="169"/>
        <v>1578.54</v>
      </c>
      <c r="K368" s="37">
        <f t="shared" si="170"/>
        <v>1578.54</v>
      </c>
      <c r="L368" s="37">
        <f t="shared" si="171"/>
        <v>1578.54</v>
      </c>
      <c r="M368" s="37">
        <f t="shared" si="180"/>
        <v>1578.54</v>
      </c>
      <c r="N368" s="37">
        <f t="shared" si="181"/>
        <v>1578.54</v>
      </c>
      <c r="O368" s="37">
        <f t="shared" si="182"/>
        <v>1578.54</v>
      </c>
      <c r="P368" s="37">
        <f t="shared" si="183"/>
        <v>1578.54</v>
      </c>
      <c r="Q368" s="37">
        <f t="shared" si="184"/>
        <v>1578.54</v>
      </c>
      <c r="R368" s="37">
        <f t="shared" si="185"/>
        <v>1578.54</v>
      </c>
      <c r="S368" s="37">
        <f t="shared" si="178"/>
        <v>1578.54</v>
      </c>
      <c r="T368" s="37">
        <f t="shared" si="179"/>
        <v>1578.54</v>
      </c>
      <c r="U368" s="37">
        <f t="shared" si="167"/>
        <v>18942.480000000003</v>
      </c>
      <c r="V368" s="6"/>
      <c r="W368" s="64">
        <v>1578.54</v>
      </c>
      <c r="X368" s="39"/>
      <c r="Y368" s="40" t="s">
        <v>51</v>
      </c>
      <c r="Z368" s="40"/>
      <c r="AA368" s="40" t="s">
        <v>45</v>
      </c>
      <c r="AB368" s="41">
        <v>0</v>
      </c>
      <c r="AD368" s="42" t="str">
        <f>C368&amp;A368</f>
        <v>ASSESSORIA CONTABILAdm</v>
      </c>
      <c r="AE368" s="42" t="str">
        <f>IFERROR(VLOOKUP(C368,[34]Planilha1!$B:$C,2,0),"Não se Aplica")</f>
        <v>Sim</v>
      </c>
      <c r="AF368" s="42" t="str">
        <f>VLOOKUP(AD368,[34]Planilha1!$H:$J,3,0)</f>
        <v>Não</v>
      </c>
      <c r="AG368" s="43">
        <f t="shared" si="166"/>
        <v>18942.480000000003</v>
      </c>
    </row>
    <row r="369" spans="1:33" x14ac:dyDescent="0.3">
      <c r="A369" s="1" t="s">
        <v>837</v>
      </c>
      <c r="B369" s="34" t="s">
        <v>20</v>
      </c>
      <c r="C369" s="68" t="s">
        <v>424</v>
      </c>
      <c r="D369" s="60" t="s">
        <v>425</v>
      </c>
      <c r="E369" s="69" t="s">
        <v>432</v>
      </c>
      <c r="F369" s="70" t="s">
        <v>414</v>
      </c>
      <c r="G369" s="34" t="s">
        <v>27</v>
      </c>
      <c r="H369" s="70" t="s">
        <v>427</v>
      </c>
      <c r="I369" s="37">
        <f t="shared" si="168"/>
        <v>1152.5</v>
      </c>
      <c r="J369" s="37">
        <f t="shared" si="169"/>
        <v>1152.5</v>
      </c>
      <c r="K369" s="37">
        <f t="shared" si="170"/>
        <v>1152.5</v>
      </c>
      <c r="L369" s="37">
        <f t="shared" si="171"/>
        <v>1152.5</v>
      </c>
      <c r="M369" s="37">
        <f t="shared" si="180"/>
        <v>1152.5</v>
      </c>
      <c r="N369" s="37">
        <f t="shared" si="181"/>
        <v>1152.5</v>
      </c>
      <c r="O369" s="37">
        <f t="shared" si="182"/>
        <v>1152.5</v>
      </c>
      <c r="P369" s="37">
        <f t="shared" si="183"/>
        <v>1152.5</v>
      </c>
      <c r="Q369" s="37">
        <f t="shared" si="184"/>
        <v>1152.5</v>
      </c>
      <c r="R369" s="37">
        <f t="shared" si="185"/>
        <v>1152.5</v>
      </c>
      <c r="S369" s="37">
        <f t="shared" si="178"/>
        <v>1152.5</v>
      </c>
      <c r="T369" s="37">
        <f t="shared" si="179"/>
        <v>1152.5</v>
      </c>
      <c r="U369" s="37">
        <f t="shared" si="167"/>
        <v>13830</v>
      </c>
      <c r="V369" s="6"/>
      <c r="W369" s="64">
        <v>1152.5</v>
      </c>
      <c r="X369" s="39"/>
      <c r="Y369" s="40" t="s">
        <v>51</v>
      </c>
      <c r="Z369" s="40"/>
      <c r="AA369" s="40" t="s">
        <v>45</v>
      </c>
      <c r="AB369" s="41">
        <v>0</v>
      </c>
      <c r="AD369" s="42" t="str">
        <f>C369&amp;A369</f>
        <v>ASSESSORIA CONTABILAdm</v>
      </c>
      <c r="AE369" s="42" t="str">
        <f>IFERROR(VLOOKUP(C369,[34]Planilha1!$B:$C,2,0),"Não se Aplica")</f>
        <v>Sim</v>
      </c>
      <c r="AF369" s="42" t="str">
        <f>VLOOKUP(AD369,[34]Planilha1!$H:$J,3,0)</f>
        <v>Não</v>
      </c>
      <c r="AG369" s="43">
        <f t="shared" si="166"/>
        <v>13830</v>
      </c>
    </row>
    <row r="370" spans="1:33" x14ac:dyDescent="0.3">
      <c r="A370" s="44" t="s">
        <v>837</v>
      </c>
      <c r="B370" s="45" t="s">
        <v>20</v>
      </c>
      <c r="C370" s="52" t="s">
        <v>435</v>
      </c>
      <c r="D370" s="53" t="s">
        <v>436</v>
      </c>
      <c r="E370" s="77" t="s">
        <v>437</v>
      </c>
      <c r="F370" s="53" t="s">
        <v>34</v>
      </c>
      <c r="G370" s="45" t="s">
        <v>32</v>
      </c>
      <c r="H370" s="53" t="s">
        <v>438</v>
      </c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>
        <f t="shared" si="167"/>
        <v>0</v>
      </c>
      <c r="V370" s="55"/>
      <c r="W370" s="47">
        <v>7500</v>
      </c>
      <c r="X370" s="56"/>
      <c r="Y370" s="57"/>
      <c r="Z370" s="47"/>
      <c r="AA370" s="47" t="s">
        <v>45</v>
      </c>
      <c r="AB370" s="47">
        <v>0</v>
      </c>
      <c r="AD370" s="42" t="str">
        <f>C370&amp;A370</f>
        <v>FEIRAS EVENTOS E CONFRATERNIZACOESAdm</v>
      </c>
      <c r="AE370" s="42" t="str">
        <f>IFERROR(VLOOKUP(C370,[34]Planilha1!$B:$C,2,0),"Não se Aplica")</f>
        <v>Sim</v>
      </c>
      <c r="AF370" s="42" t="str">
        <f>VLOOKUP(AD370,[34]Planilha1!$H:$J,3,0)</f>
        <v>Não</v>
      </c>
      <c r="AG370" s="43">
        <f t="shared" si="166"/>
        <v>0</v>
      </c>
    </row>
    <row r="371" spans="1:33" x14ac:dyDescent="0.3">
      <c r="A371" s="1" t="s">
        <v>836</v>
      </c>
      <c r="B371" s="34" t="s">
        <v>20</v>
      </c>
      <c r="C371" s="68" t="s">
        <v>210</v>
      </c>
      <c r="D371" s="60" t="s">
        <v>439</v>
      </c>
      <c r="E371" s="69" t="s">
        <v>440</v>
      </c>
      <c r="F371" s="70" t="s">
        <v>41</v>
      </c>
      <c r="G371" s="34" t="s">
        <v>22</v>
      </c>
      <c r="H371" s="70" t="s">
        <v>42</v>
      </c>
      <c r="I371" s="37">
        <f t="shared" ref="I371:I381" si="186">IF($Y371="janeiro",$W371*(1+$AB371),$W371)</f>
        <v>1631</v>
      </c>
      <c r="J371" s="37">
        <f t="shared" ref="J371:J381" si="187">IF($Y371="fevereiro",$I371*(1+$AB371),$I371)</f>
        <v>1631</v>
      </c>
      <c r="K371" s="37">
        <f t="shared" ref="K371:K381" si="188">IF($Y371="março",$J371*(1+$AB371),$J371)</f>
        <v>1631</v>
      </c>
      <c r="L371" s="37">
        <f t="shared" ref="L371:L381" si="189">IF($Y371="abril",$K371*(1+$AB371),$K371)</f>
        <v>1631</v>
      </c>
      <c r="M371" s="37">
        <f t="shared" ref="M371:M381" si="190">IF($Y371="maio",$L371*(1+$AB371),$L371)</f>
        <v>1631</v>
      </c>
      <c r="N371" s="37">
        <f t="shared" ref="N371:N381" si="191">IF($Y371="junho",$M371*(1+$AB371),$M371)</f>
        <v>1631</v>
      </c>
      <c r="O371" s="37">
        <f t="shared" ref="O371:O381" si="192">IF($Y371="julho",$N371*(1+$AB371),$N371)</f>
        <v>1631</v>
      </c>
      <c r="P371" s="37">
        <f t="shared" ref="P371:P381" si="193">IF($Y371="agosto",$O371*(1+$AB371),$O371)</f>
        <v>1631</v>
      </c>
      <c r="Q371" s="37">
        <f t="shared" ref="Q371:Q381" si="194">IF($Y371="setembro",$P371*(1+$AB371),$P371)</f>
        <v>1631</v>
      </c>
      <c r="R371" s="37">
        <f t="shared" ref="R371:R381" si="195">IF($Y371="outubro",$Q371*(1+$AB371),$Q371)</f>
        <v>1631</v>
      </c>
      <c r="S371" s="37">
        <f t="shared" ref="S371:S381" si="196">IF($Y371="novembro",$R371*(1+$AB371),$R371)</f>
        <v>1631</v>
      </c>
      <c r="T371" s="37">
        <f t="shared" ref="T371:T381" si="197">IF($Y371="dezembro",$S371*(1+$AB371),$S371)</f>
        <v>1631</v>
      </c>
      <c r="U371" s="37">
        <f t="shared" si="167"/>
        <v>19572</v>
      </c>
      <c r="V371" s="6"/>
      <c r="W371" s="64">
        <v>1631</v>
      </c>
      <c r="X371" s="39"/>
      <c r="Y371" s="40"/>
      <c r="Z371" s="40"/>
      <c r="AA371" s="40" t="s">
        <v>45</v>
      </c>
      <c r="AB371" s="41">
        <v>0</v>
      </c>
      <c r="AD371" s="42" t="str">
        <f>C371&amp;A371</f>
        <v>CERTIFICACAO/QUALIDADEOper</v>
      </c>
      <c r="AE371" s="42" t="str">
        <f>IFERROR(VLOOKUP(C371,[34]Planilha1!$B:$C,2,0),"Não se Aplica")</f>
        <v>Sim</v>
      </c>
      <c r="AF371" s="42" t="str">
        <f>VLOOKUP(AD371,[34]Planilha1!$H:$J,3,0)</f>
        <v>Não</v>
      </c>
      <c r="AG371" s="43">
        <f t="shared" si="166"/>
        <v>19572</v>
      </c>
    </row>
    <row r="372" spans="1:33" x14ac:dyDescent="0.3">
      <c r="A372" s="1" t="s">
        <v>836</v>
      </c>
      <c r="B372" s="34" t="s">
        <v>28</v>
      </c>
      <c r="C372" s="68" t="s">
        <v>38</v>
      </c>
      <c r="D372" s="60" t="s">
        <v>441</v>
      </c>
      <c r="E372" s="69" t="s">
        <v>442</v>
      </c>
      <c r="F372" s="70" t="s">
        <v>63</v>
      </c>
      <c r="G372" s="34" t="s">
        <v>32</v>
      </c>
      <c r="H372" s="70" t="s">
        <v>64</v>
      </c>
      <c r="I372" s="37">
        <f t="shared" si="186"/>
        <v>200</v>
      </c>
      <c r="J372" s="37">
        <f t="shared" si="187"/>
        <v>200</v>
      </c>
      <c r="K372" s="37">
        <f t="shared" si="188"/>
        <v>200</v>
      </c>
      <c r="L372" s="37">
        <f t="shared" si="189"/>
        <v>200</v>
      </c>
      <c r="M372" s="37">
        <f t="shared" si="190"/>
        <v>200</v>
      </c>
      <c r="N372" s="37">
        <f t="shared" si="191"/>
        <v>200</v>
      </c>
      <c r="O372" s="37">
        <f t="shared" si="192"/>
        <v>200</v>
      </c>
      <c r="P372" s="37">
        <f t="shared" si="193"/>
        <v>200</v>
      </c>
      <c r="Q372" s="37">
        <f t="shared" si="194"/>
        <v>200</v>
      </c>
      <c r="R372" s="37">
        <f t="shared" si="195"/>
        <v>200</v>
      </c>
      <c r="S372" s="37">
        <f t="shared" si="196"/>
        <v>200</v>
      </c>
      <c r="T372" s="37">
        <f t="shared" si="197"/>
        <v>200</v>
      </c>
      <c r="U372" s="37">
        <f t="shared" si="167"/>
        <v>2400</v>
      </c>
      <c r="V372" s="6"/>
      <c r="W372" s="64">
        <v>200</v>
      </c>
      <c r="X372" s="39"/>
      <c r="Y372" s="40"/>
      <c r="Z372" s="40"/>
      <c r="AA372" s="40" t="s">
        <v>45</v>
      </c>
      <c r="AB372" s="41">
        <v>0</v>
      </c>
      <c r="AD372" s="42" t="str">
        <f>C372&amp;A372</f>
        <v>ALUGUEIS DE EQUIPAMENTOSOper</v>
      </c>
      <c r="AE372" s="42" t="str">
        <f>IFERROR(VLOOKUP(C372,[34]Planilha1!$B:$C,2,0),"Não se Aplica")</f>
        <v>Sim</v>
      </c>
      <c r="AF372" s="42" t="str">
        <f>VLOOKUP(AD372,[34]Planilha1!$H:$J,3,0)</f>
        <v>Sim</v>
      </c>
      <c r="AG372" s="43">
        <f t="shared" si="166"/>
        <v>2178</v>
      </c>
    </row>
    <row r="373" spans="1:33" x14ac:dyDescent="0.3">
      <c r="A373" s="1" t="s">
        <v>836</v>
      </c>
      <c r="B373" s="34" t="s">
        <v>28</v>
      </c>
      <c r="C373" s="68" t="s">
        <v>46</v>
      </c>
      <c r="D373" s="60"/>
      <c r="E373" s="69" t="s">
        <v>443</v>
      </c>
      <c r="F373" s="70" t="s">
        <v>63</v>
      </c>
      <c r="G373" s="34" t="s">
        <v>32</v>
      </c>
      <c r="H373" s="70" t="s">
        <v>64</v>
      </c>
      <c r="I373" s="37">
        <f t="shared" si="186"/>
        <v>1958.63</v>
      </c>
      <c r="J373" s="37">
        <f t="shared" si="187"/>
        <v>1958.63</v>
      </c>
      <c r="K373" s="37">
        <f t="shared" si="188"/>
        <v>1958.63</v>
      </c>
      <c r="L373" s="37">
        <f t="shared" si="189"/>
        <v>1958.63</v>
      </c>
      <c r="M373" s="37">
        <f t="shared" si="190"/>
        <v>1958.63</v>
      </c>
      <c r="N373" s="37">
        <f t="shared" si="191"/>
        <v>1958.63</v>
      </c>
      <c r="O373" s="37">
        <f t="shared" si="192"/>
        <v>1958.63</v>
      </c>
      <c r="P373" s="37">
        <f t="shared" si="193"/>
        <v>1958.63</v>
      </c>
      <c r="Q373" s="37">
        <f t="shared" si="194"/>
        <v>1958.63</v>
      </c>
      <c r="R373" s="37">
        <f t="shared" si="195"/>
        <v>1958.63</v>
      </c>
      <c r="S373" s="37">
        <f t="shared" si="196"/>
        <v>1958.63</v>
      </c>
      <c r="T373" s="37">
        <f t="shared" si="197"/>
        <v>1958.63</v>
      </c>
      <c r="U373" s="37">
        <f t="shared" si="167"/>
        <v>23503.560000000009</v>
      </c>
      <c r="V373" s="6"/>
      <c r="W373" s="64">
        <v>1958.63</v>
      </c>
      <c r="X373" s="39"/>
      <c r="Y373" s="40"/>
      <c r="Z373" s="40"/>
      <c r="AA373" s="40" t="s">
        <v>45</v>
      </c>
      <c r="AB373" s="41">
        <v>0</v>
      </c>
      <c r="AD373" s="42" t="str">
        <f>C373&amp;A373</f>
        <v>MANUTEN. SISTEMAS  INFORMATICAOper</v>
      </c>
      <c r="AE373" s="42" t="str">
        <f>IFERROR(VLOOKUP(C373,[34]Planilha1!$B:$C,2,0),"Não se Aplica")</f>
        <v>Sim</v>
      </c>
      <c r="AF373" s="42" t="str">
        <f>VLOOKUP(AD373,[34]Planilha1!$H:$J,3,0)</f>
        <v>Sim</v>
      </c>
      <c r="AG373" s="43">
        <f t="shared" si="166"/>
        <v>21329.480700000007</v>
      </c>
    </row>
    <row r="374" spans="1:33" x14ac:dyDescent="0.3">
      <c r="A374" s="1" t="s">
        <v>836</v>
      </c>
      <c r="B374" s="34" t="s">
        <v>28</v>
      </c>
      <c r="C374" s="68" t="s">
        <v>185</v>
      </c>
      <c r="D374" s="60" t="s">
        <v>444</v>
      </c>
      <c r="E374" s="69" t="s">
        <v>445</v>
      </c>
      <c r="F374" s="70" t="s">
        <v>63</v>
      </c>
      <c r="G374" s="34" t="s">
        <v>32</v>
      </c>
      <c r="H374" s="70" t="s">
        <v>64</v>
      </c>
      <c r="I374" s="37">
        <f t="shared" si="186"/>
        <v>1872.29</v>
      </c>
      <c r="J374" s="37">
        <f t="shared" si="187"/>
        <v>1872.29</v>
      </c>
      <c r="K374" s="37">
        <f t="shared" si="188"/>
        <v>1872.29</v>
      </c>
      <c r="L374" s="37">
        <f t="shared" si="189"/>
        <v>1872.29</v>
      </c>
      <c r="M374" s="37">
        <f t="shared" si="190"/>
        <v>1872.29</v>
      </c>
      <c r="N374" s="37">
        <f t="shared" si="191"/>
        <v>1872.29</v>
      </c>
      <c r="O374" s="37">
        <f t="shared" si="192"/>
        <v>1872.29</v>
      </c>
      <c r="P374" s="37">
        <f t="shared" si="193"/>
        <v>1872.29</v>
      </c>
      <c r="Q374" s="37">
        <f t="shared" si="194"/>
        <v>1872.29</v>
      </c>
      <c r="R374" s="37">
        <f t="shared" si="195"/>
        <v>1872.29</v>
      </c>
      <c r="S374" s="37">
        <f t="shared" si="196"/>
        <v>1872.29</v>
      </c>
      <c r="T374" s="37">
        <f t="shared" si="197"/>
        <v>1872.29</v>
      </c>
      <c r="U374" s="37">
        <f t="shared" si="167"/>
        <v>22467.480000000007</v>
      </c>
      <c r="V374" s="6"/>
      <c r="W374" s="64">
        <v>1872.29</v>
      </c>
      <c r="X374" s="39"/>
      <c r="Y374" s="40"/>
      <c r="Z374" s="40"/>
      <c r="AA374" s="40" t="s">
        <v>56</v>
      </c>
      <c r="AB374" s="41">
        <v>0</v>
      </c>
      <c r="AD374" s="42" t="str">
        <f>C374&amp;A374</f>
        <v>HONORARIOS PROF. PJOper</v>
      </c>
      <c r="AE374" s="42" t="str">
        <f>IFERROR(VLOOKUP(C374,[34]Planilha1!$B:$C,2,0),"Não se Aplica")</f>
        <v>Sim</v>
      </c>
      <c r="AF374" s="42" t="str">
        <f>VLOOKUP(AD374,[34]Planilha1!$H:$J,3,0)</f>
        <v>Não</v>
      </c>
      <c r="AG374" s="43">
        <f t="shared" si="166"/>
        <v>22467.480000000007</v>
      </c>
    </row>
    <row r="375" spans="1:33" x14ac:dyDescent="0.3">
      <c r="A375" s="1" t="s">
        <v>836</v>
      </c>
      <c r="B375" s="34" t="s">
        <v>28</v>
      </c>
      <c r="C375" s="68" t="s">
        <v>38</v>
      </c>
      <c r="D375" s="60" t="s">
        <v>446</v>
      </c>
      <c r="E375" s="69" t="s">
        <v>447</v>
      </c>
      <c r="F375" s="70" t="s">
        <v>63</v>
      </c>
      <c r="G375" s="34" t="s">
        <v>32</v>
      </c>
      <c r="H375" s="70" t="s">
        <v>64</v>
      </c>
      <c r="I375" s="37">
        <f t="shared" si="186"/>
        <v>2148.69</v>
      </c>
      <c r="J375" s="37">
        <f t="shared" si="187"/>
        <v>2148.69</v>
      </c>
      <c r="K375" s="37">
        <f t="shared" si="188"/>
        <v>2148.69</v>
      </c>
      <c r="L375" s="37">
        <f t="shared" si="189"/>
        <v>2148.69</v>
      </c>
      <c r="M375" s="37">
        <f t="shared" si="190"/>
        <v>2148.69</v>
      </c>
      <c r="N375" s="37">
        <f t="shared" si="191"/>
        <v>2148.69</v>
      </c>
      <c r="O375" s="37">
        <f t="shared" si="192"/>
        <v>2148.69</v>
      </c>
      <c r="P375" s="37">
        <f t="shared" si="193"/>
        <v>2148.69</v>
      </c>
      <c r="Q375" s="37">
        <f t="shared" si="194"/>
        <v>2148.69</v>
      </c>
      <c r="R375" s="37">
        <f t="shared" si="195"/>
        <v>2148.69</v>
      </c>
      <c r="S375" s="37">
        <f t="shared" si="196"/>
        <v>2148.69</v>
      </c>
      <c r="T375" s="37">
        <f t="shared" si="197"/>
        <v>2148.69</v>
      </c>
      <c r="U375" s="37">
        <f t="shared" si="167"/>
        <v>25784.279999999995</v>
      </c>
      <c r="V375" s="6"/>
      <c r="W375" s="64">
        <v>2148.69</v>
      </c>
      <c r="X375" s="39"/>
      <c r="Y375" s="40" t="s">
        <v>65</v>
      </c>
      <c r="Z375" s="40"/>
      <c r="AA375" s="40" t="s">
        <v>45</v>
      </c>
      <c r="AB375" s="41">
        <v>0</v>
      </c>
      <c r="AD375" s="42" t="str">
        <f>C375&amp;A375</f>
        <v>ALUGUEIS DE EQUIPAMENTOSOper</v>
      </c>
      <c r="AE375" s="42" t="str">
        <f>IFERROR(VLOOKUP(C375,[34]Planilha1!$B:$C,2,0),"Não se Aplica")</f>
        <v>Sim</v>
      </c>
      <c r="AF375" s="42" t="str">
        <f>VLOOKUP(AD375,[34]Planilha1!$H:$J,3,0)</f>
        <v>Sim</v>
      </c>
      <c r="AG375" s="43">
        <f t="shared" si="166"/>
        <v>23399.234099999994</v>
      </c>
    </row>
    <row r="376" spans="1:33" x14ac:dyDescent="0.3">
      <c r="A376" s="1" t="s">
        <v>836</v>
      </c>
      <c r="B376" s="34" t="s">
        <v>28</v>
      </c>
      <c r="C376" s="68" t="s">
        <v>185</v>
      </c>
      <c r="D376" s="60" t="s">
        <v>448</v>
      </c>
      <c r="E376" s="69" t="s">
        <v>449</v>
      </c>
      <c r="F376" s="70" t="s">
        <v>63</v>
      </c>
      <c r="G376" s="34" t="s">
        <v>32</v>
      </c>
      <c r="H376" s="70" t="s">
        <v>64</v>
      </c>
      <c r="I376" s="37">
        <f t="shared" si="186"/>
        <v>3600</v>
      </c>
      <c r="J376" s="37">
        <f t="shared" si="187"/>
        <v>3600</v>
      </c>
      <c r="K376" s="37">
        <f t="shared" si="188"/>
        <v>3600</v>
      </c>
      <c r="L376" s="37">
        <f t="shared" si="189"/>
        <v>3600</v>
      </c>
      <c r="M376" s="37">
        <f t="shared" si="190"/>
        <v>3600</v>
      </c>
      <c r="N376" s="37">
        <f t="shared" si="191"/>
        <v>3600</v>
      </c>
      <c r="O376" s="37">
        <f t="shared" si="192"/>
        <v>3600</v>
      </c>
      <c r="P376" s="37">
        <f t="shared" si="193"/>
        <v>3600</v>
      </c>
      <c r="Q376" s="37">
        <f t="shared" si="194"/>
        <v>3600</v>
      </c>
      <c r="R376" s="37">
        <f t="shared" si="195"/>
        <v>3600</v>
      </c>
      <c r="S376" s="37">
        <f t="shared" si="196"/>
        <v>3600</v>
      </c>
      <c r="T376" s="37">
        <f t="shared" si="197"/>
        <v>3600</v>
      </c>
      <c r="U376" s="37">
        <f t="shared" si="167"/>
        <v>43200</v>
      </c>
      <c r="V376" s="6"/>
      <c r="W376" s="64">
        <v>3600</v>
      </c>
      <c r="X376" s="39"/>
      <c r="Y376" s="40"/>
      <c r="Z376" s="40"/>
      <c r="AA376" s="40" t="s">
        <v>56</v>
      </c>
      <c r="AB376" s="41">
        <v>0</v>
      </c>
      <c r="AD376" s="42" t="str">
        <f>C376&amp;A376</f>
        <v>HONORARIOS PROF. PJOper</v>
      </c>
      <c r="AE376" s="42" t="str">
        <f>IFERROR(VLOOKUP(C376,[34]Planilha1!$B:$C,2,0),"Não se Aplica")</f>
        <v>Sim</v>
      </c>
      <c r="AF376" s="42" t="str">
        <f>VLOOKUP(AD376,[34]Planilha1!$H:$J,3,0)</f>
        <v>Não</v>
      </c>
      <c r="AG376" s="43">
        <f t="shared" si="166"/>
        <v>43200</v>
      </c>
    </row>
    <row r="377" spans="1:33" x14ac:dyDescent="0.3">
      <c r="A377" s="1" t="s">
        <v>836</v>
      </c>
      <c r="B377" s="34" t="s">
        <v>28</v>
      </c>
      <c r="C377" s="68" t="s">
        <v>450</v>
      </c>
      <c r="D377" s="60" t="s">
        <v>451</v>
      </c>
      <c r="E377" s="69" t="s">
        <v>452</v>
      </c>
      <c r="F377" s="70" t="s">
        <v>63</v>
      </c>
      <c r="G377" s="34" t="s">
        <v>32</v>
      </c>
      <c r="H377" s="70" t="s">
        <v>64</v>
      </c>
      <c r="I377" s="37">
        <f t="shared" si="186"/>
        <v>19600</v>
      </c>
      <c r="J377" s="37">
        <f t="shared" si="187"/>
        <v>19600</v>
      </c>
      <c r="K377" s="37">
        <f t="shared" si="188"/>
        <v>19600</v>
      </c>
      <c r="L377" s="37">
        <f t="shared" si="189"/>
        <v>19600</v>
      </c>
      <c r="M377" s="37">
        <f t="shared" si="190"/>
        <v>19600</v>
      </c>
      <c r="N377" s="37">
        <f t="shared" si="191"/>
        <v>19600</v>
      </c>
      <c r="O377" s="37">
        <f t="shared" si="192"/>
        <v>19600</v>
      </c>
      <c r="P377" s="37">
        <f t="shared" si="193"/>
        <v>19600</v>
      </c>
      <c r="Q377" s="37">
        <f t="shared" si="194"/>
        <v>19600</v>
      </c>
      <c r="R377" s="37">
        <f t="shared" si="195"/>
        <v>19600</v>
      </c>
      <c r="S377" s="37">
        <f t="shared" si="196"/>
        <v>19600</v>
      </c>
      <c r="T377" s="37">
        <f t="shared" si="197"/>
        <v>19600</v>
      </c>
      <c r="U377" s="37">
        <f t="shared" ref="U377:U430" si="198">SUM(I377:T377)</f>
        <v>235200</v>
      </c>
      <c r="V377" s="6"/>
      <c r="W377" s="64">
        <v>19600</v>
      </c>
      <c r="X377" s="39"/>
      <c r="Y377" s="40"/>
      <c r="Z377" s="40"/>
      <c r="AA377" s="40" t="s">
        <v>45</v>
      </c>
      <c r="AB377" s="41">
        <v>0</v>
      </c>
      <c r="AD377" s="42" t="str">
        <f>C377&amp;A377</f>
        <v>ESTACIONAMENTOSOper</v>
      </c>
      <c r="AE377" s="42" t="str">
        <f>IFERROR(VLOOKUP(C377,[34]Planilha1!$B:$C,2,0),"Não se Aplica")</f>
        <v>Não se Aplica</v>
      </c>
      <c r="AF377" s="42" t="str">
        <f>VLOOKUP(AD377,[34]Planilha1!$H:$J,3,0)</f>
        <v>Não</v>
      </c>
      <c r="AG377" s="43">
        <f t="shared" ref="AG377:AG427" si="199">IF(AF377="Sim", U377 * 0.9075, U377)</f>
        <v>235200</v>
      </c>
    </row>
    <row r="378" spans="1:33" x14ac:dyDescent="0.3">
      <c r="A378" s="1" t="s">
        <v>836</v>
      </c>
      <c r="B378" s="34" t="s">
        <v>28</v>
      </c>
      <c r="C378" s="34" t="s">
        <v>38</v>
      </c>
      <c r="D378" s="60" t="s">
        <v>453</v>
      </c>
      <c r="E378" s="69" t="s">
        <v>454</v>
      </c>
      <c r="F378" s="70" t="s">
        <v>37</v>
      </c>
      <c r="G378" s="34" t="s">
        <v>32</v>
      </c>
      <c r="H378" s="70" t="s">
        <v>156</v>
      </c>
      <c r="I378" s="37">
        <f t="shared" si="186"/>
        <v>109412.76</v>
      </c>
      <c r="J378" s="37">
        <f t="shared" si="187"/>
        <v>109412.76</v>
      </c>
      <c r="K378" s="37">
        <f t="shared" si="188"/>
        <v>109412.76</v>
      </c>
      <c r="L378" s="37">
        <f t="shared" si="189"/>
        <v>109412.76</v>
      </c>
      <c r="M378" s="37">
        <f t="shared" si="190"/>
        <v>109412.76</v>
      </c>
      <c r="N378" s="37">
        <f t="shared" si="191"/>
        <v>109412.76</v>
      </c>
      <c r="O378" s="37">
        <f t="shared" si="192"/>
        <v>109412.76</v>
      </c>
      <c r="P378" s="37">
        <f t="shared" si="193"/>
        <v>109412.76</v>
      </c>
      <c r="Q378" s="37">
        <f t="shared" si="194"/>
        <v>109412.76</v>
      </c>
      <c r="R378" s="37">
        <f t="shared" si="195"/>
        <v>109412.76</v>
      </c>
      <c r="S378" s="37">
        <f t="shared" si="196"/>
        <v>109412.76</v>
      </c>
      <c r="T378" s="37">
        <f t="shared" si="197"/>
        <v>109412.76</v>
      </c>
      <c r="U378" s="37">
        <f t="shared" si="198"/>
        <v>1312953.1199999999</v>
      </c>
      <c r="V378" s="6"/>
      <c r="W378" s="64">
        <v>109412.76</v>
      </c>
      <c r="X378" s="39"/>
      <c r="Y378" s="40"/>
      <c r="Z378" s="40"/>
      <c r="AA378" s="40" t="s">
        <v>45</v>
      </c>
      <c r="AB378" s="41">
        <v>0</v>
      </c>
      <c r="AD378" s="42" t="str">
        <f>C378&amp;A378</f>
        <v>ALUGUEIS DE EQUIPAMENTOSOper</v>
      </c>
      <c r="AE378" s="42" t="str">
        <f>IFERROR(VLOOKUP(C378,[34]Planilha1!$B:$C,2,0),"Não se Aplica")</f>
        <v>Sim</v>
      </c>
      <c r="AF378" s="42" t="str">
        <f>VLOOKUP(AD378,[34]Planilha1!$H:$J,3,0)</f>
        <v>Sim</v>
      </c>
      <c r="AG378" s="43">
        <f t="shared" si="199"/>
        <v>1191504.9563999998</v>
      </c>
    </row>
    <row r="379" spans="1:33" x14ac:dyDescent="0.3">
      <c r="A379" s="1" t="s">
        <v>836</v>
      </c>
      <c r="B379" s="34" t="s">
        <v>28</v>
      </c>
      <c r="C379" s="34" t="s">
        <v>38</v>
      </c>
      <c r="D379" s="60" t="s">
        <v>455</v>
      </c>
      <c r="E379" s="69" t="s">
        <v>454</v>
      </c>
      <c r="F379" s="70" t="s">
        <v>37</v>
      </c>
      <c r="G379" s="34" t="s">
        <v>32</v>
      </c>
      <c r="H379" s="70" t="s">
        <v>156</v>
      </c>
      <c r="I379" s="37">
        <f t="shared" si="186"/>
        <v>5860</v>
      </c>
      <c r="J379" s="37">
        <f t="shared" si="187"/>
        <v>5860</v>
      </c>
      <c r="K379" s="37">
        <f t="shared" si="188"/>
        <v>5860</v>
      </c>
      <c r="L379" s="37">
        <f t="shared" si="189"/>
        <v>5860</v>
      </c>
      <c r="M379" s="37">
        <f t="shared" si="190"/>
        <v>5860</v>
      </c>
      <c r="N379" s="37">
        <f t="shared" si="191"/>
        <v>5860</v>
      </c>
      <c r="O379" s="37">
        <f t="shared" si="192"/>
        <v>5860</v>
      </c>
      <c r="P379" s="37">
        <f t="shared" si="193"/>
        <v>5860</v>
      </c>
      <c r="Q379" s="37">
        <f t="shared" si="194"/>
        <v>5860</v>
      </c>
      <c r="R379" s="37">
        <f t="shared" si="195"/>
        <v>5860</v>
      </c>
      <c r="S379" s="37">
        <f t="shared" si="196"/>
        <v>5860</v>
      </c>
      <c r="T379" s="37">
        <f t="shared" si="197"/>
        <v>5860</v>
      </c>
      <c r="U379" s="37">
        <f t="shared" si="198"/>
        <v>70320</v>
      </c>
      <c r="V379" s="6"/>
      <c r="W379" s="64">
        <v>5860</v>
      </c>
      <c r="X379" s="39"/>
      <c r="Y379" s="40"/>
      <c r="Z379" s="40"/>
      <c r="AA379" s="40" t="s">
        <v>45</v>
      </c>
      <c r="AB379" s="41">
        <v>0</v>
      </c>
      <c r="AD379" s="42" t="str">
        <f>C379&amp;A379</f>
        <v>ALUGUEIS DE EQUIPAMENTOSOper</v>
      </c>
      <c r="AE379" s="42" t="str">
        <f>IFERROR(VLOOKUP(C379,[34]Planilha1!$B:$C,2,0),"Não se Aplica")</f>
        <v>Sim</v>
      </c>
      <c r="AF379" s="42" t="str">
        <f>VLOOKUP(AD379,[34]Planilha1!$H:$J,3,0)</f>
        <v>Sim</v>
      </c>
      <c r="AG379" s="43">
        <f t="shared" si="199"/>
        <v>63815.4</v>
      </c>
    </row>
    <row r="380" spans="1:33" x14ac:dyDescent="0.3">
      <c r="A380" s="1" t="s">
        <v>836</v>
      </c>
      <c r="B380" s="34" t="s">
        <v>20</v>
      </c>
      <c r="C380" s="34" t="s">
        <v>38</v>
      </c>
      <c r="D380" s="60" t="s">
        <v>456</v>
      </c>
      <c r="E380" s="69" t="s">
        <v>454</v>
      </c>
      <c r="F380" s="70" t="s">
        <v>36</v>
      </c>
      <c r="G380" s="34" t="s">
        <v>22</v>
      </c>
      <c r="H380" s="70" t="s">
        <v>156</v>
      </c>
      <c r="I380" s="37">
        <f t="shared" si="186"/>
        <v>12000</v>
      </c>
      <c r="J380" s="37">
        <f t="shared" si="187"/>
        <v>12000</v>
      </c>
      <c r="K380" s="37">
        <f t="shared" si="188"/>
        <v>12000</v>
      </c>
      <c r="L380" s="37">
        <f t="shared" si="189"/>
        <v>12000</v>
      </c>
      <c r="M380" s="37">
        <f t="shared" si="190"/>
        <v>12000</v>
      </c>
      <c r="N380" s="37">
        <f t="shared" si="191"/>
        <v>12000</v>
      </c>
      <c r="O380" s="37">
        <f t="shared" si="192"/>
        <v>12000</v>
      </c>
      <c r="P380" s="37">
        <f t="shared" si="193"/>
        <v>12000</v>
      </c>
      <c r="Q380" s="37">
        <f t="shared" si="194"/>
        <v>12000</v>
      </c>
      <c r="R380" s="37">
        <f t="shared" si="195"/>
        <v>12000</v>
      </c>
      <c r="S380" s="37">
        <f t="shared" si="196"/>
        <v>12000</v>
      </c>
      <c r="T380" s="37">
        <f t="shared" si="197"/>
        <v>12000</v>
      </c>
      <c r="U380" s="37">
        <f t="shared" si="198"/>
        <v>144000</v>
      </c>
      <c r="V380" s="6"/>
      <c r="W380" s="64">
        <v>12000</v>
      </c>
      <c r="X380" s="39"/>
      <c r="Y380" s="40"/>
      <c r="Z380" s="40"/>
      <c r="AA380" s="40" t="s">
        <v>45</v>
      </c>
      <c r="AB380" s="41">
        <v>0</v>
      </c>
      <c r="AD380" s="42" t="str">
        <f>C380&amp;A380</f>
        <v>ALUGUEIS DE EQUIPAMENTOSOper</v>
      </c>
      <c r="AE380" s="42" t="str">
        <f>IFERROR(VLOOKUP(C380,[34]Planilha1!$B:$C,2,0),"Não se Aplica")</f>
        <v>Sim</v>
      </c>
      <c r="AF380" s="42" t="str">
        <f>VLOOKUP(AD380,[34]Planilha1!$H:$J,3,0)</f>
        <v>Sim</v>
      </c>
      <c r="AG380" s="43">
        <f t="shared" si="199"/>
        <v>130680</v>
      </c>
    </row>
    <row r="381" spans="1:33" x14ac:dyDescent="0.3">
      <c r="A381" s="1" t="s">
        <v>836</v>
      </c>
      <c r="B381" s="34" t="s">
        <v>20</v>
      </c>
      <c r="C381" s="34" t="s">
        <v>38</v>
      </c>
      <c r="D381" s="60" t="s">
        <v>456</v>
      </c>
      <c r="E381" s="69" t="s">
        <v>454</v>
      </c>
      <c r="F381" s="70" t="s">
        <v>36</v>
      </c>
      <c r="G381" s="34" t="s">
        <v>32</v>
      </c>
      <c r="H381" s="70" t="s">
        <v>156</v>
      </c>
      <c r="I381" s="37">
        <f t="shared" si="186"/>
        <v>13500</v>
      </c>
      <c r="J381" s="37">
        <f t="shared" si="187"/>
        <v>13500</v>
      </c>
      <c r="K381" s="37">
        <f t="shared" si="188"/>
        <v>13500</v>
      </c>
      <c r="L381" s="37">
        <f t="shared" si="189"/>
        <v>13500</v>
      </c>
      <c r="M381" s="37">
        <f t="shared" si="190"/>
        <v>13500</v>
      </c>
      <c r="N381" s="37">
        <f t="shared" si="191"/>
        <v>13500</v>
      </c>
      <c r="O381" s="37">
        <f t="shared" si="192"/>
        <v>13500</v>
      </c>
      <c r="P381" s="37">
        <f t="shared" si="193"/>
        <v>13500</v>
      </c>
      <c r="Q381" s="37">
        <f t="shared" si="194"/>
        <v>13500</v>
      </c>
      <c r="R381" s="37">
        <f t="shared" si="195"/>
        <v>13500</v>
      </c>
      <c r="S381" s="37">
        <f t="shared" si="196"/>
        <v>13500</v>
      </c>
      <c r="T381" s="37">
        <f t="shared" si="197"/>
        <v>13500</v>
      </c>
      <c r="U381" s="37">
        <f t="shared" si="198"/>
        <v>162000</v>
      </c>
      <c r="V381" s="6"/>
      <c r="W381" s="64">
        <v>13500</v>
      </c>
      <c r="X381" s="39"/>
      <c r="Y381" s="40"/>
      <c r="Z381" s="40"/>
      <c r="AA381" s="40" t="s">
        <v>45</v>
      </c>
      <c r="AB381" s="41">
        <v>0</v>
      </c>
      <c r="AD381" s="42" t="str">
        <f>C381&amp;A381</f>
        <v>ALUGUEIS DE EQUIPAMENTOSOper</v>
      </c>
      <c r="AE381" s="42" t="str">
        <f>IFERROR(VLOOKUP(C381,[34]Planilha1!$B:$C,2,0),"Não se Aplica")</f>
        <v>Sim</v>
      </c>
      <c r="AF381" s="42" t="str">
        <f>VLOOKUP(AD381,[34]Planilha1!$H:$J,3,0)</f>
        <v>Sim</v>
      </c>
      <c r="AG381" s="43">
        <f t="shared" si="199"/>
        <v>147015</v>
      </c>
    </row>
    <row r="382" spans="1:33" x14ac:dyDescent="0.3">
      <c r="A382" s="1" t="s">
        <v>837</v>
      </c>
      <c r="B382" s="65" t="s">
        <v>20</v>
      </c>
      <c r="C382" s="78" t="s">
        <v>46</v>
      </c>
      <c r="D382" s="79" t="s">
        <v>457</v>
      </c>
      <c r="E382" s="80" t="s">
        <v>68</v>
      </c>
      <c r="F382" s="81" t="s">
        <v>49</v>
      </c>
      <c r="G382" s="65" t="s">
        <v>32</v>
      </c>
      <c r="H382" s="81" t="s">
        <v>50</v>
      </c>
      <c r="I382" s="27"/>
      <c r="J382" s="27"/>
      <c r="K382" s="27"/>
      <c r="L382" s="27">
        <v>35000</v>
      </c>
      <c r="M382" s="27">
        <v>35000</v>
      </c>
      <c r="N382" s="27"/>
      <c r="O382" s="27"/>
      <c r="P382" s="27"/>
      <c r="Q382" s="27"/>
      <c r="R382" s="27"/>
      <c r="S382" s="27"/>
      <c r="T382" s="27"/>
      <c r="U382" s="27">
        <f t="shared" si="198"/>
        <v>70000</v>
      </c>
      <c r="V382" s="6"/>
      <c r="W382" s="82"/>
      <c r="X382" s="83"/>
      <c r="Y382" s="84"/>
      <c r="Z382" s="84"/>
      <c r="AA382" s="84"/>
      <c r="AB382" s="85"/>
      <c r="AD382" s="42" t="str">
        <f>C382&amp;A382</f>
        <v>MANUTEN. SISTEMAS  INFORMATICAAdm</v>
      </c>
      <c r="AE382" s="42" t="str">
        <f>IFERROR(VLOOKUP(C382,[34]Planilha1!$B:$C,2,0),"Não se Aplica")</f>
        <v>Sim</v>
      </c>
      <c r="AF382" s="42" t="str">
        <f>VLOOKUP(AD382,[34]Planilha1!$H:$J,3,0)</f>
        <v>Sim</v>
      </c>
      <c r="AG382" s="43">
        <f t="shared" si="199"/>
        <v>63525</v>
      </c>
    </row>
    <row r="383" spans="1:33" x14ac:dyDescent="0.3">
      <c r="A383" s="1" t="s">
        <v>836</v>
      </c>
      <c r="B383" s="65" t="s">
        <v>20</v>
      </c>
      <c r="C383" s="78" t="s">
        <v>210</v>
      </c>
      <c r="D383" s="81" t="s">
        <v>458</v>
      </c>
      <c r="E383" s="86" t="s">
        <v>459</v>
      </c>
      <c r="F383" s="81" t="s">
        <v>41</v>
      </c>
      <c r="G383" s="65" t="s">
        <v>32</v>
      </c>
      <c r="H383" s="81" t="s">
        <v>42</v>
      </c>
      <c r="I383" s="27">
        <v>3378.95</v>
      </c>
      <c r="J383" s="27">
        <v>3378.95</v>
      </c>
      <c r="K383" s="27">
        <v>3378.95</v>
      </c>
      <c r="L383" s="27">
        <v>3378.95</v>
      </c>
      <c r="M383" s="27">
        <v>3378.95</v>
      </c>
      <c r="N383" s="27">
        <v>3378.95</v>
      </c>
      <c r="O383" s="27">
        <v>3378.95</v>
      </c>
      <c r="P383" s="27">
        <v>3378.95</v>
      </c>
      <c r="Q383" s="27">
        <v>3378.95</v>
      </c>
      <c r="R383" s="27">
        <v>3378.95</v>
      </c>
      <c r="S383" s="27">
        <v>3378.95</v>
      </c>
      <c r="T383" s="27">
        <v>3378.95</v>
      </c>
      <c r="U383" s="27">
        <f t="shared" si="198"/>
        <v>40547.399999999994</v>
      </c>
      <c r="V383" s="82"/>
      <c r="W383"/>
      <c r="X383" s="87"/>
      <c r="Y383" s="8"/>
      <c r="Z383"/>
      <c r="AA383"/>
      <c r="AB383"/>
      <c r="AD383" s="42" t="str">
        <f>C383&amp;A383</f>
        <v>CERTIFICACAO/QUALIDADEOper</v>
      </c>
      <c r="AE383" s="42" t="str">
        <f>IFERROR(VLOOKUP(C383,[34]Planilha1!$B:$C,2,0),"Não se Aplica")</f>
        <v>Sim</v>
      </c>
      <c r="AF383" s="42" t="str">
        <f>VLOOKUP(AD383,[34]Planilha1!$H:$J,3,0)</f>
        <v>Não</v>
      </c>
      <c r="AG383" s="43">
        <f t="shared" si="199"/>
        <v>40547.399999999994</v>
      </c>
    </row>
    <row r="384" spans="1:33" x14ac:dyDescent="0.3">
      <c r="A384" s="1" t="s">
        <v>837</v>
      </c>
      <c r="B384" s="65" t="s">
        <v>28</v>
      </c>
      <c r="C384" s="78" t="s">
        <v>46</v>
      </c>
      <c r="D384" s="79" t="s">
        <v>460</v>
      </c>
      <c r="E384" s="80" t="s">
        <v>461</v>
      </c>
      <c r="F384" s="81" t="s">
        <v>49</v>
      </c>
      <c r="G384" s="65" t="s">
        <v>32</v>
      </c>
      <c r="H384" s="81" t="s">
        <v>50</v>
      </c>
      <c r="I384" s="27"/>
      <c r="J384" s="27"/>
      <c r="K384" s="27"/>
      <c r="L384" s="27"/>
      <c r="M384" s="27">
        <v>25000</v>
      </c>
      <c r="N384" s="27"/>
      <c r="O384" s="27"/>
      <c r="P384" s="27"/>
      <c r="Q384" s="27"/>
      <c r="R384" s="27"/>
      <c r="S384" s="27"/>
      <c r="T384" s="27"/>
      <c r="U384" s="27">
        <f t="shared" si="198"/>
        <v>25000</v>
      </c>
      <c r="V384" s="6"/>
      <c r="W384" s="82"/>
      <c r="X384" s="83"/>
      <c r="Y384" s="84"/>
      <c r="Z384" s="84"/>
      <c r="AA384" s="84"/>
      <c r="AB384" s="85"/>
      <c r="AD384" s="42" t="str">
        <f>C384&amp;A384</f>
        <v>MANUTEN. SISTEMAS  INFORMATICAAdm</v>
      </c>
      <c r="AE384" s="42" t="str">
        <f>IFERROR(VLOOKUP(C384,[34]Planilha1!$B:$C,2,0),"Não se Aplica")</f>
        <v>Sim</v>
      </c>
      <c r="AF384" s="42" t="str">
        <f>VLOOKUP(AD384,[34]Planilha1!$H:$J,3,0)</f>
        <v>Sim</v>
      </c>
      <c r="AG384" s="43">
        <f t="shared" si="199"/>
        <v>22687.5</v>
      </c>
    </row>
    <row r="385" spans="1:33" x14ac:dyDescent="0.3">
      <c r="A385" s="1" t="s">
        <v>836</v>
      </c>
      <c r="B385" s="65" t="s">
        <v>20</v>
      </c>
      <c r="C385" s="78" t="s">
        <v>46</v>
      </c>
      <c r="D385" s="79" t="s">
        <v>462</v>
      </c>
      <c r="E385" s="80" t="s">
        <v>463</v>
      </c>
      <c r="F385" s="81" t="s">
        <v>36</v>
      </c>
      <c r="G385" s="65" t="s">
        <v>32</v>
      </c>
      <c r="H385" s="81" t="s">
        <v>50</v>
      </c>
      <c r="I385" s="27"/>
      <c r="J385" s="27"/>
      <c r="K385" s="27"/>
      <c r="L385" s="27"/>
      <c r="M385" s="27">
        <v>20000</v>
      </c>
      <c r="N385" s="27"/>
      <c r="O385" s="27"/>
      <c r="P385" s="27">
        <v>20000</v>
      </c>
      <c r="Q385" s="27"/>
      <c r="R385" s="27"/>
      <c r="S385" s="27"/>
      <c r="T385" s="27"/>
      <c r="U385" s="27">
        <f t="shared" si="198"/>
        <v>40000</v>
      </c>
      <c r="V385" s="6"/>
      <c r="W385" s="82"/>
      <c r="X385" s="83"/>
      <c r="Y385" s="84"/>
      <c r="Z385" s="84"/>
      <c r="AA385" s="84"/>
      <c r="AB385" s="85"/>
      <c r="AD385" s="42" t="str">
        <f>C385&amp;A385</f>
        <v>MANUTEN. SISTEMAS  INFORMATICAOper</v>
      </c>
      <c r="AE385" s="42" t="str">
        <f>IFERROR(VLOOKUP(C385,[34]Planilha1!$B:$C,2,0),"Não se Aplica")</f>
        <v>Sim</v>
      </c>
      <c r="AF385" s="42" t="str">
        <f>VLOOKUP(AD385,[34]Planilha1!$H:$J,3,0)</f>
        <v>Sim</v>
      </c>
      <c r="AG385" s="43">
        <f t="shared" si="199"/>
        <v>36300</v>
      </c>
    </row>
    <row r="386" spans="1:33" x14ac:dyDescent="0.3">
      <c r="A386" s="1" t="s">
        <v>838</v>
      </c>
      <c r="B386" s="65" t="s">
        <v>20</v>
      </c>
      <c r="C386" s="78" t="s">
        <v>408</v>
      </c>
      <c r="D386" s="79" t="s">
        <v>464</v>
      </c>
      <c r="E386" s="80" t="s">
        <v>465</v>
      </c>
      <c r="F386" s="81" t="s">
        <v>77</v>
      </c>
      <c r="G386" s="65" t="s">
        <v>32</v>
      </c>
      <c r="H386" s="81" t="s">
        <v>78</v>
      </c>
      <c r="I386" s="27">
        <v>0</v>
      </c>
      <c r="J386" s="27">
        <v>0</v>
      </c>
      <c r="K386" s="27">
        <v>100</v>
      </c>
      <c r="L386" s="27">
        <v>0</v>
      </c>
      <c r="M386" s="27">
        <v>0</v>
      </c>
      <c r="N386" s="27">
        <v>100</v>
      </c>
      <c r="O386" s="27">
        <v>0</v>
      </c>
      <c r="P386" s="27">
        <v>0</v>
      </c>
      <c r="Q386" s="27">
        <v>100</v>
      </c>
      <c r="R386" s="27">
        <v>0</v>
      </c>
      <c r="S386" s="27">
        <v>0</v>
      </c>
      <c r="T386" s="27">
        <v>0</v>
      </c>
      <c r="U386" s="27">
        <f t="shared" si="198"/>
        <v>300</v>
      </c>
      <c r="V386" s="6"/>
      <c r="W386" s="6"/>
      <c r="X386" s="87"/>
      <c r="Y386" s="8"/>
      <c r="Z386"/>
      <c r="AA386"/>
      <c r="AB386"/>
      <c r="AD386" s="42" t="str">
        <f>C386&amp;A386</f>
        <v>PORTES/SELOS E TELEGRAMAS CORREIOSCom</v>
      </c>
      <c r="AE386" s="42" t="str">
        <f>IFERROR(VLOOKUP(C386,[34]Planilha1!$B:$C,2,0),"Não se Aplica")</f>
        <v>Sim</v>
      </c>
      <c r="AF386" s="42" t="str">
        <f>VLOOKUP(AD386,[34]Planilha1!$H:$J,3,0)</f>
        <v>Não</v>
      </c>
      <c r="AG386" s="43">
        <f t="shared" si="199"/>
        <v>300</v>
      </c>
    </row>
    <row r="387" spans="1:33" x14ac:dyDescent="0.3">
      <c r="A387" s="1" t="s">
        <v>838</v>
      </c>
      <c r="B387" s="65" t="s">
        <v>20</v>
      </c>
      <c r="C387" s="78" t="s">
        <v>408</v>
      </c>
      <c r="D387" s="79" t="s">
        <v>466</v>
      </c>
      <c r="E387" s="80" t="s">
        <v>467</v>
      </c>
      <c r="F387" s="81" t="s">
        <v>77</v>
      </c>
      <c r="G387" s="65" t="s">
        <v>32</v>
      </c>
      <c r="H387" s="81" t="s">
        <v>78</v>
      </c>
      <c r="I387" s="27">
        <v>0</v>
      </c>
      <c r="J387" s="27">
        <v>0</v>
      </c>
      <c r="K387" s="27">
        <v>100</v>
      </c>
      <c r="L387" s="27">
        <v>100</v>
      </c>
      <c r="M387" s="27">
        <v>300</v>
      </c>
      <c r="N387" s="27">
        <v>300</v>
      </c>
      <c r="O387" s="27">
        <v>300</v>
      </c>
      <c r="P387" s="27">
        <v>300</v>
      </c>
      <c r="Q387" s="27">
        <v>300</v>
      </c>
      <c r="R387" s="27">
        <v>300</v>
      </c>
      <c r="S387" s="27">
        <v>300</v>
      </c>
      <c r="T387" s="27">
        <v>300</v>
      </c>
      <c r="U387" s="27">
        <f t="shared" si="198"/>
        <v>2600</v>
      </c>
      <c r="V387" s="6"/>
      <c r="W387" s="6"/>
      <c r="X387" s="87"/>
      <c r="Y387" s="8"/>
      <c r="Z387"/>
      <c r="AA387"/>
      <c r="AB387"/>
      <c r="AD387" s="42" t="str">
        <f>C387&amp;A387</f>
        <v>PORTES/SELOS E TELEGRAMAS CORREIOSCom</v>
      </c>
      <c r="AE387" s="42" t="str">
        <f>IFERROR(VLOOKUP(C387,[34]Planilha1!$B:$C,2,0),"Não se Aplica")</f>
        <v>Sim</v>
      </c>
      <c r="AF387" s="42" t="str">
        <f>VLOOKUP(AD387,[34]Planilha1!$H:$J,3,0)</f>
        <v>Não</v>
      </c>
      <c r="AG387" s="43">
        <f t="shared" si="199"/>
        <v>2600</v>
      </c>
    </row>
    <row r="388" spans="1:33" x14ac:dyDescent="0.3">
      <c r="A388" s="1" t="s">
        <v>838</v>
      </c>
      <c r="B388" s="65" t="s">
        <v>20</v>
      </c>
      <c r="C388" s="78" t="s">
        <v>468</v>
      </c>
      <c r="D388" s="79" t="s">
        <v>469</v>
      </c>
      <c r="E388" s="80" t="s">
        <v>470</v>
      </c>
      <c r="F388" s="81" t="s">
        <v>77</v>
      </c>
      <c r="G388" s="65" t="s">
        <v>32</v>
      </c>
      <c r="H388" s="81" t="s">
        <v>78</v>
      </c>
      <c r="I388" s="27">
        <v>1530</v>
      </c>
      <c r="J388" s="27">
        <v>1530</v>
      </c>
      <c r="K388" s="27">
        <v>1530</v>
      </c>
      <c r="L388" s="27">
        <v>1530</v>
      </c>
      <c r="M388" s="27">
        <v>1530</v>
      </c>
      <c r="N388" s="27">
        <v>1530</v>
      </c>
      <c r="O388" s="27">
        <v>1530</v>
      </c>
      <c r="P388" s="27">
        <v>1530</v>
      </c>
      <c r="Q388" s="27">
        <v>1530</v>
      </c>
      <c r="R388" s="27">
        <v>1530</v>
      </c>
      <c r="S388" s="27">
        <v>1530</v>
      </c>
      <c r="T388" s="27">
        <v>1530</v>
      </c>
      <c r="U388" s="27">
        <f t="shared" si="198"/>
        <v>18360</v>
      </c>
      <c r="V388" s="6"/>
      <c r="W388" s="6"/>
      <c r="X388" s="87"/>
      <c r="Y388" s="8"/>
      <c r="Z388"/>
      <c r="AA388"/>
      <c r="AB388"/>
      <c r="AD388" s="42" t="str">
        <f>C388&amp;A388</f>
        <v>ASSOS. SINDICATOS DE CLASSECom</v>
      </c>
      <c r="AE388" s="42" t="str">
        <f>IFERROR(VLOOKUP(C388,[34]Planilha1!$B:$C,2,0),"Não se Aplica")</f>
        <v>Sim</v>
      </c>
      <c r="AF388" s="42" t="str">
        <f>VLOOKUP(AD388,[34]Planilha1!$H:$J,3,0)</f>
        <v>Não</v>
      </c>
      <c r="AG388" s="43">
        <f t="shared" si="199"/>
        <v>18360</v>
      </c>
    </row>
    <row r="389" spans="1:33" x14ac:dyDescent="0.3">
      <c r="A389" s="1" t="s">
        <v>838</v>
      </c>
      <c r="B389" s="65" t="s">
        <v>20</v>
      </c>
      <c r="C389" s="78" t="s">
        <v>468</v>
      </c>
      <c r="D389" s="79" t="s">
        <v>471</v>
      </c>
      <c r="E389" s="80" t="s">
        <v>472</v>
      </c>
      <c r="F389" s="81" t="s">
        <v>77</v>
      </c>
      <c r="G389" s="65" t="s">
        <v>32</v>
      </c>
      <c r="H389" s="81" t="s">
        <v>78</v>
      </c>
      <c r="I389" s="27">
        <v>4760.32</v>
      </c>
      <c r="J389" s="27">
        <v>4760.32</v>
      </c>
      <c r="K389" s="27">
        <v>4760.32</v>
      </c>
      <c r="L389" s="27">
        <v>4760.32</v>
      </c>
      <c r="M389" s="27">
        <v>4760.32</v>
      </c>
      <c r="N389" s="27">
        <v>4760.32</v>
      </c>
      <c r="O389" s="27">
        <v>4760.32</v>
      </c>
      <c r="P389" s="27">
        <v>4760.32</v>
      </c>
      <c r="Q389" s="27">
        <v>4760.32</v>
      </c>
      <c r="R389" s="27">
        <v>4760.32</v>
      </c>
      <c r="S389" s="27">
        <v>4760.32</v>
      </c>
      <c r="T389" s="27">
        <v>4760.32</v>
      </c>
      <c r="U389" s="27">
        <f t="shared" si="198"/>
        <v>57123.839999999997</v>
      </c>
      <c r="V389" s="6"/>
      <c r="W389" s="6"/>
      <c r="X389" s="87"/>
      <c r="Y389" s="8"/>
      <c r="Z389"/>
      <c r="AA389"/>
      <c r="AB389"/>
      <c r="AD389" s="42" t="str">
        <f>C389&amp;A389</f>
        <v>ASSOS. SINDICATOS DE CLASSECom</v>
      </c>
      <c r="AE389" s="42" t="str">
        <f>IFERROR(VLOOKUP(C389,[34]Planilha1!$B:$C,2,0),"Não se Aplica")</f>
        <v>Sim</v>
      </c>
      <c r="AF389" s="42" t="str">
        <f>VLOOKUP(AD389,[34]Planilha1!$H:$J,3,0)</f>
        <v>Não</v>
      </c>
      <c r="AG389" s="43">
        <f t="shared" si="199"/>
        <v>57123.839999999997</v>
      </c>
    </row>
    <row r="390" spans="1:33" x14ac:dyDescent="0.3">
      <c r="A390" s="1" t="s">
        <v>838</v>
      </c>
      <c r="B390" s="65" t="s">
        <v>20</v>
      </c>
      <c r="C390" s="78" t="s">
        <v>468</v>
      </c>
      <c r="D390" s="79" t="s">
        <v>473</v>
      </c>
      <c r="E390" s="80" t="s">
        <v>474</v>
      </c>
      <c r="F390" s="81" t="s">
        <v>77</v>
      </c>
      <c r="G390" s="65" t="s">
        <v>32</v>
      </c>
      <c r="H390" s="81" t="s">
        <v>78</v>
      </c>
      <c r="I390" s="27">
        <v>4500</v>
      </c>
      <c r="J390" s="27">
        <v>4500</v>
      </c>
      <c r="K390" s="27">
        <v>4500</v>
      </c>
      <c r="L390" s="27">
        <v>4500</v>
      </c>
      <c r="M390" s="27">
        <v>4500</v>
      </c>
      <c r="N390" s="27">
        <v>4500</v>
      </c>
      <c r="O390" s="27">
        <v>4500</v>
      </c>
      <c r="P390" s="27">
        <v>4500</v>
      </c>
      <c r="Q390" s="27">
        <v>4500</v>
      </c>
      <c r="R390" s="27">
        <v>4500</v>
      </c>
      <c r="S390" s="27">
        <v>4500</v>
      </c>
      <c r="T390" s="27">
        <v>4500</v>
      </c>
      <c r="U390" s="27">
        <f t="shared" si="198"/>
        <v>54000</v>
      </c>
      <c r="V390" s="6"/>
      <c r="W390" s="6"/>
      <c r="X390" s="87"/>
      <c r="Y390" s="8"/>
      <c r="Z390"/>
      <c r="AA390"/>
      <c r="AB390"/>
      <c r="AD390" s="42" t="str">
        <f>C390&amp;A390</f>
        <v>ASSOS. SINDICATOS DE CLASSECom</v>
      </c>
      <c r="AE390" s="42" t="str">
        <f>IFERROR(VLOOKUP(C390,[34]Planilha1!$B:$C,2,0),"Não se Aplica")</f>
        <v>Sim</v>
      </c>
      <c r="AF390" s="42" t="str">
        <f>VLOOKUP(AD390,[34]Planilha1!$H:$J,3,0)</f>
        <v>Não</v>
      </c>
      <c r="AG390" s="43">
        <f t="shared" si="199"/>
        <v>54000</v>
      </c>
    </row>
    <row r="391" spans="1:33" x14ac:dyDescent="0.3">
      <c r="A391" s="1" t="s">
        <v>838</v>
      </c>
      <c r="B391" s="65" t="s">
        <v>20</v>
      </c>
      <c r="C391" s="78" t="s">
        <v>468</v>
      </c>
      <c r="D391" s="79" t="s">
        <v>475</v>
      </c>
      <c r="E391" s="80" t="s">
        <v>476</v>
      </c>
      <c r="F391" s="81" t="s">
        <v>77</v>
      </c>
      <c r="G391" s="65" t="s">
        <v>32</v>
      </c>
      <c r="H391" s="81" t="s">
        <v>78</v>
      </c>
      <c r="I391" s="27">
        <v>772</v>
      </c>
      <c r="J391" s="27">
        <v>772</v>
      </c>
      <c r="K391" s="27">
        <v>772</v>
      </c>
      <c r="L391" s="27">
        <v>772</v>
      </c>
      <c r="M391" s="27">
        <v>772</v>
      </c>
      <c r="N391" s="27">
        <v>772</v>
      </c>
      <c r="O391" s="27">
        <v>772</v>
      </c>
      <c r="P391" s="27">
        <v>772</v>
      </c>
      <c r="Q391" s="27">
        <v>772</v>
      </c>
      <c r="R391" s="27">
        <v>772</v>
      </c>
      <c r="S391" s="27">
        <v>772</v>
      </c>
      <c r="T391" s="27">
        <v>772</v>
      </c>
      <c r="U391" s="27">
        <f t="shared" si="198"/>
        <v>9264</v>
      </c>
      <c r="V391" s="6"/>
      <c r="W391" s="6"/>
      <c r="X391" s="87"/>
      <c r="Y391" s="8"/>
      <c r="Z391"/>
      <c r="AA391"/>
      <c r="AB391"/>
      <c r="AD391" s="42" t="str">
        <f>C391&amp;A391</f>
        <v>ASSOS. SINDICATOS DE CLASSECom</v>
      </c>
      <c r="AE391" s="42" t="str">
        <f>IFERROR(VLOOKUP(C391,[34]Planilha1!$B:$C,2,0),"Não se Aplica")</f>
        <v>Sim</v>
      </c>
      <c r="AF391" s="42" t="str">
        <f>VLOOKUP(AD391,[34]Planilha1!$H:$J,3,0)</f>
        <v>Não</v>
      </c>
      <c r="AG391" s="43">
        <f t="shared" si="199"/>
        <v>9264</v>
      </c>
    </row>
    <row r="392" spans="1:33" x14ac:dyDescent="0.3">
      <c r="A392" s="1" t="s">
        <v>838</v>
      </c>
      <c r="B392" s="65" t="s">
        <v>28</v>
      </c>
      <c r="C392" s="78" t="s">
        <v>468</v>
      </c>
      <c r="D392" s="79" t="s">
        <v>475</v>
      </c>
      <c r="E392" s="80" t="s">
        <v>476</v>
      </c>
      <c r="F392" s="81" t="s">
        <v>77</v>
      </c>
      <c r="G392" s="65" t="s">
        <v>32</v>
      </c>
      <c r="H392" s="81" t="s">
        <v>78</v>
      </c>
      <c r="I392" s="27">
        <v>520</v>
      </c>
      <c r="J392" s="27">
        <v>520</v>
      </c>
      <c r="K392" s="27">
        <v>520</v>
      </c>
      <c r="L392" s="27">
        <v>520</v>
      </c>
      <c r="M392" s="27">
        <v>520</v>
      </c>
      <c r="N392" s="27">
        <v>520</v>
      </c>
      <c r="O392" s="27">
        <v>520</v>
      </c>
      <c r="P392" s="27">
        <v>520</v>
      </c>
      <c r="Q392" s="27">
        <v>520</v>
      </c>
      <c r="R392" s="27">
        <v>520</v>
      </c>
      <c r="S392" s="27">
        <v>520</v>
      </c>
      <c r="T392" s="27">
        <v>520</v>
      </c>
      <c r="U392" s="27">
        <f t="shared" si="198"/>
        <v>6240</v>
      </c>
      <c r="V392" s="6"/>
      <c r="W392" s="6"/>
      <c r="X392" s="87"/>
      <c r="Y392" s="8"/>
      <c r="Z392"/>
      <c r="AA392"/>
      <c r="AB392"/>
      <c r="AD392" s="42" t="str">
        <f>C392&amp;A392</f>
        <v>ASSOS. SINDICATOS DE CLASSECom</v>
      </c>
      <c r="AE392" s="42" t="str">
        <f>IFERROR(VLOOKUP(C392,[34]Planilha1!$B:$C,2,0),"Não se Aplica")</f>
        <v>Sim</v>
      </c>
      <c r="AF392" s="42" t="str">
        <f>VLOOKUP(AD392,[34]Planilha1!$H:$J,3,0)</f>
        <v>Não</v>
      </c>
      <c r="AG392" s="43">
        <f t="shared" si="199"/>
        <v>6240</v>
      </c>
    </row>
    <row r="393" spans="1:33" x14ac:dyDescent="0.3">
      <c r="A393" s="1" t="s">
        <v>838</v>
      </c>
      <c r="B393" s="65" t="s">
        <v>20</v>
      </c>
      <c r="C393" s="78" t="s">
        <v>435</v>
      </c>
      <c r="D393" s="79" t="s">
        <v>477</v>
      </c>
      <c r="E393" s="79" t="s">
        <v>477</v>
      </c>
      <c r="F393" s="81" t="s">
        <v>77</v>
      </c>
      <c r="G393" s="65" t="s">
        <v>32</v>
      </c>
      <c r="H393" s="81" t="s">
        <v>78</v>
      </c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>
        <f t="shared" si="198"/>
        <v>0</v>
      </c>
      <c r="V393" s="6"/>
      <c r="W393" s="6"/>
      <c r="X393" s="87"/>
      <c r="Y393" s="8"/>
      <c r="Z393"/>
      <c r="AA393"/>
      <c r="AB393"/>
      <c r="AD393" s="42" t="str">
        <f>C393&amp;A393</f>
        <v>FEIRAS EVENTOS E CONFRATERNIZACOESCom</v>
      </c>
      <c r="AE393" s="42" t="str">
        <f>IFERROR(VLOOKUP(C393,[34]Planilha1!$B:$C,2,0),"Não se Aplica")</f>
        <v>Sim</v>
      </c>
      <c r="AF393" s="42" t="str">
        <f>VLOOKUP(AD393,[34]Planilha1!$H:$J,3,0)</f>
        <v>Não</v>
      </c>
      <c r="AG393" s="43">
        <f t="shared" si="199"/>
        <v>0</v>
      </c>
    </row>
    <row r="394" spans="1:33" x14ac:dyDescent="0.3">
      <c r="A394" s="1" t="s">
        <v>838</v>
      </c>
      <c r="B394" s="65" t="s">
        <v>20</v>
      </c>
      <c r="C394" s="78" t="s">
        <v>435</v>
      </c>
      <c r="D394" s="79" t="s">
        <v>478</v>
      </c>
      <c r="E394" s="79" t="s">
        <v>478</v>
      </c>
      <c r="F394" s="81" t="s">
        <v>77</v>
      </c>
      <c r="G394" s="65" t="s">
        <v>32</v>
      </c>
      <c r="H394" s="81" t="s">
        <v>78</v>
      </c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>
        <f t="shared" si="198"/>
        <v>0</v>
      </c>
      <c r="V394" s="6"/>
      <c r="W394" s="6"/>
      <c r="X394" s="87"/>
      <c r="Y394" s="8"/>
      <c r="Z394"/>
      <c r="AA394"/>
      <c r="AB394"/>
      <c r="AD394" s="42" t="str">
        <f>C394&amp;A394</f>
        <v>FEIRAS EVENTOS E CONFRATERNIZACOESCom</v>
      </c>
      <c r="AE394" s="42" t="str">
        <f>IFERROR(VLOOKUP(C394,[34]Planilha1!$B:$C,2,0),"Não se Aplica")</f>
        <v>Sim</v>
      </c>
      <c r="AF394" s="42" t="str">
        <f>VLOOKUP(AD394,[34]Planilha1!$H:$J,3,0)</f>
        <v>Não</v>
      </c>
      <c r="AG394" s="43">
        <f t="shared" si="199"/>
        <v>0</v>
      </c>
    </row>
    <row r="395" spans="1:33" x14ac:dyDescent="0.3">
      <c r="A395" s="1" t="s">
        <v>838</v>
      </c>
      <c r="B395" s="65" t="s">
        <v>20</v>
      </c>
      <c r="C395" s="78" t="s">
        <v>435</v>
      </c>
      <c r="D395" s="79" t="s">
        <v>479</v>
      </c>
      <c r="E395" s="79" t="s">
        <v>479</v>
      </c>
      <c r="F395" s="81" t="s">
        <v>77</v>
      </c>
      <c r="G395" s="65" t="s">
        <v>32</v>
      </c>
      <c r="H395" s="81" t="s">
        <v>78</v>
      </c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>
        <f t="shared" si="198"/>
        <v>0</v>
      </c>
      <c r="V395" s="6"/>
      <c r="W395" s="6"/>
      <c r="X395" s="87"/>
      <c r="Y395" s="8"/>
      <c r="Z395"/>
      <c r="AA395"/>
      <c r="AB395"/>
      <c r="AD395" s="42" t="str">
        <f>C395&amp;A395</f>
        <v>FEIRAS EVENTOS E CONFRATERNIZACOESCom</v>
      </c>
      <c r="AE395" s="42" t="str">
        <f>IFERROR(VLOOKUP(C395,[34]Planilha1!$B:$C,2,0),"Não se Aplica")</f>
        <v>Sim</v>
      </c>
      <c r="AF395" s="42" t="str">
        <f>VLOOKUP(AD395,[34]Planilha1!$H:$J,3,0)</f>
        <v>Não</v>
      </c>
      <c r="AG395" s="43">
        <f t="shared" si="199"/>
        <v>0</v>
      </c>
    </row>
    <row r="396" spans="1:33" x14ac:dyDescent="0.3">
      <c r="A396" s="1" t="s">
        <v>838</v>
      </c>
      <c r="B396" s="65" t="s">
        <v>20</v>
      </c>
      <c r="C396" s="78" t="s">
        <v>435</v>
      </c>
      <c r="D396" s="79" t="s">
        <v>480</v>
      </c>
      <c r="E396" s="79" t="s">
        <v>480</v>
      </c>
      <c r="F396" s="81" t="s">
        <v>77</v>
      </c>
      <c r="G396" s="65" t="s">
        <v>32</v>
      </c>
      <c r="H396" s="81" t="s">
        <v>78</v>
      </c>
      <c r="I396" s="27"/>
      <c r="J396" s="27"/>
      <c r="K396" s="27"/>
      <c r="L396" s="27"/>
      <c r="M396" s="27"/>
      <c r="N396" s="27"/>
      <c r="O396" s="27"/>
      <c r="P396" s="27">
        <v>20000</v>
      </c>
      <c r="Q396" s="27"/>
      <c r="R396" s="27"/>
      <c r="S396" s="27"/>
      <c r="T396" s="27"/>
      <c r="U396" s="27">
        <f t="shared" si="198"/>
        <v>20000</v>
      </c>
      <c r="W396"/>
      <c r="X396" s="87"/>
      <c r="Y396" s="8"/>
      <c r="Z396"/>
      <c r="AA396"/>
      <c r="AB396"/>
      <c r="AD396" s="42" t="str">
        <f>C396&amp;A396</f>
        <v>FEIRAS EVENTOS E CONFRATERNIZACOESCom</v>
      </c>
      <c r="AE396" s="42" t="str">
        <f>IFERROR(VLOOKUP(C396,[34]Planilha1!$B:$C,2,0),"Não se Aplica")</f>
        <v>Sim</v>
      </c>
      <c r="AF396" s="42" t="str">
        <f>VLOOKUP(AD396,[34]Planilha1!$H:$J,3,0)</f>
        <v>Não</v>
      </c>
      <c r="AG396" s="43">
        <f t="shared" si="199"/>
        <v>20000</v>
      </c>
    </row>
    <row r="397" spans="1:33" x14ac:dyDescent="0.3">
      <c r="A397" s="1" t="s">
        <v>838</v>
      </c>
      <c r="B397" s="65" t="s">
        <v>20</v>
      </c>
      <c r="C397" s="78" t="s">
        <v>435</v>
      </c>
      <c r="D397" s="79" t="s">
        <v>481</v>
      </c>
      <c r="E397" s="79" t="s">
        <v>481</v>
      </c>
      <c r="F397" s="81" t="s">
        <v>77</v>
      </c>
      <c r="G397" s="65" t="s">
        <v>32</v>
      </c>
      <c r="H397" s="81" t="s">
        <v>78</v>
      </c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>
        <f t="shared" si="198"/>
        <v>0</v>
      </c>
      <c r="W397"/>
      <c r="X397" s="87"/>
      <c r="Y397" s="8"/>
      <c r="Z397"/>
      <c r="AA397"/>
      <c r="AB397"/>
      <c r="AD397" s="42" t="str">
        <f>C397&amp;A397</f>
        <v>FEIRAS EVENTOS E CONFRATERNIZACOESCom</v>
      </c>
      <c r="AE397" s="42" t="str">
        <f>IFERROR(VLOOKUP(C397,[34]Planilha1!$B:$C,2,0),"Não se Aplica")</f>
        <v>Sim</v>
      </c>
      <c r="AF397" s="42" t="str">
        <f>VLOOKUP(AD397,[34]Planilha1!$H:$J,3,0)</f>
        <v>Não</v>
      </c>
      <c r="AG397" s="43">
        <f t="shared" si="199"/>
        <v>0</v>
      </c>
    </row>
    <row r="398" spans="1:33" x14ac:dyDescent="0.3">
      <c r="A398" s="1" t="s">
        <v>838</v>
      </c>
      <c r="B398" s="65" t="s">
        <v>20</v>
      </c>
      <c r="C398" s="78" t="s">
        <v>435</v>
      </c>
      <c r="D398" s="79" t="s">
        <v>482</v>
      </c>
      <c r="E398" s="79" t="s">
        <v>482</v>
      </c>
      <c r="F398" s="81" t="s">
        <v>77</v>
      </c>
      <c r="G398" s="65" t="s">
        <v>32</v>
      </c>
      <c r="H398" s="81" t="s">
        <v>78</v>
      </c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>
        <f t="shared" si="198"/>
        <v>0</v>
      </c>
      <c r="W398"/>
      <c r="X398" s="87"/>
      <c r="Y398" s="8"/>
      <c r="Z398"/>
      <c r="AA398"/>
      <c r="AB398"/>
      <c r="AD398" s="42" t="str">
        <f>C398&amp;A398</f>
        <v>FEIRAS EVENTOS E CONFRATERNIZACOESCom</v>
      </c>
      <c r="AE398" s="42" t="str">
        <f>IFERROR(VLOOKUP(C398,[34]Planilha1!$B:$C,2,0),"Não se Aplica")</f>
        <v>Sim</v>
      </c>
      <c r="AF398" s="42" t="str">
        <f>VLOOKUP(AD398,[34]Planilha1!$H:$J,3,0)</f>
        <v>Não</v>
      </c>
      <c r="AG398" s="43">
        <f t="shared" si="199"/>
        <v>0</v>
      </c>
    </row>
    <row r="399" spans="1:33" x14ac:dyDescent="0.3">
      <c r="A399" s="1" t="s">
        <v>838</v>
      </c>
      <c r="B399" s="65" t="s">
        <v>20</v>
      </c>
      <c r="C399" s="78" t="s">
        <v>435</v>
      </c>
      <c r="D399" s="79" t="s">
        <v>483</v>
      </c>
      <c r="E399" s="79" t="s">
        <v>483</v>
      </c>
      <c r="F399" s="81" t="s">
        <v>77</v>
      </c>
      <c r="G399" s="65" t="s">
        <v>32</v>
      </c>
      <c r="H399" s="81" t="s">
        <v>78</v>
      </c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>
        <f t="shared" si="198"/>
        <v>0</v>
      </c>
      <c r="W399"/>
      <c r="X399" s="87"/>
      <c r="Y399" s="8"/>
      <c r="Z399"/>
      <c r="AA399"/>
      <c r="AB399"/>
      <c r="AD399" s="42" t="str">
        <f>C399&amp;A399</f>
        <v>FEIRAS EVENTOS E CONFRATERNIZACOESCom</v>
      </c>
      <c r="AE399" s="42" t="str">
        <f>IFERROR(VLOOKUP(C399,[34]Planilha1!$B:$C,2,0),"Não se Aplica")</f>
        <v>Sim</v>
      </c>
      <c r="AF399" s="42" t="str">
        <f>VLOOKUP(AD399,[34]Planilha1!$H:$J,3,0)</f>
        <v>Não</v>
      </c>
      <c r="AG399" s="43">
        <f t="shared" si="199"/>
        <v>0</v>
      </c>
    </row>
    <row r="400" spans="1:33" x14ac:dyDescent="0.3">
      <c r="A400" s="1" t="s">
        <v>838</v>
      </c>
      <c r="B400" s="65" t="s">
        <v>20</v>
      </c>
      <c r="C400" s="78" t="s">
        <v>435</v>
      </c>
      <c r="D400" s="79" t="s">
        <v>484</v>
      </c>
      <c r="E400" s="79" t="s">
        <v>484</v>
      </c>
      <c r="F400" s="81" t="s">
        <v>77</v>
      </c>
      <c r="G400" s="65" t="s">
        <v>32</v>
      </c>
      <c r="H400" s="81" t="s">
        <v>78</v>
      </c>
      <c r="I400" s="27"/>
      <c r="J400" s="27"/>
      <c r="K400" s="27"/>
      <c r="L400" s="27"/>
      <c r="M400" s="27"/>
      <c r="N400" s="27"/>
      <c r="O400" s="27">
        <v>45000</v>
      </c>
      <c r="P400" s="27"/>
      <c r="Q400" s="27"/>
      <c r="R400" s="27"/>
      <c r="S400" s="27"/>
      <c r="T400" s="27"/>
      <c r="U400" s="27">
        <f t="shared" si="198"/>
        <v>45000</v>
      </c>
      <c r="V400" s="6"/>
      <c r="W400" s="6"/>
      <c r="X400" s="87"/>
      <c r="Y400" s="8"/>
      <c r="Z400"/>
      <c r="AA400"/>
      <c r="AB400"/>
      <c r="AD400" s="42" t="str">
        <f>C400&amp;A400</f>
        <v>FEIRAS EVENTOS E CONFRATERNIZACOESCom</v>
      </c>
      <c r="AE400" s="42" t="str">
        <f>IFERROR(VLOOKUP(C400,[34]Planilha1!$B:$C,2,0),"Não se Aplica")</f>
        <v>Sim</v>
      </c>
      <c r="AF400" s="42" t="str">
        <f>VLOOKUP(AD400,[34]Planilha1!$H:$J,3,0)</f>
        <v>Não</v>
      </c>
      <c r="AG400" s="43">
        <f t="shared" si="199"/>
        <v>45000</v>
      </c>
    </row>
    <row r="401" spans="1:33" x14ac:dyDescent="0.3">
      <c r="A401" s="1" t="s">
        <v>838</v>
      </c>
      <c r="B401" s="65" t="s">
        <v>20</v>
      </c>
      <c r="C401" s="78" t="s">
        <v>435</v>
      </c>
      <c r="D401" s="79" t="s">
        <v>485</v>
      </c>
      <c r="E401" s="79" t="s">
        <v>485</v>
      </c>
      <c r="F401" s="81" t="s">
        <v>77</v>
      </c>
      <c r="G401" s="65" t="s">
        <v>32</v>
      </c>
      <c r="H401" s="81" t="s">
        <v>78</v>
      </c>
      <c r="I401" s="27"/>
      <c r="J401" s="27"/>
      <c r="K401" s="27"/>
      <c r="L401" s="27"/>
      <c r="M401" s="27"/>
      <c r="N401" s="27"/>
      <c r="O401" s="27">
        <v>55000</v>
      </c>
      <c r="P401" s="27"/>
      <c r="Q401" s="27"/>
      <c r="R401" s="27"/>
      <c r="S401" s="27"/>
      <c r="T401" s="27"/>
      <c r="U401" s="27">
        <f t="shared" si="198"/>
        <v>55000</v>
      </c>
      <c r="W401"/>
      <c r="X401" s="87"/>
      <c r="Y401" s="8"/>
      <c r="Z401"/>
      <c r="AA401"/>
      <c r="AB401"/>
      <c r="AD401" s="42" t="str">
        <f>C401&amp;A401</f>
        <v>FEIRAS EVENTOS E CONFRATERNIZACOESCom</v>
      </c>
      <c r="AE401" s="42" t="str">
        <f>IFERROR(VLOOKUP(C401,[34]Planilha1!$B:$C,2,0),"Não se Aplica")</f>
        <v>Sim</v>
      </c>
      <c r="AF401" s="42" t="str">
        <f>VLOOKUP(AD401,[34]Planilha1!$H:$J,3,0)</f>
        <v>Não</v>
      </c>
      <c r="AG401" s="43">
        <f t="shared" si="199"/>
        <v>55000</v>
      </c>
    </row>
    <row r="402" spans="1:33" x14ac:dyDescent="0.3">
      <c r="A402" s="1" t="s">
        <v>838</v>
      </c>
      <c r="B402" s="65" t="s">
        <v>20</v>
      </c>
      <c r="C402" s="78" t="s">
        <v>435</v>
      </c>
      <c r="D402" s="79" t="s">
        <v>486</v>
      </c>
      <c r="E402" s="79" t="s">
        <v>486</v>
      </c>
      <c r="F402" s="81" t="s">
        <v>77</v>
      </c>
      <c r="G402" s="65" t="s">
        <v>32</v>
      </c>
      <c r="H402" s="81" t="s">
        <v>78</v>
      </c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>
        <f t="shared" si="198"/>
        <v>0</v>
      </c>
      <c r="V402" s="6"/>
      <c r="W402" s="6"/>
      <c r="X402" s="87"/>
      <c r="Y402" s="8"/>
      <c r="Z402"/>
      <c r="AA402"/>
      <c r="AB402"/>
      <c r="AD402" s="42" t="str">
        <f>C402&amp;A402</f>
        <v>FEIRAS EVENTOS E CONFRATERNIZACOESCom</v>
      </c>
      <c r="AE402" s="42" t="str">
        <f>IFERROR(VLOOKUP(C402,[34]Planilha1!$B:$C,2,0),"Não se Aplica")</f>
        <v>Sim</v>
      </c>
      <c r="AF402" s="42" t="str">
        <f>VLOOKUP(AD402,[34]Planilha1!$H:$J,3,0)</f>
        <v>Não</v>
      </c>
      <c r="AG402" s="43">
        <f t="shared" si="199"/>
        <v>0</v>
      </c>
    </row>
    <row r="403" spans="1:33" x14ac:dyDescent="0.3">
      <c r="A403" s="1" t="s">
        <v>838</v>
      </c>
      <c r="B403" s="65" t="s">
        <v>20</v>
      </c>
      <c r="C403" s="78" t="s">
        <v>435</v>
      </c>
      <c r="D403" s="79" t="s">
        <v>487</v>
      </c>
      <c r="E403" s="79" t="s">
        <v>487</v>
      </c>
      <c r="F403" s="81" t="s">
        <v>77</v>
      </c>
      <c r="G403" s="65" t="s">
        <v>32</v>
      </c>
      <c r="H403" s="81" t="s">
        <v>78</v>
      </c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>
        <f t="shared" si="198"/>
        <v>0</v>
      </c>
      <c r="W403"/>
      <c r="X403" s="87"/>
      <c r="Y403" s="8"/>
      <c r="Z403"/>
      <c r="AA403"/>
      <c r="AB403"/>
      <c r="AD403" s="42" t="str">
        <f>C403&amp;A403</f>
        <v>FEIRAS EVENTOS E CONFRATERNIZACOESCom</v>
      </c>
      <c r="AE403" s="42" t="str">
        <f>IFERROR(VLOOKUP(C403,[34]Planilha1!$B:$C,2,0),"Não se Aplica")</f>
        <v>Sim</v>
      </c>
      <c r="AF403" s="42" t="str">
        <f>VLOOKUP(AD403,[34]Planilha1!$H:$J,3,0)</f>
        <v>Não</v>
      </c>
      <c r="AG403" s="43">
        <f t="shared" si="199"/>
        <v>0</v>
      </c>
    </row>
    <row r="404" spans="1:33" x14ac:dyDescent="0.3">
      <c r="A404" s="1" t="s">
        <v>838</v>
      </c>
      <c r="B404" s="65" t="s">
        <v>20</v>
      </c>
      <c r="C404" s="78" t="s">
        <v>435</v>
      </c>
      <c r="D404" s="79" t="s">
        <v>488</v>
      </c>
      <c r="E404" s="79" t="s">
        <v>488</v>
      </c>
      <c r="F404" s="81" t="s">
        <v>77</v>
      </c>
      <c r="G404" s="65" t="s">
        <v>32</v>
      </c>
      <c r="H404" s="81" t="s">
        <v>78</v>
      </c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>
        <f t="shared" si="198"/>
        <v>0</v>
      </c>
      <c r="W404"/>
      <c r="X404" s="87"/>
      <c r="Y404" s="8"/>
      <c r="Z404"/>
      <c r="AA404"/>
      <c r="AB404"/>
      <c r="AD404" s="42" t="str">
        <f>C404&amp;A404</f>
        <v>FEIRAS EVENTOS E CONFRATERNIZACOESCom</v>
      </c>
      <c r="AE404" s="42" t="str">
        <f>IFERROR(VLOOKUP(C404,[34]Planilha1!$B:$C,2,0),"Não se Aplica")</f>
        <v>Sim</v>
      </c>
      <c r="AF404" s="42" t="str">
        <f>VLOOKUP(AD404,[34]Planilha1!$H:$J,3,0)</f>
        <v>Não</v>
      </c>
      <c r="AG404" s="43">
        <f t="shared" si="199"/>
        <v>0</v>
      </c>
    </row>
    <row r="405" spans="1:33" x14ac:dyDescent="0.3">
      <c r="A405" s="1" t="s">
        <v>838</v>
      </c>
      <c r="B405" s="65" t="s">
        <v>20</v>
      </c>
      <c r="C405" s="78" t="s">
        <v>435</v>
      </c>
      <c r="D405" s="79" t="s">
        <v>489</v>
      </c>
      <c r="E405" s="79" t="s">
        <v>489</v>
      </c>
      <c r="F405" s="81" t="s">
        <v>77</v>
      </c>
      <c r="G405" s="65" t="s">
        <v>32</v>
      </c>
      <c r="H405" s="81" t="s">
        <v>78</v>
      </c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>
        <f t="shared" si="198"/>
        <v>0</v>
      </c>
      <c r="V405" s="6"/>
      <c r="W405" s="6"/>
      <c r="X405" s="87"/>
      <c r="Y405" s="8"/>
      <c r="Z405"/>
      <c r="AA405"/>
      <c r="AB405"/>
      <c r="AD405" s="42" t="str">
        <f>C405&amp;A405</f>
        <v>FEIRAS EVENTOS E CONFRATERNIZACOESCom</v>
      </c>
      <c r="AE405" s="42" t="str">
        <f>IFERROR(VLOOKUP(C405,[34]Planilha1!$B:$C,2,0),"Não se Aplica")</f>
        <v>Sim</v>
      </c>
      <c r="AF405" s="42" t="str">
        <f>VLOOKUP(AD405,[34]Planilha1!$H:$J,3,0)</f>
        <v>Não</v>
      </c>
      <c r="AG405" s="43">
        <f t="shared" si="199"/>
        <v>0</v>
      </c>
    </row>
    <row r="406" spans="1:33" x14ac:dyDescent="0.3">
      <c r="A406" s="1" t="s">
        <v>837</v>
      </c>
      <c r="B406" s="65" t="s">
        <v>28</v>
      </c>
      <c r="C406" s="78" t="s">
        <v>490</v>
      </c>
      <c r="D406" s="79" t="s">
        <v>491</v>
      </c>
      <c r="E406" s="79" t="s">
        <v>491</v>
      </c>
      <c r="F406" s="81" t="s">
        <v>34</v>
      </c>
      <c r="G406" s="65" t="s">
        <v>32</v>
      </c>
      <c r="H406" s="81" t="s">
        <v>78</v>
      </c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27">
        <f t="shared" si="198"/>
        <v>0</v>
      </c>
      <c r="W406"/>
      <c r="X406" s="87"/>
      <c r="Y406" s="8"/>
      <c r="Z406"/>
      <c r="AA406"/>
      <c r="AB406"/>
      <c r="AD406" s="42" t="str">
        <f>C406&amp;A406</f>
        <v>CONDUCAO E TRANSPORTEAdm</v>
      </c>
      <c r="AE406" s="42" t="str">
        <f>IFERROR(VLOOKUP(C406,[34]Planilha1!$B:$C,2,0),"Não se Aplica")</f>
        <v>Sim</v>
      </c>
      <c r="AF406" s="42" t="str">
        <f>VLOOKUP(AD406,[34]Planilha1!$H:$J,3,0)</f>
        <v>Não</v>
      </c>
      <c r="AG406" s="43">
        <f t="shared" si="199"/>
        <v>0</v>
      </c>
    </row>
    <row r="407" spans="1:33" x14ac:dyDescent="0.3">
      <c r="A407" s="1" t="s">
        <v>838</v>
      </c>
      <c r="B407" s="65" t="s">
        <v>20</v>
      </c>
      <c r="C407" s="78" t="s">
        <v>492</v>
      </c>
      <c r="D407" s="79" t="s">
        <v>493</v>
      </c>
      <c r="E407" s="79" t="s">
        <v>493</v>
      </c>
      <c r="F407" s="81" t="s">
        <v>77</v>
      </c>
      <c r="G407" s="65" t="s">
        <v>32</v>
      </c>
      <c r="H407" s="81" t="s">
        <v>78</v>
      </c>
      <c r="I407" s="27">
        <v>4000</v>
      </c>
      <c r="J407" s="27">
        <v>4000</v>
      </c>
      <c r="K407" s="27">
        <v>8000</v>
      </c>
      <c r="L407" s="27">
        <v>8000</v>
      </c>
      <c r="M407" s="27">
        <v>8000</v>
      </c>
      <c r="N407" s="27">
        <v>8000</v>
      </c>
      <c r="O407" s="27">
        <v>10000</v>
      </c>
      <c r="P407" s="27">
        <v>11053</v>
      </c>
      <c r="Q407" s="27">
        <v>11000</v>
      </c>
      <c r="R407" s="27">
        <v>11000</v>
      </c>
      <c r="S407" s="27">
        <v>11000</v>
      </c>
      <c r="T407" s="27">
        <v>11000</v>
      </c>
      <c r="U407" s="27">
        <f t="shared" si="198"/>
        <v>105053</v>
      </c>
      <c r="W407"/>
      <c r="X407" s="87"/>
      <c r="Y407" s="8"/>
      <c r="Z407"/>
      <c r="AA407"/>
      <c r="AB407"/>
      <c r="AD407" s="42" t="str">
        <f>C407&amp;A407</f>
        <v>COPA E REFEICOES/ESTADIASCom</v>
      </c>
      <c r="AE407" s="42" t="str">
        <f>IFERROR(VLOOKUP(C407,[34]Planilha1!$B:$C,2,0),"Não se Aplica")</f>
        <v>Sim</v>
      </c>
      <c r="AF407" s="42" t="str">
        <f>VLOOKUP(AD407,[34]Planilha1!$H:$J,3,0)</f>
        <v>Não</v>
      </c>
      <c r="AG407" s="43">
        <f t="shared" si="199"/>
        <v>105053</v>
      </c>
    </row>
    <row r="408" spans="1:33" x14ac:dyDescent="0.3">
      <c r="A408" s="1" t="s">
        <v>838</v>
      </c>
      <c r="B408" s="65" t="s">
        <v>20</v>
      </c>
      <c r="C408" s="78" t="s">
        <v>492</v>
      </c>
      <c r="D408" s="79" t="s">
        <v>494</v>
      </c>
      <c r="E408" s="79" t="s">
        <v>494</v>
      </c>
      <c r="F408" s="81" t="s">
        <v>77</v>
      </c>
      <c r="G408" s="65" t="s">
        <v>32</v>
      </c>
      <c r="H408" s="81" t="s">
        <v>78</v>
      </c>
      <c r="I408" s="27">
        <v>500</v>
      </c>
      <c r="J408" s="27">
        <v>500</v>
      </c>
      <c r="K408" s="27">
        <v>500</v>
      </c>
      <c r="L408" s="27">
        <v>500</v>
      </c>
      <c r="M408" s="27">
        <v>500</v>
      </c>
      <c r="N408" s="27">
        <v>500</v>
      </c>
      <c r="O408" s="27">
        <v>500</v>
      </c>
      <c r="P408" s="27">
        <v>500</v>
      </c>
      <c r="Q408" s="27">
        <v>500</v>
      </c>
      <c r="R408" s="27">
        <v>500</v>
      </c>
      <c r="S408" s="27">
        <v>500</v>
      </c>
      <c r="T408" s="27">
        <v>500</v>
      </c>
      <c r="U408" s="27">
        <f t="shared" si="198"/>
        <v>6000</v>
      </c>
      <c r="V408" s="6"/>
      <c r="W408" s="6"/>
      <c r="X408" s="87"/>
      <c r="Y408" s="8"/>
      <c r="Z408"/>
      <c r="AA408"/>
      <c r="AB408"/>
      <c r="AD408" s="42" t="str">
        <f>C408&amp;A408</f>
        <v>COPA E REFEICOES/ESTADIASCom</v>
      </c>
      <c r="AE408" s="42" t="str">
        <f>IFERROR(VLOOKUP(C408,[34]Planilha1!$B:$C,2,0),"Não se Aplica")</f>
        <v>Sim</v>
      </c>
      <c r="AF408" s="42" t="str">
        <f>VLOOKUP(AD408,[34]Planilha1!$H:$J,3,0)</f>
        <v>Não</v>
      </c>
      <c r="AG408" s="43">
        <f t="shared" si="199"/>
        <v>6000</v>
      </c>
    </row>
    <row r="409" spans="1:33" x14ac:dyDescent="0.3">
      <c r="A409" s="1" t="s">
        <v>838</v>
      </c>
      <c r="B409" s="65" t="s">
        <v>20</v>
      </c>
      <c r="C409" s="78" t="s">
        <v>490</v>
      </c>
      <c r="D409" s="79" t="s">
        <v>495</v>
      </c>
      <c r="E409" s="79" t="s">
        <v>495</v>
      </c>
      <c r="F409" s="81" t="s">
        <v>77</v>
      </c>
      <c r="G409" s="65" t="s">
        <v>32</v>
      </c>
      <c r="H409" s="81" t="s">
        <v>78</v>
      </c>
      <c r="I409" s="27">
        <v>200</v>
      </c>
      <c r="J409" s="27">
        <v>200</v>
      </c>
      <c r="K409" s="27">
        <v>200</v>
      </c>
      <c r="L409" s="27">
        <v>200</v>
      </c>
      <c r="M409" s="27">
        <v>200</v>
      </c>
      <c r="N409" s="27">
        <v>200</v>
      </c>
      <c r="O409" s="27">
        <v>200</v>
      </c>
      <c r="P409" s="27">
        <v>200</v>
      </c>
      <c r="Q409" s="27">
        <v>200</v>
      </c>
      <c r="R409" s="27">
        <v>200</v>
      </c>
      <c r="S409" s="27">
        <v>200</v>
      </c>
      <c r="T409" s="27">
        <v>200</v>
      </c>
      <c r="U409" s="27">
        <f t="shared" si="198"/>
        <v>2400</v>
      </c>
      <c r="V409" s="6"/>
      <c r="W409" s="6"/>
      <c r="X409" s="87"/>
      <c r="Y409" s="8"/>
      <c r="Z409"/>
      <c r="AA409"/>
      <c r="AB409"/>
      <c r="AD409" s="42" t="str">
        <f>C409&amp;A409</f>
        <v>CONDUCAO E TRANSPORTECom</v>
      </c>
      <c r="AE409" s="42" t="str">
        <f>IFERROR(VLOOKUP(C409,[34]Planilha1!$B:$C,2,0),"Não se Aplica")</f>
        <v>Sim</v>
      </c>
      <c r="AF409" s="42" t="str">
        <f>VLOOKUP(AD409,[34]Planilha1!$H:$J,3,0)</f>
        <v>Não</v>
      </c>
      <c r="AG409" s="43">
        <f t="shared" si="199"/>
        <v>2400</v>
      </c>
    </row>
    <row r="410" spans="1:33" x14ac:dyDescent="0.3">
      <c r="A410" s="1" t="s">
        <v>838</v>
      </c>
      <c r="B410" s="65" t="s">
        <v>28</v>
      </c>
      <c r="C410" s="78" t="s">
        <v>496</v>
      </c>
      <c r="D410" s="79" t="s">
        <v>497</v>
      </c>
      <c r="E410" s="79" t="s">
        <v>497</v>
      </c>
      <c r="F410" s="81" t="s">
        <v>77</v>
      </c>
      <c r="G410" s="65" t="s">
        <v>32</v>
      </c>
      <c r="H410" s="81" t="s">
        <v>78</v>
      </c>
      <c r="I410" s="27">
        <v>250</v>
      </c>
      <c r="J410" s="27">
        <v>250</v>
      </c>
      <c r="K410" s="27">
        <v>250</v>
      </c>
      <c r="L410" s="27">
        <v>250</v>
      </c>
      <c r="M410" s="27">
        <v>250</v>
      </c>
      <c r="N410" s="27">
        <v>250</v>
      </c>
      <c r="O410" s="27">
        <v>250</v>
      </c>
      <c r="P410" s="27">
        <v>250</v>
      </c>
      <c r="Q410" s="27">
        <v>250</v>
      </c>
      <c r="R410" s="27">
        <v>250</v>
      </c>
      <c r="S410" s="27">
        <v>250</v>
      </c>
      <c r="T410" s="27">
        <v>250</v>
      </c>
      <c r="U410" s="27">
        <f t="shared" si="198"/>
        <v>3000</v>
      </c>
      <c r="V410" s="6"/>
      <c r="W410" s="6"/>
      <c r="X410" s="87"/>
      <c r="Y410" s="8"/>
      <c r="Z410"/>
      <c r="AA410"/>
      <c r="AB410"/>
      <c r="AD410" s="42" t="str">
        <f>C410&amp;A410</f>
        <v>VIAGENSCom</v>
      </c>
      <c r="AE410" s="42" t="str">
        <f>IFERROR(VLOOKUP(C410,[34]Planilha1!$B:$C,2,0),"Não se Aplica")</f>
        <v>Sim</v>
      </c>
      <c r="AF410" s="42" t="str">
        <f>VLOOKUP(AD410,[34]Planilha1!$H:$J,3,0)</f>
        <v>Não</v>
      </c>
      <c r="AG410" s="43">
        <f t="shared" si="199"/>
        <v>3000</v>
      </c>
    </row>
    <row r="411" spans="1:33" x14ac:dyDescent="0.3">
      <c r="A411" s="1" t="s">
        <v>838</v>
      </c>
      <c r="B411" s="65" t="s">
        <v>20</v>
      </c>
      <c r="C411" s="78" t="s">
        <v>496</v>
      </c>
      <c r="D411" s="79" t="s">
        <v>497</v>
      </c>
      <c r="E411" s="79" t="s">
        <v>497</v>
      </c>
      <c r="F411" s="81" t="s">
        <v>77</v>
      </c>
      <c r="G411" s="65" t="s">
        <v>32</v>
      </c>
      <c r="H411" s="81" t="s">
        <v>78</v>
      </c>
      <c r="I411" s="27">
        <v>250</v>
      </c>
      <c r="J411" s="27">
        <v>250</v>
      </c>
      <c r="K411" s="27">
        <v>250</v>
      </c>
      <c r="L411" s="27">
        <v>250</v>
      </c>
      <c r="M411" s="27">
        <v>250</v>
      </c>
      <c r="N411" s="27">
        <v>250</v>
      </c>
      <c r="O411" s="27">
        <v>250</v>
      </c>
      <c r="P411" s="27">
        <v>250</v>
      </c>
      <c r="Q411" s="27">
        <v>250</v>
      </c>
      <c r="R411" s="27">
        <v>250</v>
      </c>
      <c r="S411" s="27">
        <v>250</v>
      </c>
      <c r="T411" s="27">
        <v>250</v>
      </c>
      <c r="U411" s="27">
        <f t="shared" si="198"/>
        <v>3000</v>
      </c>
      <c r="V411" s="6"/>
      <c r="W411" s="6"/>
      <c r="X411" s="87"/>
      <c r="Y411" s="8"/>
      <c r="Z411"/>
      <c r="AA411"/>
      <c r="AB411"/>
      <c r="AD411" s="42" t="str">
        <f>C411&amp;A411</f>
        <v>VIAGENSCom</v>
      </c>
      <c r="AE411" s="42" t="str">
        <f>IFERROR(VLOOKUP(C411,[34]Planilha1!$B:$C,2,0),"Não se Aplica")</f>
        <v>Sim</v>
      </c>
      <c r="AF411" s="42" t="str">
        <f>VLOOKUP(AD411,[34]Planilha1!$H:$J,3,0)</f>
        <v>Não</v>
      </c>
      <c r="AG411" s="43">
        <f t="shared" si="199"/>
        <v>3000</v>
      </c>
    </row>
    <row r="412" spans="1:33" x14ac:dyDescent="0.3">
      <c r="A412" s="1" t="s">
        <v>838</v>
      </c>
      <c r="B412" s="65" t="s">
        <v>20</v>
      </c>
      <c r="C412" s="78" t="s">
        <v>498</v>
      </c>
      <c r="D412" s="79" t="s">
        <v>499</v>
      </c>
      <c r="E412" s="80"/>
      <c r="F412" s="81" t="s">
        <v>77</v>
      </c>
      <c r="G412" s="65" t="s">
        <v>32</v>
      </c>
      <c r="H412" s="81" t="s">
        <v>78</v>
      </c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>
        <f t="shared" si="198"/>
        <v>0</v>
      </c>
      <c r="W412"/>
      <c r="X412" s="87"/>
      <c r="Y412" s="8"/>
      <c r="Z412"/>
      <c r="AA412"/>
      <c r="AB412"/>
      <c r="AD412" s="42" t="str">
        <f>C412&amp;A412</f>
        <v>BENS DE PEQUENO VALORCom</v>
      </c>
      <c r="AE412" s="42" t="str">
        <f>IFERROR(VLOOKUP(C412,[34]Planilha1!$B:$C,2,0),"Não se Aplica")</f>
        <v>Sim</v>
      </c>
      <c r="AF412" s="42" t="str">
        <f>VLOOKUP(AD412,[34]Planilha1!$H:$J,3,0)</f>
        <v>Não</v>
      </c>
      <c r="AG412" s="43">
        <f t="shared" si="199"/>
        <v>0</v>
      </c>
    </row>
    <row r="413" spans="1:33" x14ac:dyDescent="0.3">
      <c r="A413" s="1" t="s">
        <v>838</v>
      </c>
      <c r="B413" s="65" t="s">
        <v>20</v>
      </c>
      <c r="C413" s="78" t="s">
        <v>79</v>
      </c>
      <c r="D413" s="79" t="s">
        <v>500</v>
      </c>
      <c r="E413" s="86" t="s">
        <v>501</v>
      </c>
      <c r="F413" s="81" t="s">
        <v>502</v>
      </c>
      <c r="G413" s="65" t="s">
        <v>32</v>
      </c>
      <c r="H413" s="81" t="s">
        <v>78</v>
      </c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>
        <f t="shared" si="198"/>
        <v>0</v>
      </c>
      <c r="V413" s="6"/>
      <c r="W413" s="6"/>
      <c r="X413" s="87"/>
      <c r="Y413" s="8"/>
      <c r="Z413"/>
      <c r="AA413"/>
      <c r="AB413"/>
      <c r="AD413" s="42" t="str">
        <f>C413&amp;A413</f>
        <v>PUBLICIDADE E PROPAGANDACom</v>
      </c>
      <c r="AE413" s="42" t="str">
        <f>IFERROR(VLOOKUP(C413,[34]Planilha1!$B:$C,2,0),"Não se Aplica")</f>
        <v>Sim</v>
      </c>
      <c r="AF413" s="42" t="str">
        <f>VLOOKUP(AD413,[34]Planilha1!$H:$J,3,0)</f>
        <v>Não</v>
      </c>
      <c r="AG413" s="43">
        <f t="shared" si="199"/>
        <v>0</v>
      </c>
    </row>
    <row r="414" spans="1:33" x14ac:dyDescent="0.3">
      <c r="A414" s="1" t="s">
        <v>838</v>
      </c>
      <c r="B414" s="65" t="s">
        <v>20</v>
      </c>
      <c r="C414" s="78" t="s">
        <v>79</v>
      </c>
      <c r="D414" s="79" t="s">
        <v>500</v>
      </c>
      <c r="E414" s="80" t="s">
        <v>503</v>
      </c>
      <c r="F414" s="81" t="s">
        <v>502</v>
      </c>
      <c r="G414" s="65" t="s">
        <v>32</v>
      </c>
      <c r="H414" s="81" t="s">
        <v>78</v>
      </c>
      <c r="I414" s="27"/>
      <c r="J414" s="27"/>
      <c r="K414" s="27"/>
      <c r="L414" s="27"/>
      <c r="M414" s="27"/>
      <c r="N414" s="27">
        <v>7055.5555555555557</v>
      </c>
      <c r="O414" s="27">
        <v>7055.5555555555557</v>
      </c>
      <c r="P414" s="27">
        <v>7055.5555555555557</v>
      </c>
      <c r="Q414" s="27">
        <v>7055.5555555555557</v>
      </c>
      <c r="R414" s="27">
        <v>7055.5555555555557</v>
      </c>
      <c r="S414" s="27">
        <v>7055.5555555555557</v>
      </c>
      <c r="T414" s="27">
        <v>7055.5555555555557</v>
      </c>
      <c r="U414" s="27">
        <f t="shared" si="198"/>
        <v>49388.888888888891</v>
      </c>
      <c r="V414" s="6"/>
      <c r="W414" s="6"/>
      <c r="X414" s="87"/>
      <c r="Y414" s="8"/>
      <c r="Z414"/>
      <c r="AA414"/>
      <c r="AB414"/>
      <c r="AD414" s="42" t="str">
        <f>C414&amp;A414</f>
        <v>PUBLICIDADE E PROPAGANDACom</v>
      </c>
      <c r="AE414" s="42" t="str">
        <f>IFERROR(VLOOKUP(C414,[34]Planilha1!$B:$C,2,0),"Não se Aplica")</f>
        <v>Sim</v>
      </c>
      <c r="AF414" s="42" t="str">
        <f>VLOOKUP(AD414,[34]Planilha1!$H:$J,3,0)</f>
        <v>Não</v>
      </c>
      <c r="AG414" s="43">
        <f t="shared" si="199"/>
        <v>49388.888888888891</v>
      </c>
    </row>
    <row r="415" spans="1:33" x14ac:dyDescent="0.3">
      <c r="A415" s="1" t="s">
        <v>838</v>
      </c>
      <c r="B415" s="65" t="s">
        <v>20</v>
      </c>
      <c r="C415" s="78" t="s">
        <v>79</v>
      </c>
      <c r="D415" s="79" t="s">
        <v>504</v>
      </c>
      <c r="E415" s="80" t="s">
        <v>504</v>
      </c>
      <c r="F415" s="81" t="s">
        <v>502</v>
      </c>
      <c r="G415" s="65" t="s">
        <v>32</v>
      </c>
      <c r="H415" s="81" t="s">
        <v>78</v>
      </c>
      <c r="I415" s="27"/>
      <c r="J415" s="27"/>
      <c r="K415" s="27"/>
      <c r="L415" s="27"/>
      <c r="M415" s="27">
        <v>5000</v>
      </c>
      <c r="N415" s="27"/>
      <c r="O415" s="27"/>
      <c r="P415" s="27"/>
      <c r="Q415" s="27"/>
      <c r="R415" s="27"/>
      <c r="S415" s="27"/>
      <c r="T415" s="27"/>
      <c r="U415" s="27">
        <f t="shared" si="198"/>
        <v>5000</v>
      </c>
      <c r="V415" s="6"/>
      <c r="W415" s="6"/>
      <c r="X415" s="87"/>
      <c r="Y415" s="8"/>
      <c r="Z415"/>
      <c r="AA415"/>
      <c r="AB415"/>
      <c r="AD415" s="42" t="str">
        <f>C415&amp;A415</f>
        <v>PUBLICIDADE E PROPAGANDACom</v>
      </c>
      <c r="AE415" s="42" t="str">
        <f>IFERROR(VLOOKUP(C415,[34]Planilha1!$B:$C,2,0),"Não se Aplica")</f>
        <v>Sim</v>
      </c>
      <c r="AF415" s="42" t="str">
        <f>VLOOKUP(AD415,[34]Planilha1!$H:$J,3,0)</f>
        <v>Não</v>
      </c>
      <c r="AG415" s="43">
        <f t="shared" si="199"/>
        <v>5000</v>
      </c>
    </row>
    <row r="416" spans="1:33" x14ac:dyDescent="0.3">
      <c r="A416" s="1" t="s">
        <v>836</v>
      </c>
      <c r="B416" s="65" t="s">
        <v>28</v>
      </c>
      <c r="C416" s="78" t="s">
        <v>490</v>
      </c>
      <c r="D416" s="79" t="s">
        <v>505</v>
      </c>
      <c r="E416" s="79" t="s">
        <v>505</v>
      </c>
      <c r="F416" s="81" t="s">
        <v>24</v>
      </c>
      <c r="G416" s="65" t="s">
        <v>32</v>
      </c>
      <c r="H416" s="81" t="s">
        <v>78</v>
      </c>
      <c r="I416" s="27">
        <v>50</v>
      </c>
      <c r="J416" s="27">
        <v>50</v>
      </c>
      <c r="K416" s="27">
        <v>50</v>
      </c>
      <c r="L416" s="27">
        <v>50</v>
      </c>
      <c r="M416" s="27">
        <v>50</v>
      </c>
      <c r="N416" s="27">
        <v>50</v>
      </c>
      <c r="O416" s="27">
        <v>50</v>
      </c>
      <c r="P416" s="27">
        <v>50</v>
      </c>
      <c r="Q416" s="27">
        <v>50</v>
      </c>
      <c r="R416" s="27">
        <v>50</v>
      </c>
      <c r="S416" s="27">
        <v>50</v>
      </c>
      <c r="T416" s="27">
        <v>50</v>
      </c>
      <c r="U416" s="27">
        <f t="shared" si="198"/>
        <v>600</v>
      </c>
      <c r="V416" s="6"/>
      <c r="W416" s="6"/>
      <c r="X416" s="87"/>
      <c r="Y416" s="8"/>
      <c r="Z416"/>
      <c r="AA416"/>
      <c r="AB416"/>
      <c r="AD416" s="42" t="str">
        <f>C416&amp;A416</f>
        <v>CONDUCAO E TRANSPORTEOper</v>
      </c>
      <c r="AE416" s="42" t="str">
        <f>IFERROR(VLOOKUP(C416,[34]Planilha1!$B:$C,2,0),"Não se Aplica")</f>
        <v>Sim</v>
      </c>
      <c r="AF416" s="42" t="str">
        <f>VLOOKUP(AD416,[34]Planilha1!$H:$J,3,0)</f>
        <v>Não</v>
      </c>
      <c r="AG416" s="43">
        <f t="shared" si="199"/>
        <v>600</v>
      </c>
    </row>
    <row r="417" spans="1:33" x14ac:dyDescent="0.3">
      <c r="A417" s="1" t="s">
        <v>836</v>
      </c>
      <c r="B417" s="65" t="s">
        <v>20</v>
      </c>
      <c r="C417" s="78" t="s">
        <v>408</v>
      </c>
      <c r="D417" s="79" t="s">
        <v>466</v>
      </c>
      <c r="E417" s="80" t="s">
        <v>467</v>
      </c>
      <c r="F417" s="81" t="s">
        <v>24</v>
      </c>
      <c r="G417" s="65" t="s">
        <v>32</v>
      </c>
      <c r="H417" s="81" t="s">
        <v>78</v>
      </c>
      <c r="I417" s="27">
        <v>200</v>
      </c>
      <c r="J417" s="27">
        <v>200</v>
      </c>
      <c r="K417" s="27">
        <v>200</v>
      </c>
      <c r="L417" s="27">
        <v>200</v>
      </c>
      <c r="M417" s="27">
        <v>200</v>
      </c>
      <c r="N417" s="27">
        <v>200</v>
      </c>
      <c r="O417" s="27">
        <v>200</v>
      </c>
      <c r="P417" s="27">
        <v>200</v>
      </c>
      <c r="Q417" s="27">
        <v>200</v>
      </c>
      <c r="R417" s="27">
        <v>200</v>
      </c>
      <c r="S417" s="27">
        <v>200</v>
      </c>
      <c r="T417" s="27">
        <v>200</v>
      </c>
      <c r="U417" s="27">
        <f t="shared" si="198"/>
        <v>2400</v>
      </c>
      <c r="V417" s="6"/>
      <c r="W417" s="6"/>
      <c r="X417" s="87"/>
      <c r="Y417" s="8"/>
      <c r="Z417"/>
      <c r="AA417"/>
      <c r="AB417"/>
      <c r="AD417" s="42" t="str">
        <f>C417&amp;A417</f>
        <v>PORTES/SELOS E TELEGRAMAS CORREIOSOper</v>
      </c>
      <c r="AE417" s="42" t="str">
        <f>IFERROR(VLOOKUP(C417,[34]Planilha1!$B:$C,2,0),"Não se Aplica")</f>
        <v>Sim</v>
      </c>
      <c r="AF417" s="42" t="str">
        <f>VLOOKUP(AD417,[34]Planilha1!$H:$J,3,0)</f>
        <v>Não</v>
      </c>
      <c r="AG417" s="43">
        <f t="shared" si="199"/>
        <v>2400</v>
      </c>
    </row>
    <row r="418" spans="1:33" x14ac:dyDescent="0.3">
      <c r="A418" s="1" t="s">
        <v>837</v>
      </c>
      <c r="B418" s="65" t="s">
        <v>28</v>
      </c>
      <c r="C418" s="78" t="s">
        <v>490</v>
      </c>
      <c r="D418" s="86" t="s">
        <v>506</v>
      </c>
      <c r="E418" s="86" t="s">
        <v>505</v>
      </c>
      <c r="F418" s="81" t="s">
        <v>253</v>
      </c>
      <c r="G418" s="65" t="s">
        <v>32</v>
      </c>
      <c r="H418" s="81" t="s">
        <v>507</v>
      </c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46">
        <f t="shared" si="198"/>
        <v>0</v>
      </c>
      <c r="V418" s="6"/>
      <c r="W418" s="6"/>
      <c r="X418" s="87"/>
      <c r="Y418" s="8"/>
      <c r="Z418"/>
      <c r="AA418"/>
      <c r="AB418"/>
      <c r="AD418" s="42" t="str">
        <f>C418&amp;A418</f>
        <v>CONDUCAO E TRANSPORTEAdm</v>
      </c>
      <c r="AE418" s="42" t="str">
        <f>IFERROR(VLOOKUP(C418,[34]Planilha1!$B:$C,2,0),"Não se Aplica")</f>
        <v>Sim</v>
      </c>
      <c r="AF418" s="42" t="str">
        <f>VLOOKUP(AD418,[34]Planilha1!$H:$J,3,0)</f>
        <v>Não</v>
      </c>
      <c r="AG418" s="43">
        <f t="shared" si="199"/>
        <v>0</v>
      </c>
    </row>
    <row r="419" spans="1:33" x14ac:dyDescent="0.3">
      <c r="A419" s="1" t="s">
        <v>837</v>
      </c>
      <c r="B419" s="65" t="s">
        <v>20</v>
      </c>
      <c r="C419" s="78" t="s">
        <v>496</v>
      </c>
      <c r="D419" s="79" t="s">
        <v>508</v>
      </c>
      <c r="E419" s="80" t="s">
        <v>508</v>
      </c>
      <c r="F419" s="81" t="s">
        <v>253</v>
      </c>
      <c r="G419" s="65" t="s">
        <v>32</v>
      </c>
      <c r="H419" s="81" t="s">
        <v>507</v>
      </c>
      <c r="I419" s="27">
        <v>60</v>
      </c>
      <c r="J419" s="27">
        <v>60</v>
      </c>
      <c r="K419" s="27">
        <v>60</v>
      </c>
      <c r="L419" s="27">
        <v>60</v>
      </c>
      <c r="M419" s="27">
        <v>60</v>
      </c>
      <c r="N419" s="27">
        <v>60</v>
      </c>
      <c r="O419" s="27">
        <v>60</v>
      </c>
      <c r="P419" s="27">
        <v>60</v>
      </c>
      <c r="Q419" s="27">
        <v>60</v>
      </c>
      <c r="R419" s="27">
        <v>60</v>
      </c>
      <c r="S419" s="27">
        <v>60</v>
      </c>
      <c r="T419" s="27">
        <v>60</v>
      </c>
      <c r="U419" s="27">
        <f t="shared" si="198"/>
        <v>720</v>
      </c>
      <c r="V419" s="6"/>
      <c r="W419" s="6"/>
      <c r="X419" s="87"/>
      <c r="Y419" s="8"/>
      <c r="Z419"/>
      <c r="AA419"/>
      <c r="AB419"/>
      <c r="AD419" s="42" t="str">
        <f>C419&amp;A419</f>
        <v>VIAGENSAdm</v>
      </c>
      <c r="AE419" s="42" t="str">
        <f>IFERROR(VLOOKUP(C419,[34]Planilha1!$B:$C,2,0),"Não se Aplica")</f>
        <v>Sim</v>
      </c>
      <c r="AF419" s="42" t="str">
        <f>VLOOKUP(AD419,[34]Planilha1!$H:$J,3,0)</f>
        <v>Não</v>
      </c>
      <c r="AG419" s="43">
        <f t="shared" si="199"/>
        <v>720</v>
      </c>
    </row>
    <row r="420" spans="1:33" x14ac:dyDescent="0.3">
      <c r="A420" s="1" t="s">
        <v>837</v>
      </c>
      <c r="B420" s="65" t="s">
        <v>20</v>
      </c>
      <c r="C420" s="78" t="s">
        <v>498</v>
      </c>
      <c r="D420" s="79" t="s">
        <v>509</v>
      </c>
      <c r="E420" s="80" t="s">
        <v>509</v>
      </c>
      <c r="F420" s="81" t="s">
        <v>253</v>
      </c>
      <c r="G420" s="65" t="s">
        <v>32</v>
      </c>
      <c r="H420" s="81" t="s">
        <v>507</v>
      </c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>
        <f t="shared" si="198"/>
        <v>0</v>
      </c>
      <c r="V420" s="6"/>
      <c r="W420" s="6"/>
      <c r="X420" s="87"/>
      <c r="Y420" s="8"/>
      <c r="Z420"/>
      <c r="AA420"/>
      <c r="AB420"/>
      <c r="AD420" s="42" t="str">
        <f>C420&amp;A420</f>
        <v>BENS DE PEQUENO VALORAdm</v>
      </c>
      <c r="AE420" s="42" t="str">
        <f>IFERROR(VLOOKUP(C420,[34]Planilha1!$B:$C,2,0),"Não se Aplica")</f>
        <v>Sim</v>
      </c>
      <c r="AF420" s="42" t="str">
        <f>VLOOKUP(AD420,[34]Planilha1!$H:$J,3,0)</f>
        <v>Não</v>
      </c>
      <c r="AG420" s="43">
        <f t="shared" si="199"/>
        <v>0</v>
      </c>
    </row>
    <row r="421" spans="1:33" x14ac:dyDescent="0.3">
      <c r="A421" s="1" t="s">
        <v>836</v>
      </c>
      <c r="B421" s="81" t="s">
        <v>20</v>
      </c>
      <c r="C421" s="78" t="s">
        <v>210</v>
      </c>
      <c r="D421" s="89" t="s">
        <v>510</v>
      </c>
      <c r="E421" s="90" t="s">
        <v>511</v>
      </c>
      <c r="F421" s="91" t="s">
        <v>60</v>
      </c>
      <c r="G421" s="81" t="s">
        <v>32</v>
      </c>
      <c r="H421" s="81" t="s">
        <v>85</v>
      </c>
      <c r="I421" s="27"/>
      <c r="J421" s="27">
        <v>310</v>
      </c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>
        <f t="shared" si="198"/>
        <v>310</v>
      </c>
      <c r="V421" s="6"/>
      <c r="W421" s="6"/>
      <c r="X421" s="87"/>
      <c r="Y421" s="8"/>
      <c r="Z421"/>
      <c r="AA421"/>
      <c r="AB421"/>
      <c r="AD421" s="42" t="str">
        <f>C421&amp;A421</f>
        <v>CERTIFICACAO/QUALIDADEOper</v>
      </c>
      <c r="AE421" s="42" t="str">
        <f>IFERROR(VLOOKUP(C421,[34]Planilha1!$B:$C,2,0),"Não se Aplica")</f>
        <v>Sim</v>
      </c>
      <c r="AF421" s="42" t="str">
        <f>VLOOKUP(AD421,[34]Planilha1!$H:$J,3,0)</f>
        <v>Não</v>
      </c>
      <c r="AG421" s="43">
        <f t="shared" si="199"/>
        <v>310</v>
      </c>
    </row>
    <row r="422" spans="1:33" x14ac:dyDescent="0.3">
      <c r="A422" s="1" t="s">
        <v>836</v>
      </c>
      <c r="B422" s="81" t="s">
        <v>20</v>
      </c>
      <c r="C422" s="78" t="s">
        <v>87</v>
      </c>
      <c r="D422" s="89" t="s">
        <v>512</v>
      </c>
      <c r="E422" s="90"/>
      <c r="F422" s="91" t="s">
        <v>23</v>
      </c>
      <c r="G422" s="81" t="s">
        <v>32</v>
      </c>
      <c r="H422" s="81" t="s">
        <v>85</v>
      </c>
      <c r="I422" s="27">
        <v>4484</v>
      </c>
      <c r="J422" s="27">
        <v>4484</v>
      </c>
      <c r="K422" s="27">
        <v>4484</v>
      </c>
      <c r="L422" s="27">
        <v>4484</v>
      </c>
      <c r="M422" s="27">
        <v>4484</v>
      </c>
      <c r="N422" s="27">
        <v>4484</v>
      </c>
      <c r="O422" s="27">
        <v>4484</v>
      </c>
      <c r="P422" s="27">
        <v>4484</v>
      </c>
      <c r="Q422" s="27">
        <v>4484</v>
      </c>
      <c r="R422" s="27">
        <v>4484</v>
      </c>
      <c r="S422" s="27">
        <v>4484</v>
      </c>
      <c r="T422" s="27">
        <v>4484</v>
      </c>
      <c r="U422" s="27">
        <f t="shared" si="198"/>
        <v>53808</v>
      </c>
      <c r="V422" s="6"/>
      <c r="W422" s="6"/>
      <c r="X422" s="87"/>
      <c r="Y422" s="8"/>
      <c r="Z422"/>
      <c r="AA422"/>
      <c r="AB422"/>
      <c r="AD422" s="42" t="str">
        <f>C422&amp;A422</f>
        <v>LIMPEZAOper</v>
      </c>
      <c r="AE422" s="42" t="str">
        <f>IFERROR(VLOOKUP(C422,[34]Planilha1!$B:$C,2,0),"Não se Aplica")</f>
        <v>Sim</v>
      </c>
      <c r="AF422" s="42" t="str">
        <f>VLOOKUP(AD422,[34]Planilha1!$H:$J,3,0)</f>
        <v>Sim</v>
      </c>
      <c r="AG422" s="43">
        <f t="shared" si="199"/>
        <v>48830.76</v>
      </c>
    </row>
    <row r="423" spans="1:33" x14ac:dyDescent="0.3">
      <c r="A423" s="1" t="s">
        <v>836</v>
      </c>
      <c r="B423" s="81" t="s">
        <v>20</v>
      </c>
      <c r="C423" s="78" t="s">
        <v>490</v>
      </c>
      <c r="D423" s="89" t="s">
        <v>490</v>
      </c>
      <c r="E423" s="90"/>
      <c r="F423" s="91" t="s">
        <v>23</v>
      </c>
      <c r="G423" s="81" t="s">
        <v>32</v>
      </c>
      <c r="H423" s="81" t="s">
        <v>85</v>
      </c>
      <c r="I423" s="27">
        <v>900</v>
      </c>
      <c r="J423" s="27">
        <v>900</v>
      </c>
      <c r="K423" s="27">
        <v>900</v>
      </c>
      <c r="L423" s="27">
        <v>900</v>
      </c>
      <c r="M423" s="27">
        <v>900</v>
      </c>
      <c r="N423" s="27">
        <v>900</v>
      </c>
      <c r="O423" s="27">
        <v>900</v>
      </c>
      <c r="P423" s="27">
        <v>900</v>
      </c>
      <c r="Q423" s="27">
        <v>900</v>
      </c>
      <c r="R423" s="27">
        <v>900</v>
      </c>
      <c r="S423" s="27">
        <v>900</v>
      </c>
      <c r="T423" s="27">
        <v>900</v>
      </c>
      <c r="U423" s="27">
        <f t="shared" si="198"/>
        <v>10800</v>
      </c>
      <c r="V423" s="6"/>
      <c r="W423" s="6"/>
      <c r="X423" s="87"/>
      <c r="Y423" s="8"/>
      <c r="Z423"/>
      <c r="AA423"/>
      <c r="AB423"/>
      <c r="AD423" s="42" t="str">
        <f>C423&amp;A423</f>
        <v>CONDUCAO E TRANSPORTEOper</v>
      </c>
      <c r="AE423" s="42" t="str">
        <f>IFERROR(VLOOKUP(C423,[34]Planilha1!$B:$C,2,0),"Não se Aplica")</f>
        <v>Sim</v>
      </c>
      <c r="AF423" s="42" t="str">
        <f>VLOOKUP(AD423,[34]Planilha1!$H:$J,3,0)</f>
        <v>Não</v>
      </c>
      <c r="AG423" s="43">
        <f t="shared" si="199"/>
        <v>10800</v>
      </c>
    </row>
    <row r="424" spans="1:33" x14ac:dyDescent="0.3">
      <c r="A424" s="1" t="s">
        <v>836</v>
      </c>
      <c r="B424" s="81" t="s">
        <v>20</v>
      </c>
      <c r="C424" s="78" t="s">
        <v>492</v>
      </c>
      <c r="D424" s="89" t="s">
        <v>492</v>
      </c>
      <c r="E424" s="90"/>
      <c r="F424" s="91" t="s">
        <v>23</v>
      </c>
      <c r="G424" s="81" t="s">
        <v>32</v>
      </c>
      <c r="H424" s="81" t="s">
        <v>85</v>
      </c>
      <c r="I424" s="27">
        <v>50</v>
      </c>
      <c r="J424" s="27">
        <v>50</v>
      </c>
      <c r="K424" s="27">
        <v>50</v>
      </c>
      <c r="L424" s="27">
        <v>50</v>
      </c>
      <c r="M424" s="27">
        <v>50</v>
      </c>
      <c r="N424" s="27">
        <v>50</v>
      </c>
      <c r="O424" s="27">
        <v>50</v>
      </c>
      <c r="P424" s="27">
        <v>50</v>
      </c>
      <c r="Q424" s="27">
        <v>50</v>
      </c>
      <c r="R424" s="27">
        <v>50</v>
      </c>
      <c r="S424" s="27">
        <v>50</v>
      </c>
      <c r="T424" s="27">
        <v>50</v>
      </c>
      <c r="U424" s="27">
        <f t="shared" si="198"/>
        <v>600</v>
      </c>
      <c r="V424" s="6"/>
      <c r="W424" s="6"/>
      <c r="X424" s="87"/>
      <c r="Y424" s="8"/>
      <c r="Z424"/>
      <c r="AA424"/>
      <c r="AB424"/>
      <c r="AD424" s="42" t="str">
        <f>C424&amp;A424</f>
        <v>COPA E REFEICOES/ESTADIASOper</v>
      </c>
      <c r="AE424" s="42" t="str">
        <f>IFERROR(VLOOKUP(C424,[34]Planilha1!$B:$C,2,0),"Não se Aplica")</f>
        <v>Sim</v>
      </c>
      <c r="AF424" s="42" t="str">
        <f>VLOOKUP(AD424,[34]Planilha1!$H:$J,3,0)</f>
        <v>Não</v>
      </c>
      <c r="AG424" s="43">
        <f t="shared" si="199"/>
        <v>600</v>
      </c>
    </row>
    <row r="425" spans="1:33" x14ac:dyDescent="0.3">
      <c r="A425" s="1" t="s">
        <v>836</v>
      </c>
      <c r="B425" s="81" t="s">
        <v>28</v>
      </c>
      <c r="C425" s="78" t="s">
        <v>87</v>
      </c>
      <c r="D425" s="89" t="s">
        <v>513</v>
      </c>
      <c r="E425" s="90"/>
      <c r="F425" s="91" t="s">
        <v>23</v>
      </c>
      <c r="G425" s="81" t="s">
        <v>32</v>
      </c>
      <c r="H425" s="81" t="s">
        <v>85</v>
      </c>
      <c r="I425" s="27"/>
      <c r="J425" s="27"/>
      <c r="K425" s="27"/>
      <c r="L425" s="27"/>
      <c r="M425" s="27"/>
      <c r="N425" s="27"/>
      <c r="O425" s="27"/>
      <c r="P425" s="27">
        <v>1000</v>
      </c>
      <c r="Q425" s="27"/>
      <c r="R425" s="27"/>
      <c r="S425" s="27"/>
      <c r="T425" s="27"/>
      <c r="U425" s="27">
        <f t="shared" si="198"/>
        <v>1000</v>
      </c>
      <c r="V425" s="6"/>
      <c r="W425" s="6"/>
      <c r="X425" s="87"/>
      <c r="Y425" s="8"/>
      <c r="Z425"/>
      <c r="AA425"/>
      <c r="AB425"/>
      <c r="AD425" s="42" t="str">
        <f>C425&amp;A425</f>
        <v>LIMPEZAOper</v>
      </c>
      <c r="AE425" s="42" t="str">
        <f>IFERROR(VLOOKUP(C425,[34]Planilha1!$B:$C,2,0),"Não se Aplica")</f>
        <v>Sim</v>
      </c>
      <c r="AF425" s="42" t="str">
        <f>VLOOKUP(AD425,[34]Planilha1!$H:$J,3,0)</f>
        <v>Sim</v>
      </c>
      <c r="AG425" s="43">
        <f t="shared" si="199"/>
        <v>907.5</v>
      </c>
    </row>
    <row r="426" spans="1:33" x14ac:dyDescent="0.3">
      <c r="A426" s="1" t="s">
        <v>836</v>
      </c>
      <c r="B426" s="81" t="s">
        <v>20</v>
      </c>
      <c r="C426" s="78" t="s">
        <v>161</v>
      </c>
      <c r="D426" s="89" t="s">
        <v>514</v>
      </c>
      <c r="E426" s="90"/>
      <c r="F426" s="91" t="s">
        <v>60</v>
      </c>
      <c r="G426" s="81" t="s">
        <v>32</v>
      </c>
      <c r="H426" s="81" t="s">
        <v>85</v>
      </c>
      <c r="I426" s="27"/>
      <c r="J426" s="27"/>
      <c r="K426" s="27"/>
      <c r="L426" s="27">
        <v>2000</v>
      </c>
      <c r="M426" s="27">
        <v>2000</v>
      </c>
      <c r="N426" s="27">
        <v>2000</v>
      </c>
      <c r="O426" s="27"/>
      <c r="P426" s="27"/>
      <c r="Q426" s="27"/>
      <c r="R426" s="27"/>
      <c r="S426" s="27"/>
      <c r="T426" s="27"/>
      <c r="U426" s="27">
        <f t="shared" si="198"/>
        <v>6000</v>
      </c>
      <c r="V426" s="6"/>
      <c r="W426" s="6"/>
      <c r="X426" s="87"/>
      <c r="Y426" s="8"/>
      <c r="Z426"/>
      <c r="AA426"/>
      <c r="AB426"/>
      <c r="AD426" s="42" t="str">
        <f>C426&amp;A426</f>
        <v>CONSERVACAO DE PREDIOSOper</v>
      </c>
      <c r="AE426" s="42" t="str">
        <f>IFERROR(VLOOKUP(C426,[34]Planilha1!$B:$C,2,0),"Não se Aplica")</f>
        <v>Sim</v>
      </c>
      <c r="AF426" s="42" t="str">
        <f>VLOOKUP(AD426,[34]Planilha1!$H:$J,3,0)</f>
        <v>Sim</v>
      </c>
      <c r="AG426" s="43">
        <f t="shared" si="199"/>
        <v>5445</v>
      </c>
    </row>
    <row r="427" spans="1:33" x14ac:dyDescent="0.3">
      <c r="A427" s="1" t="s">
        <v>836</v>
      </c>
      <c r="B427" s="81" t="s">
        <v>20</v>
      </c>
      <c r="C427" s="78" t="s">
        <v>435</v>
      </c>
      <c r="D427" s="89" t="s">
        <v>515</v>
      </c>
      <c r="E427" s="90"/>
      <c r="F427" s="91" t="s">
        <v>23</v>
      </c>
      <c r="G427" s="81" t="s">
        <v>22</v>
      </c>
      <c r="H427" s="81" t="s">
        <v>85</v>
      </c>
      <c r="I427" s="27">
        <v>0</v>
      </c>
      <c r="J427" s="27">
        <v>0</v>
      </c>
      <c r="K427" s="27">
        <v>0</v>
      </c>
      <c r="L427" s="27">
        <v>0</v>
      </c>
      <c r="M427" s="27">
        <v>0</v>
      </c>
      <c r="N427" s="27">
        <v>0</v>
      </c>
      <c r="O427" s="27">
        <v>0</v>
      </c>
      <c r="P427" s="27">
        <v>0</v>
      </c>
      <c r="Q427" s="27">
        <v>0</v>
      </c>
      <c r="R427" s="27">
        <v>0</v>
      </c>
      <c r="S427" s="27">
        <v>1785.7142857142858</v>
      </c>
      <c r="T427" s="27">
        <v>0</v>
      </c>
      <c r="U427" s="27">
        <f t="shared" si="198"/>
        <v>1785.7142857142858</v>
      </c>
      <c r="V427" s="6"/>
      <c r="W427" s="6"/>
      <c r="X427" s="87"/>
      <c r="Y427" s="8"/>
      <c r="Z427"/>
      <c r="AA427"/>
      <c r="AB427"/>
      <c r="AD427" s="42" t="str">
        <f>C427&amp;A427</f>
        <v>FEIRAS EVENTOS E CONFRATERNIZACOESOper</v>
      </c>
      <c r="AE427" s="42" t="str">
        <f>IFERROR(VLOOKUP(C427,[34]Planilha1!$B:$C,2,0),"Não se Aplica")</f>
        <v>Sim</v>
      </c>
      <c r="AF427" s="42" t="str">
        <f>VLOOKUP(AD427,[34]Planilha1!$H:$J,3,0)</f>
        <v>Não</v>
      </c>
      <c r="AG427" s="43">
        <f t="shared" si="199"/>
        <v>1785.7142857142858</v>
      </c>
    </row>
    <row r="428" spans="1:33" x14ac:dyDescent="0.3">
      <c r="A428" s="1" t="s">
        <v>836</v>
      </c>
      <c r="B428" s="81" t="s">
        <v>28</v>
      </c>
      <c r="C428" s="78" t="s">
        <v>435</v>
      </c>
      <c r="D428" s="89" t="s">
        <v>516</v>
      </c>
      <c r="E428" s="90"/>
      <c r="F428" s="91" t="s">
        <v>23</v>
      </c>
      <c r="G428" s="81" t="s">
        <v>22</v>
      </c>
      <c r="H428" s="81" t="s">
        <v>85</v>
      </c>
      <c r="I428" s="27">
        <v>0</v>
      </c>
      <c r="J428" s="27">
        <v>0</v>
      </c>
      <c r="K428" s="27">
        <v>0</v>
      </c>
      <c r="L428" s="27">
        <v>0</v>
      </c>
      <c r="M428" s="27">
        <v>0</v>
      </c>
      <c r="N428" s="27">
        <v>0</v>
      </c>
      <c r="O428" s="27">
        <v>3125</v>
      </c>
      <c r="P428" s="27">
        <v>0</v>
      </c>
      <c r="Q428" s="27">
        <v>0</v>
      </c>
      <c r="R428" s="27">
        <v>0</v>
      </c>
      <c r="S428" s="27">
        <v>0</v>
      </c>
      <c r="T428" s="27">
        <v>0</v>
      </c>
      <c r="U428" s="27">
        <f t="shared" si="198"/>
        <v>3125</v>
      </c>
      <c r="V428" s="6"/>
      <c r="W428" s="6"/>
      <c r="X428" s="87"/>
      <c r="Y428" s="8"/>
      <c r="Z428"/>
      <c r="AA428"/>
      <c r="AB428"/>
      <c r="AD428" s="42" t="str">
        <f>C428&amp;A428</f>
        <v>FEIRAS EVENTOS E CONFRATERNIZACOESOper</v>
      </c>
      <c r="AE428" s="42" t="str">
        <f>IFERROR(VLOOKUP(C428,[34]Planilha1!$B:$C,2,0),"Não se Aplica")</f>
        <v>Sim</v>
      </c>
      <c r="AF428" s="42" t="str">
        <f>VLOOKUP(AD428,[34]Planilha1!$H:$J,3,0)</f>
        <v>Não</v>
      </c>
      <c r="AG428" s="43">
        <f t="shared" ref="AG428:AG484" si="200">IF(AF428="Sim", U428 * 0.9075, U428)</f>
        <v>3125</v>
      </c>
    </row>
    <row r="429" spans="1:33" x14ac:dyDescent="0.3">
      <c r="A429" s="1" t="s">
        <v>836</v>
      </c>
      <c r="B429" s="81" t="s">
        <v>20</v>
      </c>
      <c r="C429" s="78" t="s">
        <v>161</v>
      </c>
      <c r="D429" s="89" t="s">
        <v>517</v>
      </c>
      <c r="E429" s="86"/>
      <c r="F429" s="91" t="s">
        <v>23</v>
      </c>
      <c r="G429" s="81" t="s">
        <v>32</v>
      </c>
      <c r="H429" s="81" t="s">
        <v>85</v>
      </c>
      <c r="I429" s="27">
        <v>500</v>
      </c>
      <c r="J429" s="27">
        <v>500</v>
      </c>
      <c r="K429" s="27">
        <v>500</v>
      </c>
      <c r="L429" s="27">
        <v>500</v>
      </c>
      <c r="M429" s="27">
        <v>500</v>
      </c>
      <c r="N429" s="27">
        <v>500</v>
      </c>
      <c r="O429" s="27">
        <v>500</v>
      </c>
      <c r="P429" s="27">
        <v>500</v>
      </c>
      <c r="Q429" s="27">
        <v>500</v>
      </c>
      <c r="R429" s="27">
        <v>500</v>
      </c>
      <c r="S429" s="27">
        <v>500</v>
      </c>
      <c r="T429" s="27">
        <v>500</v>
      </c>
      <c r="U429" s="27">
        <f t="shared" si="198"/>
        <v>6000</v>
      </c>
      <c r="V429" s="6"/>
      <c r="W429" s="6"/>
      <c r="X429" s="87"/>
      <c r="Y429" s="8"/>
      <c r="Z429"/>
      <c r="AA429"/>
      <c r="AB429"/>
      <c r="AD429" s="42" t="str">
        <f>C429&amp;A429</f>
        <v>CONSERVACAO DE PREDIOSOper</v>
      </c>
      <c r="AE429" s="42" t="str">
        <f>IFERROR(VLOOKUP(C429,[34]Planilha1!$B:$C,2,0),"Não se Aplica")</f>
        <v>Sim</v>
      </c>
      <c r="AF429" s="42" t="str">
        <f>VLOOKUP(AD429,[34]Planilha1!$H:$J,3,0)</f>
        <v>Sim</v>
      </c>
      <c r="AG429" s="43">
        <f t="shared" si="200"/>
        <v>5445</v>
      </c>
    </row>
    <row r="430" spans="1:33" x14ac:dyDescent="0.3">
      <c r="A430" s="1" t="s">
        <v>836</v>
      </c>
      <c r="B430" s="81" t="s">
        <v>20</v>
      </c>
      <c r="C430" s="78" t="s">
        <v>161</v>
      </c>
      <c r="D430" s="89" t="s">
        <v>518</v>
      </c>
      <c r="E430" s="90"/>
      <c r="F430" s="91" t="s">
        <v>23</v>
      </c>
      <c r="G430" s="81" t="s">
        <v>32</v>
      </c>
      <c r="H430" s="81" t="s">
        <v>85</v>
      </c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27">
        <f t="shared" si="198"/>
        <v>0</v>
      </c>
      <c r="V430" s="6"/>
      <c r="W430" s="6"/>
      <c r="X430" s="87"/>
      <c r="Y430" s="8"/>
      <c r="Z430"/>
      <c r="AA430"/>
      <c r="AB430"/>
      <c r="AD430" s="42" t="str">
        <f>C430&amp;A430</f>
        <v>CONSERVACAO DE PREDIOSOper</v>
      </c>
      <c r="AE430" s="42" t="str">
        <f>IFERROR(VLOOKUP(C430,[34]Planilha1!$B:$C,2,0),"Não se Aplica")</f>
        <v>Sim</v>
      </c>
      <c r="AF430" s="42" t="str">
        <f>VLOOKUP(AD430,[34]Planilha1!$H:$J,3,0)</f>
        <v>Sim</v>
      </c>
      <c r="AG430" s="43">
        <f t="shared" si="200"/>
        <v>0</v>
      </c>
    </row>
    <row r="431" spans="1:33" x14ac:dyDescent="0.3">
      <c r="A431" s="1" t="s">
        <v>836</v>
      </c>
      <c r="B431" s="81" t="s">
        <v>20</v>
      </c>
      <c r="C431" s="78" t="s">
        <v>435</v>
      </c>
      <c r="D431" s="89" t="s">
        <v>519</v>
      </c>
      <c r="E431" s="90"/>
      <c r="F431" s="91" t="s">
        <v>23</v>
      </c>
      <c r="G431" s="81" t="s">
        <v>22</v>
      </c>
      <c r="H431" s="81" t="s">
        <v>85</v>
      </c>
      <c r="I431" s="27">
        <v>0</v>
      </c>
      <c r="J431" s="27">
        <v>0</v>
      </c>
      <c r="K431" s="27">
        <v>0</v>
      </c>
      <c r="L431" s="27">
        <v>0</v>
      </c>
      <c r="M431" s="27">
        <v>0</v>
      </c>
      <c r="N431" s="27">
        <v>892.85714285714289</v>
      </c>
      <c r="O431" s="27">
        <v>0</v>
      </c>
      <c r="P431" s="27">
        <v>0</v>
      </c>
      <c r="Q431" s="27">
        <v>0</v>
      </c>
      <c r="R431" s="27">
        <v>0</v>
      </c>
      <c r="S431" s="27">
        <v>0</v>
      </c>
      <c r="T431" s="27">
        <v>0</v>
      </c>
      <c r="U431" s="27">
        <f t="shared" ref="U431:U489" si="201">SUM(I431:T431)</f>
        <v>892.85714285714289</v>
      </c>
      <c r="V431" s="6"/>
      <c r="W431" s="6"/>
      <c r="X431" s="87"/>
      <c r="Y431" s="8"/>
      <c r="Z431"/>
      <c r="AA431"/>
      <c r="AB431"/>
      <c r="AD431" s="42" t="str">
        <f>C431&amp;A431</f>
        <v>FEIRAS EVENTOS E CONFRATERNIZACOESOper</v>
      </c>
      <c r="AE431" s="42" t="str">
        <f>IFERROR(VLOOKUP(C431,[34]Planilha1!$B:$C,2,0),"Não se Aplica")</f>
        <v>Sim</v>
      </c>
      <c r="AF431" s="42" t="str">
        <f>VLOOKUP(AD431,[34]Planilha1!$H:$J,3,0)</f>
        <v>Não</v>
      </c>
      <c r="AG431" s="43">
        <f t="shared" si="200"/>
        <v>892.85714285714289</v>
      </c>
    </row>
    <row r="432" spans="1:33" x14ac:dyDescent="0.3">
      <c r="A432" s="1" t="s">
        <v>836</v>
      </c>
      <c r="B432" s="81" t="s">
        <v>20</v>
      </c>
      <c r="C432" s="78" t="s">
        <v>435</v>
      </c>
      <c r="D432" s="89" t="s">
        <v>520</v>
      </c>
      <c r="E432" s="90"/>
      <c r="F432" s="91" t="s">
        <v>23</v>
      </c>
      <c r="G432" s="81" t="s">
        <v>32</v>
      </c>
      <c r="H432" s="81" t="s">
        <v>85</v>
      </c>
      <c r="I432" s="27">
        <v>0</v>
      </c>
      <c r="J432" s="27">
        <v>0</v>
      </c>
      <c r="K432" s="27">
        <v>0</v>
      </c>
      <c r="L432" s="27">
        <v>0</v>
      </c>
      <c r="M432" s="27">
        <v>0</v>
      </c>
      <c r="N432" s="27">
        <v>1785.7142857142858</v>
      </c>
      <c r="O432" s="27">
        <v>0</v>
      </c>
      <c r="P432" s="27">
        <v>0</v>
      </c>
      <c r="Q432" s="27">
        <v>0</v>
      </c>
      <c r="R432" s="27">
        <v>0</v>
      </c>
      <c r="S432" s="27">
        <v>0</v>
      </c>
      <c r="T432" s="27">
        <v>0</v>
      </c>
      <c r="U432" s="27">
        <f t="shared" si="201"/>
        <v>1785.7142857142858</v>
      </c>
      <c r="V432" s="6"/>
      <c r="W432" s="6"/>
      <c r="X432" s="87"/>
      <c r="Y432" s="8"/>
      <c r="Z432"/>
      <c r="AA432"/>
      <c r="AB432"/>
      <c r="AD432" s="42" t="str">
        <f>C432&amp;A432</f>
        <v>FEIRAS EVENTOS E CONFRATERNIZACOESOper</v>
      </c>
      <c r="AE432" s="42" t="str">
        <f>IFERROR(VLOOKUP(C432,[34]Planilha1!$B:$C,2,0),"Não se Aplica")</f>
        <v>Sim</v>
      </c>
      <c r="AF432" s="42" t="str">
        <f>VLOOKUP(AD432,[34]Planilha1!$H:$J,3,0)</f>
        <v>Não</v>
      </c>
      <c r="AG432" s="43">
        <f t="shared" si="200"/>
        <v>1785.7142857142858</v>
      </c>
    </row>
    <row r="433" spans="1:33" x14ac:dyDescent="0.3">
      <c r="A433" s="1" t="s">
        <v>836</v>
      </c>
      <c r="B433" s="81" t="s">
        <v>20</v>
      </c>
      <c r="C433" s="78" t="s">
        <v>161</v>
      </c>
      <c r="D433" s="89" t="s">
        <v>521</v>
      </c>
      <c r="E433" s="90"/>
      <c r="F433" s="91" t="s">
        <v>23</v>
      </c>
      <c r="G433" s="81" t="s">
        <v>32</v>
      </c>
      <c r="H433" s="81" t="s">
        <v>85</v>
      </c>
      <c r="I433" s="27"/>
      <c r="J433" s="27"/>
      <c r="K433" s="27"/>
      <c r="L433" s="27"/>
      <c r="M433" s="27"/>
      <c r="N433" s="27"/>
      <c r="O433" s="27">
        <v>1052.8202022854284</v>
      </c>
      <c r="P433" s="27"/>
      <c r="Q433" s="27"/>
      <c r="R433" s="27"/>
      <c r="S433" s="27"/>
      <c r="T433" s="27"/>
      <c r="U433" s="27">
        <f t="shared" si="201"/>
        <v>1052.8202022854284</v>
      </c>
      <c r="V433" s="6"/>
      <c r="W433" s="6"/>
      <c r="X433" s="87"/>
      <c r="Y433" s="8"/>
      <c r="Z433"/>
      <c r="AA433"/>
      <c r="AB433"/>
      <c r="AD433" s="42" t="str">
        <f>C433&amp;A433</f>
        <v>CONSERVACAO DE PREDIOSOper</v>
      </c>
      <c r="AE433" s="42" t="str">
        <f>IFERROR(VLOOKUP(C433,[34]Planilha1!$B:$C,2,0),"Não se Aplica")</f>
        <v>Sim</v>
      </c>
      <c r="AF433" s="42" t="str">
        <f>VLOOKUP(AD433,[34]Planilha1!$H:$J,3,0)</f>
        <v>Sim</v>
      </c>
      <c r="AG433" s="43">
        <f t="shared" si="200"/>
        <v>955.43433357402625</v>
      </c>
    </row>
    <row r="434" spans="1:33" x14ac:dyDescent="0.3">
      <c r="A434" s="1" t="s">
        <v>836</v>
      </c>
      <c r="B434" s="81" t="s">
        <v>28</v>
      </c>
      <c r="C434" s="78" t="s">
        <v>498</v>
      </c>
      <c r="D434" s="89" t="s">
        <v>522</v>
      </c>
      <c r="E434" s="86"/>
      <c r="F434" s="91" t="s">
        <v>23</v>
      </c>
      <c r="G434" s="81" t="s">
        <v>32</v>
      </c>
      <c r="H434" s="81" t="s">
        <v>85</v>
      </c>
      <c r="I434" s="27"/>
      <c r="J434" s="27"/>
      <c r="K434" s="27"/>
      <c r="L434" s="27"/>
      <c r="M434" s="27">
        <v>200</v>
      </c>
      <c r="N434" s="27"/>
      <c r="O434" s="27"/>
      <c r="P434" s="27"/>
      <c r="Q434" s="27"/>
      <c r="R434" s="27"/>
      <c r="S434" s="27">
        <v>200</v>
      </c>
      <c r="T434" s="27"/>
      <c r="U434" s="27">
        <f t="shared" si="201"/>
        <v>400</v>
      </c>
      <c r="V434" s="6"/>
      <c r="W434" s="6"/>
      <c r="X434" s="87"/>
      <c r="Y434" s="8"/>
      <c r="Z434"/>
      <c r="AA434"/>
      <c r="AB434"/>
      <c r="AD434" s="42" t="str">
        <f>C434&amp;A434</f>
        <v>BENS DE PEQUENO VALOROper</v>
      </c>
      <c r="AE434" s="42" t="str">
        <f>IFERROR(VLOOKUP(C434,[34]Planilha1!$B:$C,2,0),"Não se Aplica")</f>
        <v>Sim</v>
      </c>
      <c r="AF434" s="42" t="str">
        <f>VLOOKUP(AD434,[34]Planilha1!$H:$J,3,0)</f>
        <v>Não</v>
      </c>
      <c r="AG434" s="43">
        <f t="shared" si="200"/>
        <v>400</v>
      </c>
    </row>
    <row r="435" spans="1:33" x14ac:dyDescent="0.3">
      <c r="A435" s="1" t="s">
        <v>836</v>
      </c>
      <c r="B435" s="81" t="s">
        <v>20</v>
      </c>
      <c r="C435" s="78" t="s">
        <v>498</v>
      </c>
      <c r="D435" s="89" t="s">
        <v>522</v>
      </c>
      <c r="E435" s="90"/>
      <c r="F435" s="91" t="s">
        <v>23</v>
      </c>
      <c r="G435" s="81" t="s">
        <v>32</v>
      </c>
      <c r="H435" s="81" t="s">
        <v>85</v>
      </c>
      <c r="I435" s="27"/>
      <c r="J435" s="27"/>
      <c r="K435" s="27"/>
      <c r="L435" s="27"/>
      <c r="M435" s="27">
        <v>800</v>
      </c>
      <c r="N435" s="27"/>
      <c r="O435" s="27"/>
      <c r="P435" s="27"/>
      <c r="Q435" s="27"/>
      <c r="R435" s="27"/>
      <c r="S435" s="27">
        <v>800</v>
      </c>
      <c r="T435" s="27"/>
      <c r="U435" s="27">
        <f t="shared" si="201"/>
        <v>1600</v>
      </c>
      <c r="V435" s="6"/>
      <c r="W435" s="6"/>
      <c r="X435" s="87"/>
      <c r="Y435" s="8"/>
      <c r="Z435"/>
      <c r="AA435"/>
      <c r="AB435"/>
      <c r="AD435" s="42" t="str">
        <f>C435&amp;A435</f>
        <v>BENS DE PEQUENO VALOROper</v>
      </c>
      <c r="AE435" s="42" t="str">
        <f>IFERROR(VLOOKUP(C435,[34]Planilha1!$B:$C,2,0),"Não se Aplica")</f>
        <v>Sim</v>
      </c>
      <c r="AF435" s="42" t="str">
        <f>VLOOKUP(AD435,[34]Planilha1!$H:$J,3,0)</f>
        <v>Não</v>
      </c>
      <c r="AG435" s="43">
        <f t="shared" si="200"/>
        <v>1600</v>
      </c>
    </row>
    <row r="436" spans="1:33" x14ac:dyDescent="0.3">
      <c r="A436" s="1" t="s">
        <v>836</v>
      </c>
      <c r="B436" s="81" t="s">
        <v>20</v>
      </c>
      <c r="C436" s="78" t="s">
        <v>57</v>
      </c>
      <c r="D436" s="89" t="s">
        <v>523</v>
      </c>
      <c r="E436" s="90"/>
      <c r="F436" s="91" t="s">
        <v>60</v>
      </c>
      <c r="G436" s="81" t="s">
        <v>32</v>
      </c>
      <c r="H436" s="81" t="s">
        <v>85</v>
      </c>
      <c r="I436" s="27"/>
      <c r="J436" s="27"/>
      <c r="K436" s="27"/>
      <c r="L436" s="27"/>
      <c r="M436" s="27"/>
      <c r="N436" s="27"/>
      <c r="O436" s="27">
        <v>4200</v>
      </c>
      <c r="P436" s="27"/>
      <c r="Q436" s="27"/>
      <c r="R436" s="27"/>
      <c r="S436" s="27"/>
      <c r="T436" s="27"/>
      <c r="U436" s="27">
        <f t="shared" si="201"/>
        <v>4200</v>
      </c>
      <c r="V436" s="6"/>
      <c r="W436" s="6"/>
      <c r="X436" s="87"/>
      <c r="Y436" s="8"/>
      <c r="Z436"/>
      <c r="AA436"/>
      <c r="AB436"/>
      <c r="AD436" s="42" t="str">
        <f>C436&amp;A436</f>
        <v>AUDITORIA/CONSULTORIAOper</v>
      </c>
      <c r="AE436" s="42" t="str">
        <f>IFERROR(VLOOKUP(C436,[34]Planilha1!$B:$C,2,0),"Não se Aplica")</f>
        <v>Sim</v>
      </c>
      <c r="AF436" s="42" t="str">
        <f>VLOOKUP(AD436,[34]Planilha1!$H:$J,3,0)</f>
        <v>Não</v>
      </c>
      <c r="AG436" s="43">
        <f t="shared" si="200"/>
        <v>4200</v>
      </c>
    </row>
    <row r="437" spans="1:33" x14ac:dyDescent="0.3">
      <c r="A437" s="1" t="s">
        <v>836</v>
      </c>
      <c r="B437" s="81" t="s">
        <v>20</v>
      </c>
      <c r="C437" s="78" t="s">
        <v>87</v>
      </c>
      <c r="D437" s="89" t="s">
        <v>524</v>
      </c>
      <c r="E437" s="90"/>
      <c r="F437" s="91" t="s">
        <v>23</v>
      </c>
      <c r="G437" s="81" t="s">
        <v>32</v>
      </c>
      <c r="H437" s="81" t="s">
        <v>85</v>
      </c>
      <c r="I437" s="27"/>
      <c r="J437" s="27"/>
      <c r="K437" s="27"/>
      <c r="L437" s="27"/>
      <c r="M437" s="27">
        <v>2500</v>
      </c>
      <c r="N437" s="27"/>
      <c r="O437" s="27"/>
      <c r="P437" s="27"/>
      <c r="Q437" s="27">
        <v>2500</v>
      </c>
      <c r="R437" s="27"/>
      <c r="S437" s="27"/>
      <c r="T437" s="27"/>
      <c r="U437" s="27">
        <f t="shared" si="201"/>
        <v>5000</v>
      </c>
      <c r="V437" s="6"/>
      <c r="W437" s="6"/>
      <c r="X437" s="87"/>
      <c r="Y437" s="8"/>
      <c r="Z437"/>
      <c r="AA437"/>
      <c r="AB437"/>
      <c r="AD437" s="42" t="str">
        <f>C437&amp;A437</f>
        <v>LIMPEZAOper</v>
      </c>
      <c r="AE437" s="42" t="str">
        <f>IFERROR(VLOOKUP(C437,[34]Planilha1!$B:$C,2,0),"Não se Aplica")</f>
        <v>Sim</v>
      </c>
      <c r="AF437" s="42" t="str">
        <f>VLOOKUP(AD437,[34]Planilha1!$H:$J,3,0)</f>
        <v>Sim</v>
      </c>
      <c r="AG437" s="43">
        <f t="shared" si="200"/>
        <v>4537.5</v>
      </c>
    </row>
    <row r="438" spans="1:33" x14ac:dyDescent="0.3">
      <c r="A438" s="1" t="s">
        <v>836</v>
      </c>
      <c r="B438" s="81" t="s">
        <v>20</v>
      </c>
      <c r="C438" s="78" t="s">
        <v>161</v>
      </c>
      <c r="D438" s="89" t="s">
        <v>525</v>
      </c>
      <c r="E438" s="90"/>
      <c r="F438" s="91" t="s">
        <v>23</v>
      </c>
      <c r="G438" s="81" t="s">
        <v>22</v>
      </c>
      <c r="H438" s="81" t="s">
        <v>85</v>
      </c>
      <c r="I438" s="27"/>
      <c r="J438" s="27">
        <v>2800</v>
      </c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>
        <f t="shared" si="201"/>
        <v>2800</v>
      </c>
      <c r="V438" s="6"/>
      <c r="W438" s="6"/>
      <c r="X438" s="87"/>
      <c r="Y438" s="8"/>
      <c r="Z438"/>
      <c r="AA438"/>
      <c r="AB438"/>
      <c r="AD438" s="42" t="str">
        <f>C438&amp;A438</f>
        <v>CONSERVACAO DE PREDIOSOper</v>
      </c>
      <c r="AE438" s="42" t="str">
        <f>IFERROR(VLOOKUP(C438,[34]Planilha1!$B:$C,2,0),"Não se Aplica")</f>
        <v>Sim</v>
      </c>
      <c r="AF438" s="42" t="str">
        <f>VLOOKUP(AD438,[34]Planilha1!$H:$J,3,0)</f>
        <v>Sim</v>
      </c>
      <c r="AG438" s="43">
        <f t="shared" si="200"/>
        <v>2541</v>
      </c>
    </row>
    <row r="439" spans="1:33" x14ac:dyDescent="0.3">
      <c r="A439" s="1" t="s">
        <v>836</v>
      </c>
      <c r="B439" s="81" t="s">
        <v>20</v>
      </c>
      <c r="C439" s="78" t="s">
        <v>161</v>
      </c>
      <c r="D439" s="89" t="s">
        <v>525</v>
      </c>
      <c r="E439" s="86"/>
      <c r="F439" s="91" t="s">
        <v>23</v>
      </c>
      <c r="G439" s="81" t="s">
        <v>32</v>
      </c>
      <c r="H439" s="81" t="s">
        <v>85</v>
      </c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27">
        <f t="shared" si="201"/>
        <v>0</v>
      </c>
      <c r="V439" s="6"/>
      <c r="W439" s="6"/>
      <c r="X439" s="87"/>
      <c r="Y439" s="8"/>
      <c r="Z439"/>
      <c r="AA439"/>
      <c r="AB439"/>
      <c r="AD439" s="42" t="str">
        <f>C439&amp;A439</f>
        <v>CONSERVACAO DE PREDIOSOper</v>
      </c>
      <c r="AE439" s="42" t="str">
        <f>IFERROR(VLOOKUP(C439,[34]Planilha1!$B:$C,2,0),"Não se Aplica")</f>
        <v>Sim</v>
      </c>
      <c r="AF439" s="42" t="str">
        <f>VLOOKUP(AD439,[34]Planilha1!$H:$J,3,0)</f>
        <v>Sim</v>
      </c>
      <c r="AG439" s="43">
        <f t="shared" si="200"/>
        <v>0</v>
      </c>
    </row>
    <row r="440" spans="1:33" x14ac:dyDescent="0.3">
      <c r="A440" s="1" t="s">
        <v>836</v>
      </c>
      <c r="B440" s="81" t="s">
        <v>20</v>
      </c>
      <c r="C440" s="78" t="s">
        <v>435</v>
      </c>
      <c r="D440" s="89" t="s">
        <v>526</v>
      </c>
      <c r="E440" s="90"/>
      <c r="F440" s="91" t="s">
        <v>23</v>
      </c>
      <c r="G440" s="81" t="s">
        <v>22</v>
      </c>
      <c r="H440" s="81" t="s">
        <v>85</v>
      </c>
      <c r="I440" s="27">
        <v>0</v>
      </c>
      <c r="J440" s="27">
        <v>0</v>
      </c>
      <c r="K440" s="27">
        <v>0</v>
      </c>
      <c r="L440" s="27">
        <v>0</v>
      </c>
      <c r="M440" s="27">
        <v>3571.4285714285716</v>
      </c>
      <c r="N440" s="27">
        <v>0</v>
      </c>
      <c r="O440" s="27">
        <v>0</v>
      </c>
      <c r="P440" s="27">
        <v>0</v>
      </c>
      <c r="Q440" s="27">
        <v>0</v>
      </c>
      <c r="R440" s="27">
        <v>0</v>
      </c>
      <c r="S440" s="27">
        <v>0</v>
      </c>
      <c r="T440" s="27">
        <v>0</v>
      </c>
      <c r="U440" s="27">
        <f t="shared" si="201"/>
        <v>3571.4285714285716</v>
      </c>
      <c r="V440" s="6"/>
      <c r="W440" s="6"/>
      <c r="X440" s="87"/>
      <c r="Y440" s="8"/>
      <c r="Z440"/>
      <c r="AA440"/>
      <c r="AB440"/>
      <c r="AD440" s="42" t="str">
        <f>C440&amp;A440</f>
        <v>FEIRAS EVENTOS E CONFRATERNIZACOESOper</v>
      </c>
      <c r="AE440" s="42" t="str">
        <f>IFERROR(VLOOKUP(C440,[34]Planilha1!$B:$C,2,0),"Não se Aplica")</f>
        <v>Sim</v>
      </c>
      <c r="AF440" s="42" t="str">
        <f>VLOOKUP(AD440,[34]Planilha1!$H:$J,3,0)</f>
        <v>Não</v>
      </c>
      <c r="AG440" s="43">
        <f t="shared" si="200"/>
        <v>3571.4285714285716</v>
      </c>
    </row>
    <row r="441" spans="1:33" x14ac:dyDescent="0.3">
      <c r="A441" s="1" t="s">
        <v>836</v>
      </c>
      <c r="B441" s="81" t="s">
        <v>20</v>
      </c>
      <c r="C441" s="78" t="s">
        <v>435</v>
      </c>
      <c r="D441" s="89" t="s">
        <v>526</v>
      </c>
      <c r="E441" s="90"/>
      <c r="F441" s="91" t="s">
        <v>23</v>
      </c>
      <c r="G441" s="81" t="s">
        <v>32</v>
      </c>
      <c r="H441" s="81" t="s">
        <v>85</v>
      </c>
      <c r="I441" s="27">
        <v>0</v>
      </c>
      <c r="J441" s="27">
        <v>0</v>
      </c>
      <c r="K441" s="27">
        <v>0</v>
      </c>
      <c r="L441" s="27">
        <v>0</v>
      </c>
      <c r="M441" s="27">
        <v>5357.1428571428578</v>
      </c>
      <c r="N441" s="27">
        <v>0</v>
      </c>
      <c r="O441" s="27">
        <v>0</v>
      </c>
      <c r="P441" s="27">
        <v>0</v>
      </c>
      <c r="Q441" s="27">
        <v>0</v>
      </c>
      <c r="R441" s="27">
        <v>0</v>
      </c>
      <c r="S441" s="27">
        <v>0</v>
      </c>
      <c r="T441" s="27">
        <v>0</v>
      </c>
      <c r="U441" s="27">
        <f t="shared" si="201"/>
        <v>5357.1428571428578</v>
      </c>
      <c r="V441" s="6"/>
      <c r="W441" s="6"/>
      <c r="X441" s="87"/>
      <c r="Y441" s="8"/>
      <c r="Z441"/>
      <c r="AA441"/>
      <c r="AB441"/>
      <c r="AD441" s="42" t="str">
        <f>C441&amp;A441</f>
        <v>FEIRAS EVENTOS E CONFRATERNIZACOESOper</v>
      </c>
      <c r="AE441" s="42" t="str">
        <f>IFERROR(VLOOKUP(C441,[34]Planilha1!$B:$C,2,0),"Não se Aplica")</f>
        <v>Sim</v>
      </c>
      <c r="AF441" s="42" t="str">
        <f>VLOOKUP(AD441,[34]Planilha1!$H:$J,3,0)</f>
        <v>Não</v>
      </c>
      <c r="AG441" s="43">
        <f t="shared" si="200"/>
        <v>5357.1428571428578</v>
      </c>
    </row>
    <row r="442" spans="1:33" x14ac:dyDescent="0.3">
      <c r="A442" s="1" t="s">
        <v>836</v>
      </c>
      <c r="B442" s="81" t="s">
        <v>20</v>
      </c>
      <c r="C442" s="78" t="s">
        <v>435</v>
      </c>
      <c r="D442" s="89" t="s">
        <v>527</v>
      </c>
      <c r="E442" s="90"/>
      <c r="F442" s="91" t="s">
        <v>23</v>
      </c>
      <c r="G442" s="81" t="s">
        <v>32</v>
      </c>
      <c r="H442" s="81" t="s">
        <v>85</v>
      </c>
      <c r="I442" s="27">
        <v>0</v>
      </c>
      <c r="J442" s="27">
        <v>0</v>
      </c>
      <c r="K442" s="27">
        <v>0</v>
      </c>
      <c r="L442" s="27">
        <v>0</v>
      </c>
      <c r="M442" s="27">
        <v>446.42857142857144</v>
      </c>
      <c r="N442" s="27">
        <v>0</v>
      </c>
      <c r="O442" s="27">
        <v>0</v>
      </c>
      <c r="P442" s="27">
        <v>0</v>
      </c>
      <c r="Q442" s="27">
        <v>0</v>
      </c>
      <c r="R442" s="27">
        <v>0</v>
      </c>
      <c r="S442" s="27">
        <v>0</v>
      </c>
      <c r="T442" s="27">
        <v>0</v>
      </c>
      <c r="U442" s="27">
        <f t="shared" si="201"/>
        <v>446.42857142857144</v>
      </c>
      <c r="V442" s="6"/>
      <c r="W442" s="6"/>
      <c r="X442" s="87"/>
      <c r="Y442" s="8"/>
      <c r="Z442"/>
      <c r="AA442"/>
      <c r="AB442"/>
      <c r="AD442" s="42" t="str">
        <f>C442&amp;A442</f>
        <v>FEIRAS EVENTOS E CONFRATERNIZACOESOper</v>
      </c>
      <c r="AE442" s="42" t="str">
        <f>IFERROR(VLOOKUP(C442,[34]Planilha1!$B:$C,2,0),"Não se Aplica")</f>
        <v>Sim</v>
      </c>
      <c r="AF442" s="42" t="str">
        <f>VLOOKUP(AD442,[34]Planilha1!$H:$J,3,0)</f>
        <v>Não</v>
      </c>
      <c r="AG442" s="43">
        <f t="shared" si="200"/>
        <v>446.42857142857144</v>
      </c>
    </row>
    <row r="443" spans="1:33" x14ac:dyDescent="0.3">
      <c r="A443" s="1" t="s">
        <v>836</v>
      </c>
      <c r="B443" s="81" t="s">
        <v>20</v>
      </c>
      <c r="C443" s="78" t="s">
        <v>161</v>
      </c>
      <c r="D443" s="89" t="s">
        <v>528</v>
      </c>
      <c r="E443" s="90"/>
      <c r="F443" s="91" t="s">
        <v>23</v>
      </c>
      <c r="G443" s="81" t="s">
        <v>32</v>
      </c>
      <c r="H443" s="81" t="s">
        <v>85</v>
      </c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27">
        <f t="shared" si="201"/>
        <v>0</v>
      </c>
      <c r="V443" s="6"/>
      <c r="W443" s="6"/>
      <c r="X443" s="87"/>
      <c r="Y443" s="8"/>
      <c r="Z443"/>
      <c r="AA443"/>
      <c r="AB443"/>
      <c r="AD443" s="42" t="str">
        <f>C443&amp;A443</f>
        <v>CONSERVACAO DE PREDIOSOper</v>
      </c>
      <c r="AE443" s="42" t="str">
        <f>IFERROR(VLOOKUP(C443,[34]Planilha1!$B:$C,2,0),"Não se Aplica")</f>
        <v>Sim</v>
      </c>
      <c r="AF443" s="42" t="str">
        <f>VLOOKUP(AD443,[34]Planilha1!$H:$J,3,0)</f>
        <v>Sim</v>
      </c>
      <c r="AG443" s="43">
        <f t="shared" si="200"/>
        <v>0</v>
      </c>
    </row>
    <row r="444" spans="1:33" x14ac:dyDescent="0.3">
      <c r="A444" s="1" t="s">
        <v>836</v>
      </c>
      <c r="B444" s="81" t="s">
        <v>20</v>
      </c>
      <c r="C444" s="78" t="s">
        <v>161</v>
      </c>
      <c r="D444" s="89" t="s">
        <v>528</v>
      </c>
      <c r="E444" s="90"/>
      <c r="F444" s="91" t="s">
        <v>23</v>
      </c>
      <c r="G444" s="81" t="s">
        <v>22</v>
      </c>
      <c r="H444" s="81" t="s">
        <v>85</v>
      </c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27">
        <f t="shared" si="201"/>
        <v>0</v>
      </c>
      <c r="V444" s="6"/>
      <c r="W444" s="6"/>
      <c r="X444" s="87"/>
      <c r="Y444" s="8"/>
      <c r="Z444"/>
      <c r="AA444"/>
      <c r="AB444"/>
      <c r="AD444" s="42" t="str">
        <f>C444&amp;A444</f>
        <v>CONSERVACAO DE PREDIOSOper</v>
      </c>
      <c r="AE444" s="42" t="str">
        <f>IFERROR(VLOOKUP(C444,[34]Planilha1!$B:$C,2,0),"Não se Aplica")</f>
        <v>Sim</v>
      </c>
      <c r="AF444" s="42" t="str">
        <f>VLOOKUP(AD444,[34]Planilha1!$H:$J,3,0)</f>
        <v>Sim</v>
      </c>
      <c r="AG444" s="43">
        <f t="shared" si="200"/>
        <v>0</v>
      </c>
    </row>
    <row r="445" spans="1:33" x14ac:dyDescent="0.3">
      <c r="A445" s="1" t="s">
        <v>836</v>
      </c>
      <c r="B445" s="81" t="s">
        <v>20</v>
      </c>
      <c r="C445" s="78" t="s">
        <v>161</v>
      </c>
      <c r="D445" s="89" t="s">
        <v>528</v>
      </c>
      <c r="E445" s="90"/>
      <c r="F445" s="91" t="s">
        <v>23</v>
      </c>
      <c r="G445" s="81" t="s">
        <v>31</v>
      </c>
      <c r="H445" s="81" t="s">
        <v>85</v>
      </c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27">
        <f t="shared" si="201"/>
        <v>0</v>
      </c>
      <c r="V445" s="6"/>
      <c r="W445" s="6"/>
      <c r="X445" s="87"/>
      <c r="Y445" s="8"/>
      <c r="Z445"/>
      <c r="AA445"/>
      <c r="AB445"/>
      <c r="AD445" s="42" t="str">
        <f>C445&amp;A445</f>
        <v>CONSERVACAO DE PREDIOSOper</v>
      </c>
      <c r="AE445" s="42" t="str">
        <f>IFERROR(VLOOKUP(C445,[34]Planilha1!$B:$C,2,0),"Não se Aplica")</f>
        <v>Sim</v>
      </c>
      <c r="AF445" s="42" t="str">
        <f>VLOOKUP(AD445,[34]Planilha1!$H:$J,3,0)</f>
        <v>Sim</v>
      </c>
      <c r="AG445" s="43">
        <f t="shared" si="200"/>
        <v>0</v>
      </c>
    </row>
    <row r="446" spans="1:33" x14ac:dyDescent="0.3">
      <c r="A446" s="1" t="s">
        <v>836</v>
      </c>
      <c r="B446" s="81" t="s">
        <v>20</v>
      </c>
      <c r="C446" s="78" t="s">
        <v>161</v>
      </c>
      <c r="D446" s="89" t="s">
        <v>529</v>
      </c>
      <c r="E446" s="90"/>
      <c r="F446" s="91" t="s">
        <v>23</v>
      </c>
      <c r="G446" s="81" t="s">
        <v>32</v>
      </c>
      <c r="H446" s="81" t="s">
        <v>85</v>
      </c>
      <c r="I446" s="27">
        <v>3000</v>
      </c>
      <c r="J446" s="27">
        <v>3000</v>
      </c>
      <c r="K446" s="27">
        <v>3000</v>
      </c>
      <c r="L446" s="27">
        <v>3000</v>
      </c>
      <c r="M446" s="27">
        <v>3000</v>
      </c>
      <c r="N446" s="27">
        <v>3000</v>
      </c>
      <c r="O446" s="27">
        <v>3000</v>
      </c>
      <c r="P446" s="27">
        <v>3000</v>
      </c>
      <c r="Q446" s="27">
        <v>3000</v>
      </c>
      <c r="R446" s="27">
        <v>3000</v>
      </c>
      <c r="S446" s="27">
        <v>3000</v>
      </c>
      <c r="T446" s="27"/>
      <c r="U446" s="27">
        <f t="shared" si="201"/>
        <v>33000</v>
      </c>
      <c r="V446" s="6"/>
      <c r="W446" s="6"/>
      <c r="X446" s="87"/>
      <c r="Y446" s="8"/>
      <c r="Z446"/>
      <c r="AA446"/>
      <c r="AB446"/>
      <c r="AD446" s="42" t="str">
        <f>C446&amp;A446</f>
        <v>CONSERVACAO DE PREDIOSOper</v>
      </c>
      <c r="AE446" s="42" t="str">
        <f>IFERROR(VLOOKUP(C446,[34]Planilha1!$B:$C,2,0),"Não se Aplica")</f>
        <v>Sim</v>
      </c>
      <c r="AF446" s="42" t="str">
        <f>VLOOKUP(AD446,[34]Planilha1!$H:$J,3,0)</f>
        <v>Sim</v>
      </c>
      <c r="AG446" s="43">
        <f t="shared" si="200"/>
        <v>29947.5</v>
      </c>
    </row>
    <row r="447" spans="1:33" x14ac:dyDescent="0.3">
      <c r="A447" s="1" t="s">
        <v>836</v>
      </c>
      <c r="B447" s="81" t="s">
        <v>20</v>
      </c>
      <c r="C447" s="78" t="s">
        <v>161</v>
      </c>
      <c r="D447" s="89" t="s">
        <v>530</v>
      </c>
      <c r="E447" s="90"/>
      <c r="F447" s="91" t="s">
        <v>23</v>
      </c>
      <c r="G447" s="81" t="s">
        <v>32</v>
      </c>
      <c r="H447" s="81" t="s">
        <v>85</v>
      </c>
      <c r="I447" s="27"/>
      <c r="J447" s="27"/>
      <c r="K447" s="27">
        <v>1000</v>
      </c>
      <c r="L447" s="27"/>
      <c r="M447" s="27">
        <v>1000</v>
      </c>
      <c r="N447" s="27"/>
      <c r="O447" s="27">
        <v>1000</v>
      </c>
      <c r="P447" s="27">
        <v>1000</v>
      </c>
      <c r="Q447" s="27">
        <v>1000</v>
      </c>
      <c r="R447" s="27"/>
      <c r="S447" s="27">
        <v>1000</v>
      </c>
      <c r="T447" s="27"/>
      <c r="U447" s="27">
        <f t="shared" si="201"/>
        <v>6000</v>
      </c>
      <c r="V447" s="6"/>
      <c r="W447" s="6"/>
      <c r="X447" s="87"/>
      <c r="Y447" s="8"/>
      <c r="Z447"/>
      <c r="AA447"/>
      <c r="AB447"/>
      <c r="AD447" s="42" t="str">
        <f>C447&amp;A447</f>
        <v>CONSERVACAO DE PREDIOSOper</v>
      </c>
      <c r="AE447" s="42" t="str">
        <f>IFERROR(VLOOKUP(C447,[34]Planilha1!$B:$C,2,0),"Não se Aplica")</f>
        <v>Sim</v>
      </c>
      <c r="AF447" s="42" t="str">
        <f>VLOOKUP(AD447,[34]Planilha1!$H:$J,3,0)</f>
        <v>Sim</v>
      </c>
      <c r="AG447" s="43">
        <f t="shared" si="200"/>
        <v>5445</v>
      </c>
    </row>
    <row r="448" spans="1:33" x14ac:dyDescent="0.3">
      <c r="A448" s="1" t="s">
        <v>836</v>
      </c>
      <c r="B448" s="81" t="s">
        <v>20</v>
      </c>
      <c r="C448" s="78" t="s">
        <v>161</v>
      </c>
      <c r="D448" s="89" t="s">
        <v>531</v>
      </c>
      <c r="E448" s="90" t="s">
        <v>532</v>
      </c>
      <c r="F448" s="91" t="s">
        <v>23</v>
      </c>
      <c r="G448" s="81" t="s">
        <v>22</v>
      </c>
      <c r="H448" s="81" t="s">
        <v>85</v>
      </c>
      <c r="I448" s="27">
        <v>1400</v>
      </c>
      <c r="J448" s="27">
        <v>1400</v>
      </c>
      <c r="K448" s="27">
        <v>1400</v>
      </c>
      <c r="L448" s="27">
        <v>1400</v>
      </c>
      <c r="M448" s="27">
        <v>1400</v>
      </c>
      <c r="N448" s="27">
        <v>1400</v>
      </c>
      <c r="O448" s="27">
        <v>1400</v>
      </c>
      <c r="P448" s="27">
        <v>1400</v>
      </c>
      <c r="Q448" s="27">
        <v>1400</v>
      </c>
      <c r="R448" s="27">
        <v>1400</v>
      </c>
      <c r="S448" s="27">
        <v>1400</v>
      </c>
      <c r="T448" s="27">
        <v>1400</v>
      </c>
      <c r="U448" s="27">
        <f t="shared" si="201"/>
        <v>16800</v>
      </c>
      <c r="V448" s="6"/>
      <c r="W448" s="6"/>
      <c r="X448" s="87"/>
      <c r="Y448" s="8"/>
      <c r="Z448"/>
      <c r="AA448"/>
      <c r="AB448"/>
      <c r="AD448" s="42" t="str">
        <f>C448&amp;A448</f>
        <v>CONSERVACAO DE PREDIOSOper</v>
      </c>
      <c r="AE448" s="42" t="str">
        <f>IFERROR(VLOOKUP(C448,[34]Planilha1!$B:$C,2,0),"Não se Aplica")</f>
        <v>Sim</v>
      </c>
      <c r="AF448" s="42" t="str">
        <f>VLOOKUP(AD448,[34]Planilha1!$H:$J,3,0)</f>
        <v>Sim</v>
      </c>
      <c r="AG448" s="43">
        <f t="shared" si="200"/>
        <v>15246</v>
      </c>
    </row>
    <row r="449" spans="1:33" x14ac:dyDescent="0.3">
      <c r="A449" s="1" t="s">
        <v>836</v>
      </c>
      <c r="B449" s="81" t="s">
        <v>20</v>
      </c>
      <c r="C449" s="78" t="s">
        <v>161</v>
      </c>
      <c r="D449" s="89" t="s">
        <v>531</v>
      </c>
      <c r="E449" s="90"/>
      <c r="F449" s="91" t="s">
        <v>23</v>
      </c>
      <c r="G449" s="81" t="s">
        <v>32</v>
      </c>
      <c r="H449" s="81" t="s">
        <v>85</v>
      </c>
      <c r="I449" s="27"/>
      <c r="J449" s="27"/>
      <c r="K449" s="27"/>
      <c r="L449" s="27">
        <v>6000</v>
      </c>
      <c r="M449" s="27">
        <v>6000</v>
      </c>
      <c r="N449" s="27">
        <v>6000</v>
      </c>
      <c r="O449" s="27"/>
      <c r="P449" s="27"/>
      <c r="Q449" s="27"/>
      <c r="R449" s="27"/>
      <c r="S449" s="27"/>
      <c r="T449" s="27"/>
      <c r="U449" s="27">
        <f t="shared" si="201"/>
        <v>18000</v>
      </c>
      <c r="V449" s="6"/>
      <c r="W449" s="6"/>
      <c r="X449" s="87"/>
      <c r="Y449" s="8"/>
      <c r="Z449"/>
      <c r="AA449"/>
      <c r="AB449"/>
      <c r="AD449" s="42" t="str">
        <f>C449&amp;A449</f>
        <v>CONSERVACAO DE PREDIOSOper</v>
      </c>
      <c r="AE449" s="42" t="str">
        <f>IFERROR(VLOOKUP(C449,[34]Planilha1!$B:$C,2,0),"Não se Aplica")</f>
        <v>Sim</v>
      </c>
      <c r="AF449" s="42" t="str">
        <f>VLOOKUP(AD449,[34]Planilha1!$H:$J,3,0)</f>
        <v>Sim</v>
      </c>
      <c r="AG449" s="43">
        <f t="shared" si="200"/>
        <v>16335</v>
      </c>
    </row>
    <row r="450" spans="1:33" x14ac:dyDescent="0.3">
      <c r="A450" s="1" t="s">
        <v>836</v>
      </c>
      <c r="B450" s="81" t="s">
        <v>28</v>
      </c>
      <c r="C450" s="78" t="s">
        <v>161</v>
      </c>
      <c r="D450" s="89" t="s">
        <v>533</v>
      </c>
      <c r="E450" s="90"/>
      <c r="F450" s="91" t="s">
        <v>23</v>
      </c>
      <c r="G450" s="81" t="s">
        <v>32</v>
      </c>
      <c r="H450" s="81" t="s">
        <v>85</v>
      </c>
      <c r="I450" s="27"/>
      <c r="J450" s="27">
        <v>2000</v>
      </c>
      <c r="K450" s="27"/>
      <c r="L450" s="27">
        <v>2000</v>
      </c>
      <c r="M450" s="27"/>
      <c r="N450" s="27">
        <v>2000</v>
      </c>
      <c r="O450" s="27"/>
      <c r="P450" s="27">
        <v>2000</v>
      </c>
      <c r="Q450" s="27"/>
      <c r="R450" s="27">
        <v>2000</v>
      </c>
      <c r="S450" s="27"/>
      <c r="T450" s="27"/>
      <c r="U450" s="27">
        <f t="shared" si="201"/>
        <v>10000</v>
      </c>
      <c r="V450" s="6"/>
      <c r="W450" s="6"/>
      <c r="X450" s="87"/>
      <c r="Y450" s="8"/>
      <c r="Z450"/>
      <c r="AA450"/>
      <c r="AB450"/>
      <c r="AD450" s="42" t="str">
        <f>C450&amp;A450</f>
        <v>CONSERVACAO DE PREDIOSOper</v>
      </c>
      <c r="AE450" s="42" t="str">
        <f>IFERROR(VLOOKUP(C450,[34]Planilha1!$B:$C,2,0),"Não se Aplica")</f>
        <v>Sim</v>
      </c>
      <c r="AF450" s="42" t="str">
        <f>VLOOKUP(AD450,[34]Planilha1!$H:$J,3,0)</f>
        <v>Sim</v>
      </c>
      <c r="AG450" s="43">
        <f t="shared" si="200"/>
        <v>9075</v>
      </c>
    </row>
    <row r="451" spans="1:33" x14ac:dyDescent="0.3">
      <c r="A451" s="1" t="s">
        <v>836</v>
      </c>
      <c r="B451" s="81" t="s">
        <v>20</v>
      </c>
      <c r="C451" s="78" t="s">
        <v>161</v>
      </c>
      <c r="D451" s="89" t="s">
        <v>534</v>
      </c>
      <c r="E451" s="90"/>
      <c r="F451" s="91" t="s">
        <v>23</v>
      </c>
      <c r="G451" s="81" t="s">
        <v>32</v>
      </c>
      <c r="H451" s="81" t="s">
        <v>85</v>
      </c>
      <c r="I451" s="27"/>
      <c r="J451" s="27"/>
      <c r="K451" s="27"/>
      <c r="L451" s="27"/>
      <c r="M451" s="27"/>
      <c r="N451" s="27">
        <v>1000</v>
      </c>
      <c r="O451" s="27"/>
      <c r="P451" s="27">
        <v>1000</v>
      </c>
      <c r="Q451" s="27"/>
      <c r="R451" s="27"/>
      <c r="S451" s="27"/>
      <c r="T451" s="27"/>
      <c r="U451" s="27">
        <f t="shared" si="201"/>
        <v>2000</v>
      </c>
      <c r="V451" s="6"/>
      <c r="W451" s="6"/>
      <c r="X451" s="87"/>
      <c r="Y451" s="8"/>
      <c r="Z451"/>
      <c r="AA451"/>
      <c r="AB451"/>
      <c r="AD451" s="42" t="str">
        <f>C451&amp;A451</f>
        <v>CONSERVACAO DE PREDIOSOper</v>
      </c>
      <c r="AE451" s="42" t="str">
        <f>IFERROR(VLOOKUP(C451,[34]Planilha1!$B:$C,2,0),"Não se Aplica")</f>
        <v>Sim</v>
      </c>
      <c r="AF451" s="42" t="str">
        <f>VLOOKUP(AD451,[34]Planilha1!$H:$J,3,0)</f>
        <v>Sim</v>
      </c>
      <c r="AG451" s="43">
        <f t="shared" si="200"/>
        <v>1815</v>
      </c>
    </row>
    <row r="452" spans="1:33" x14ac:dyDescent="0.3">
      <c r="A452" s="1" t="s">
        <v>836</v>
      </c>
      <c r="B452" s="81" t="s">
        <v>20</v>
      </c>
      <c r="C452" s="78" t="s">
        <v>161</v>
      </c>
      <c r="D452" s="89" t="s">
        <v>535</v>
      </c>
      <c r="E452" s="86" t="s">
        <v>536</v>
      </c>
      <c r="F452" s="91" t="s">
        <v>23</v>
      </c>
      <c r="G452" s="81" t="s">
        <v>22</v>
      </c>
      <c r="H452" s="81" t="s">
        <v>85</v>
      </c>
      <c r="I452" s="27">
        <v>1200</v>
      </c>
      <c r="J452" s="27">
        <v>1200</v>
      </c>
      <c r="K452" s="27">
        <v>1200</v>
      </c>
      <c r="L452" s="27">
        <v>1200</v>
      </c>
      <c r="M452" s="27">
        <v>1200</v>
      </c>
      <c r="N452" s="27">
        <v>1200</v>
      </c>
      <c r="O452" s="27">
        <v>1200</v>
      </c>
      <c r="P452" s="27">
        <v>1200</v>
      </c>
      <c r="Q452" s="27">
        <v>1200</v>
      </c>
      <c r="R452" s="27">
        <v>1200</v>
      </c>
      <c r="S452" s="27">
        <v>1200</v>
      </c>
      <c r="T452" s="27">
        <v>1200</v>
      </c>
      <c r="U452" s="27">
        <f t="shared" si="201"/>
        <v>14400</v>
      </c>
      <c r="V452" s="6"/>
      <c r="W452" s="6"/>
      <c r="X452" s="87"/>
      <c r="Y452" s="8"/>
      <c r="Z452"/>
      <c r="AA452"/>
      <c r="AB452"/>
      <c r="AD452" s="42" t="str">
        <f>C452&amp;A452</f>
        <v>CONSERVACAO DE PREDIOSOper</v>
      </c>
      <c r="AE452" s="42" t="str">
        <f>IFERROR(VLOOKUP(C452,[34]Planilha1!$B:$C,2,0),"Não se Aplica")</f>
        <v>Sim</v>
      </c>
      <c r="AF452" s="42" t="str">
        <f>VLOOKUP(AD452,[34]Planilha1!$H:$J,3,0)</f>
        <v>Sim</v>
      </c>
      <c r="AG452" s="43">
        <f t="shared" si="200"/>
        <v>13068</v>
      </c>
    </row>
    <row r="453" spans="1:33" x14ac:dyDescent="0.3">
      <c r="A453" s="1" t="s">
        <v>836</v>
      </c>
      <c r="B453" s="81" t="s">
        <v>20</v>
      </c>
      <c r="C453" s="78" t="s">
        <v>161</v>
      </c>
      <c r="D453" s="89" t="s">
        <v>535</v>
      </c>
      <c r="E453" s="90"/>
      <c r="F453" s="91" t="s">
        <v>23</v>
      </c>
      <c r="G453" s="81" t="s">
        <v>32</v>
      </c>
      <c r="H453" s="81" t="s">
        <v>85</v>
      </c>
      <c r="I453" s="27">
        <v>1900</v>
      </c>
      <c r="J453" s="27">
        <v>1900</v>
      </c>
      <c r="K453" s="27">
        <v>1900</v>
      </c>
      <c r="L453" s="27">
        <v>1900</v>
      </c>
      <c r="M453" s="27">
        <v>1900</v>
      </c>
      <c r="N453" s="27">
        <v>1900</v>
      </c>
      <c r="O453" s="27">
        <v>1900</v>
      </c>
      <c r="P453" s="27">
        <v>1900</v>
      </c>
      <c r="Q453" s="27">
        <v>1900</v>
      </c>
      <c r="R453" s="27">
        <v>1900</v>
      </c>
      <c r="S453" s="27">
        <v>1900</v>
      </c>
      <c r="T453" s="27">
        <v>1900</v>
      </c>
      <c r="U453" s="27">
        <f t="shared" si="201"/>
        <v>22800</v>
      </c>
      <c r="V453" s="6"/>
      <c r="W453" s="6"/>
      <c r="X453" s="87"/>
      <c r="Y453" s="8"/>
      <c r="Z453"/>
      <c r="AA453"/>
      <c r="AB453"/>
      <c r="AD453" s="42" t="str">
        <f>C453&amp;A453</f>
        <v>CONSERVACAO DE PREDIOSOper</v>
      </c>
      <c r="AE453" s="42" t="str">
        <f>IFERROR(VLOOKUP(C453,[34]Planilha1!$B:$C,2,0),"Não se Aplica")</f>
        <v>Sim</v>
      </c>
      <c r="AF453" s="42" t="str">
        <f>VLOOKUP(AD453,[34]Planilha1!$H:$J,3,0)</f>
        <v>Sim</v>
      </c>
      <c r="AG453" s="43">
        <f t="shared" si="200"/>
        <v>20691</v>
      </c>
    </row>
    <row r="454" spans="1:33" x14ac:dyDescent="0.3">
      <c r="A454" s="1" t="s">
        <v>836</v>
      </c>
      <c r="B454" s="81" t="s">
        <v>28</v>
      </c>
      <c r="C454" s="78" t="s">
        <v>161</v>
      </c>
      <c r="D454" s="89" t="s">
        <v>535</v>
      </c>
      <c r="E454" s="90"/>
      <c r="F454" s="91" t="s">
        <v>23</v>
      </c>
      <c r="G454" s="81" t="s">
        <v>32</v>
      </c>
      <c r="H454" s="81" t="s">
        <v>85</v>
      </c>
      <c r="I454" s="27">
        <v>800</v>
      </c>
      <c r="J454" s="27">
        <v>800</v>
      </c>
      <c r="K454" s="27">
        <v>800</v>
      </c>
      <c r="L454" s="27">
        <v>800</v>
      </c>
      <c r="M454" s="27">
        <v>800</v>
      </c>
      <c r="N454" s="27">
        <v>800</v>
      </c>
      <c r="O454" s="27">
        <v>800</v>
      </c>
      <c r="P454" s="27">
        <v>800</v>
      </c>
      <c r="Q454" s="27">
        <v>800</v>
      </c>
      <c r="R454" s="27">
        <v>800</v>
      </c>
      <c r="S454" s="27">
        <v>800</v>
      </c>
      <c r="T454" s="27">
        <v>800</v>
      </c>
      <c r="U454" s="27">
        <f t="shared" si="201"/>
        <v>9600</v>
      </c>
      <c r="V454" s="6"/>
      <c r="W454" s="6"/>
      <c r="X454" s="87"/>
      <c r="Y454" s="8"/>
      <c r="Z454"/>
      <c r="AA454"/>
      <c r="AB454"/>
      <c r="AD454" s="42" t="str">
        <f>C454&amp;A454</f>
        <v>CONSERVACAO DE PREDIOSOper</v>
      </c>
      <c r="AE454" s="42" t="str">
        <f>IFERROR(VLOOKUP(C454,[34]Planilha1!$B:$C,2,0),"Não se Aplica")</f>
        <v>Sim</v>
      </c>
      <c r="AF454" s="42" t="str">
        <f>VLOOKUP(AD454,[34]Planilha1!$H:$J,3,0)</f>
        <v>Sim</v>
      </c>
      <c r="AG454" s="43">
        <f t="shared" si="200"/>
        <v>8712</v>
      </c>
    </row>
    <row r="455" spans="1:33" x14ac:dyDescent="0.3">
      <c r="A455" s="1" t="s">
        <v>836</v>
      </c>
      <c r="B455" s="81" t="s">
        <v>20</v>
      </c>
      <c r="C455" s="78" t="s">
        <v>435</v>
      </c>
      <c r="D455" s="89" t="s">
        <v>537</v>
      </c>
      <c r="E455" s="90"/>
      <c r="F455" s="91" t="s">
        <v>23</v>
      </c>
      <c r="G455" s="81" t="s">
        <v>32</v>
      </c>
      <c r="H455" s="81" t="s">
        <v>85</v>
      </c>
      <c r="I455" s="27">
        <v>0</v>
      </c>
      <c r="J455" s="27">
        <v>0</v>
      </c>
      <c r="K455" s="27">
        <v>1517.8571428571429</v>
      </c>
      <c r="L455" s="27">
        <v>0</v>
      </c>
      <c r="M455" s="27">
        <v>0</v>
      </c>
      <c r="N455" s="27">
        <v>0</v>
      </c>
      <c r="O455" s="27">
        <v>0</v>
      </c>
      <c r="P455" s="27">
        <v>0</v>
      </c>
      <c r="Q455" s="27">
        <v>0</v>
      </c>
      <c r="R455" s="27">
        <v>0</v>
      </c>
      <c r="S455" s="27">
        <v>0</v>
      </c>
      <c r="T455" s="27">
        <v>0</v>
      </c>
      <c r="U455" s="27">
        <f t="shared" si="201"/>
        <v>1517.8571428571429</v>
      </c>
      <c r="V455" s="6"/>
      <c r="W455" s="6"/>
      <c r="X455" s="87"/>
      <c r="Y455" s="8"/>
      <c r="Z455"/>
      <c r="AA455"/>
      <c r="AB455"/>
      <c r="AD455" s="42" t="str">
        <f>C455&amp;A455</f>
        <v>FEIRAS EVENTOS E CONFRATERNIZACOESOper</v>
      </c>
      <c r="AE455" s="42" t="str">
        <f>IFERROR(VLOOKUP(C455,[34]Planilha1!$B:$C,2,0),"Não se Aplica")</f>
        <v>Sim</v>
      </c>
      <c r="AF455" s="42" t="str">
        <f>VLOOKUP(AD455,[34]Planilha1!$H:$J,3,0)</f>
        <v>Não</v>
      </c>
      <c r="AG455" s="43">
        <f t="shared" si="200"/>
        <v>1517.8571428571429</v>
      </c>
    </row>
    <row r="456" spans="1:33" x14ac:dyDescent="0.3">
      <c r="A456" s="1" t="s">
        <v>836</v>
      </c>
      <c r="B456" s="81" t="s">
        <v>20</v>
      </c>
      <c r="C456" s="78" t="s">
        <v>538</v>
      </c>
      <c r="D456" s="89" t="s">
        <v>539</v>
      </c>
      <c r="E456" s="90" t="s">
        <v>540</v>
      </c>
      <c r="F456" s="91" t="s">
        <v>23</v>
      </c>
      <c r="G456" s="81" t="s">
        <v>22</v>
      </c>
      <c r="H456" s="81" t="s">
        <v>85</v>
      </c>
      <c r="I456" s="27">
        <v>2300</v>
      </c>
      <c r="J456" s="27">
        <v>2300</v>
      </c>
      <c r="K456" s="27">
        <v>2300</v>
      </c>
      <c r="L456" s="27">
        <v>2300</v>
      </c>
      <c r="M456" s="27">
        <v>2300</v>
      </c>
      <c r="N456" s="27">
        <v>2300</v>
      </c>
      <c r="O456" s="27">
        <v>2300</v>
      </c>
      <c r="P456" s="27">
        <v>2300</v>
      </c>
      <c r="Q456" s="27">
        <v>2300</v>
      </c>
      <c r="R456" s="27">
        <v>2300</v>
      </c>
      <c r="S456" s="27">
        <v>2300</v>
      </c>
      <c r="T456" s="27">
        <v>2300</v>
      </c>
      <c r="U456" s="27">
        <f t="shared" si="201"/>
        <v>27600</v>
      </c>
      <c r="V456" s="6"/>
      <c r="W456" s="6"/>
      <c r="X456" s="87"/>
      <c r="Y456" s="8"/>
      <c r="Z456"/>
      <c r="AA456"/>
      <c r="AB456"/>
      <c r="AD456" s="42" t="str">
        <f>C456&amp;A456</f>
        <v>MATERIAL E HIGIENE/LIMPEZAOper</v>
      </c>
      <c r="AE456" s="42" t="str">
        <f>IFERROR(VLOOKUP(C456,[34]Planilha1!$B:$C,2,0),"Não se Aplica")</f>
        <v>Sim</v>
      </c>
      <c r="AF456" s="42" t="str">
        <f>VLOOKUP(AD456,[34]Planilha1!$H:$J,3,0)</f>
        <v>Sim</v>
      </c>
      <c r="AG456" s="43">
        <f t="shared" si="200"/>
        <v>25047</v>
      </c>
    </row>
    <row r="457" spans="1:33" x14ac:dyDescent="0.3">
      <c r="A457" s="1" t="s">
        <v>836</v>
      </c>
      <c r="B457" s="81" t="s">
        <v>28</v>
      </c>
      <c r="C457" s="78" t="s">
        <v>538</v>
      </c>
      <c r="D457" s="89" t="s">
        <v>539</v>
      </c>
      <c r="E457" s="90" t="s">
        <v>540</v>
      </c>
      <c r="F457" s="91" t="s">
        <v>23</v>
      </c>
      <c r="G457" s="81" t="s">
        <v>22</v>
      </c>
      <c r="H457" s="81" t="s">
        <v>85</v>
      </c>
      <c r="I457" s="27">
        <v>800</v>
      </c>
      <c r="J457" s="27">
        <v>800</v>
      </c>
      <c r="K457" s="27">
        <v>800</v>
      </c>
      <c r="L457" s="27">
        <v>800</v>
      </c>
      <c r="M457" s="27">
        <v>800</v>
      </c>
      <c r="N457" s="27">
        <v>800</v>
      </c>
      <c r="O457" s="27">
        <v>800</v>
      </c>
      <c r="P457" s="27">
        <v>800</v>
      </c>
      <c r="Q457" s="27">
        <v>800</v>
      </c>
      <c r="R457" s="27">
        <v>800</v>
      </c>
      <c r="S457" s="27">
        <v>800</v>
      </c>
      <c r="T457" s="27">
        <v>800</v>
      </c>
      <c r="U457" s="27">
        <f t="shared" si="201"/>
        <v>9600</v>
      </c>
      <c r="V457" s="6"/>
      <c r="W457" s="6"/>
      <c r="X457" s="87"/>
      <c r="Y457" s="8"/>
      <c r="Z457"/>
      <c r="AA457"/>
      <c r="AB457"/>
      <c r="AD457" s="42" t="str">
        <f>C457&amp;A457</f>
        <v>MATERIAL E HIGIENE/LIMPEZAOper</v>
      </c>
      <c r="AE457" s="42" t="str">
        <f>IFERROR(VLOOKUP(C457,[34]Planilha1!$B:$C,2,0),"Não se Aplica")</f>
        <v>Sim</v>
      </c>
      <c r="AF457" s="42" t="str">
        <f>VLOOKUP(AD457,[34]Planilha1!$H:$J,3,0)</f>
        <v>Sim</v>
      </c>
      <c r="AG457" s="43">
        <f t="shared" si="200"/>
        <v>8712</v>
      </c>
    </row>
    <row r="458" spans="1:33" x14ac:dyDescent="0.3">
      <c r="A458" s="1" t="s">
        <v>836</v>
      </c>
      <c r="B458" s="81" t="s">
        <v>28</v>
      </c>
      <c r="C458" s="78" t="s">
        <v>538</v>
      </c>
      <c r="D458" s="89" t="s">
        <v>539</v>
      </c>
      <c r="E458" s="90" t="s">
        <v>540</v>
      </c>
      <c r="F458" s="91" t="s">
        <v>23</v>
      </c>
      <c r="G458" s="81" t="s">
        <v>29</v>
      </c>
      <c r="H458" s="81" t="s">
        <v>85</v>
      </c>
      <c r="I458" s="27">
        <v>375</v>
      </c>
      <c r="J458" s="27">
        <v>375</v>
      </c>
      <c r="K458" s="27">
        <v>375</v>
      </c>
      <c r="L458" s="27">
        <v>375</v>
      </c>
      <c r="M458" s="27">
        <v>375</v>
      </c>
      <c r="N458" s="27">
        <v>375</v>
      </c>
      <c r="O458" s="27">
        <v>375</v>
      </c>
      <c r="P458" s="27">
        <v>375</v>
      </c>
      <c r="Q458" s="27">
        <v>375</v>
      </c>
      <c r="R458" s="27">
        <v>375</v>
      </c>
      <c r="S458" s="27">
        <v>375</v>
      </c>
      <c r="T458" s="27">
        <v>375</v>
      </c>
      <c r="U458" s="27">
        <f t="shared" si="201"/>
        <v>4500</v>
      </c>
      <c r="V458" s="6"/>
      <c r="W458" s="6"/>
      <c r="X458" s="87"/>
      <c r="Y458" s="8"/>
      <c r="Z458"/>
      <c r="AA458"/>
      <c r="AB458"/>
      <c r="AD458" s="42" t="str">
        <f>C458&amp;A458</f>
        <v>MATERIAL E HIGIENE/LIMPEZAOper</v>
      </c>
      <c r="AE458" s="42" t="str">
        <f>IFERROR(VLOOKUP(C458,[34]Planilha1!$B:$C,2,0),"Não se Aplica")</f>
        <v>Sim</v>
      </c>
      <c r="AF458" s="42" t="str">
        <f>VLOOKUP(AD458,[34]Planilha1!$H:$J,3,0)</f>
        <v>Sim</v>
      </c>
      <c r="AG458" s="43">
        <f t="shared" si="200"/>
        <v>4083.75</v>
      </c>
    </row>
    <row r="459" spans="1:33" x14ac:dyDescent="0.3">
      <c r="A459" s="1" t="s">
        <v>836</v>
      </c>
      <c r="B459" s="81" t="s">
        <v>28</v>
      </c>
      <c r="C459" s="78" t="s">
        <v>538</v>
      </c>
      <c r="D459" s="89" t="s">
        <v>539</v>
      </c>
      <c r="E459" s="90" t="s">
        <v>540</v>
      </c>
      <c r="F459" s="91" t="s">
        <v>23</v>
      </c>
      <c r="G459" s="81" t="s">
        <v>30</v>
      </c>
      <c r="H459" s="81" t="s">
        <v>85</v>
      </c>
      <c r="I459" s="27">
        <v>350</v>
      </c>
      <c r="J459" s="27">
        <v>350</v>
      </c>
      <c r="K459" s="27">
        <v>350</v>
      </c>
      <c r="L459" s="27">
        <v>350</v>
      </c>
      <c r="M459" s="27">
        <v>350</v>
      </c>
      <c r="N459" s="27">
        <v>350</v>
      </c>
      <c r="O459" s="27">
        <v>350</v>
      </c>
      <c r="P459" s="27">
        <v>350</v>
      </c>
      <c r="Q459" s="27">
        <v>350</v>
      </c>
      <c r="R459" s="27">
        <v>350</v>
      </c>
      <c r="S459" s="27">
        <v>350</v>
      </c>
      <c r="T459" s="27">
        <v>350</v>
      </c>
      <c r="U459" s="27">
        <f t="shared" si="201"/>
        <v>4200</v>
      </c>
      <c r="V459" s="6"/>
      <c r="W459" s="6"/>
      <c r="X459" s="87"/>
      <c r="Y459" s="8"/>
      <c r="Z459"/>
      <c r="AA459"/>
      <c r="AB459"/>
      <c r="AD459" s="42" t="str">
        <f>C459&amp;A459</f>
        <v>MATERIAL E HIGIENE/LIMPEZAOper</v>
      </c>
      <c r="AE459" s="42" t="str">
        <f>IFERROR(VLOOKUP(C459,[34]Planilha1!$B:$C,2,0),"Não se Aplica")</f>
        <v>Sim</v>
      </c>
      <c r="AF459" s="42" t="str">
        <f>VLOOKUP(AD459,[34]Planilha1!$H:$J,3,0)</f>
        <v>Sim</v>
      </c>
      <c r="AG459" s="43">
        <f t="shared" si="200"/>
        <v>3811.5</v>
      </c>
    </row>
    <row r="460" spans="1:33" x14ac:dyDescent="0.3">
      <c r="A460" s="1" t="s">
        <v>836</v>
      </c>
      <c r="B460" s="81" t="s">
        <v>28</v>
      </c>
      <c r="C460" s="78" t="s">
        <v>538</v>
      </c>
      <c r="D460" s="89" t="s">
        <v>539</v>
      </c>
      <c r="E460" s="90" t="s">
        <v>540</v>
      </c>
      <c r="F460" s="91" t="s">
        <v>23</v>
      </c>
      <c r="G460" s="81" t="s">
        <v>100</v>
      </c>
      <c r="H460" s="81" t="s">
        <v>85</v>
      </c>
      <c r="I460" s="27">
        <v>150</v>
      </c>
      <c r="J460" s="27">
        <v>150</v>
      </c>
      <c r="K460" s="27">
        <v>150</v>
      </c>
      <c r="L460" s="27">
        <v>150</v>
      </c>
      <c r="M460" s="27">
        <v>150</v>
      </c>
      <c r="N460" s="27">
        <v>150</v>
      </c>
      <c r="O460" s="27">
        <v>150</v>
      </c>
      <c r="P460" s="27">
        <v>150</v>
      </c>
      <c r="Q460" s="27">
        <v>150</v>
      </c>
      <c r="R460" s="27">
        <v>150</v>
      </c>
      <c r="S460" s="27">
        <v>150</v>
      </c>
      <c r="T460" s="27">
        <v>150</v>
      </c>
      <c r="U460" s="27">
        <f t="shared" si="201"/>
        <v>1800</v>
      </c>
      <c r="V460" s="6"/>
      <c r="W460" s="6"/>
      <c r="X460" s="87"/>
      <c r="Y460" s="8"/>
      <c r="Z460"/>
      <c r="AA460"/>
      <c r="AB460"/>
      <c r="AD460" s="42" t="str">
        <f>C460&amp;A460</f>
        <v>MATERIAL E HIGIENE/LIMPEZAOper</v>
      </c>
      <c r="AE460" s="42" t="str">
        <f>IFERROR(VLOOKUP(C460,[34]Planilha1!$B:$C,2,0),"Não se Aplica")</f>
        <v>Sim</v>
      </c>
      <c r="AF460" s="42" t="str">
        <f>VLOOKUP(AD460,[34]Planilha1!$H:$J,3,0)</f>
        <v>Sim</v>
      </c>
      <c r="AG460" s="43">
        <f t="shared" si="200"/>
        <v>1633.5</v>
      </c>
    </row>
    <row r="461" spans="1:33" x14ac:dyDescent="0.3">
      <c r="A461" s="1" t="s">
        <v>836</v>
      </c>
      <c r="B461" s="81" t="s">
        <v>28</v>
      </c>
      <c r="C461" s="78" t="s">
        <v>538</v>
      </c>
      <c r="D461" s="86" t="s">
        <v>539</v>
      </c>
      <c r="E461" s="86" t="s">
        <v>540</v>
      </c>
      <c r="F461" s="91" t="s">
        <v>23</v>
      </c>
      <c r="G461" s="81" t="s">
        <v>31</v>
      </c>
      <c r="H461" s="81" t="s">
        <v>85</v>
      </c>
      <c r="I461" s="92">
        <v>610</v>
      </c>
      <c r="J461" s="27">
        <v>610</v>
      </c>
      <c r="K461" s="27">
        <v>610</v>
      </c>
      <c r="L461" s="27">
        <v>610</v>
      </c>
      <c r="M461" s="27">
        <v>610</v>
      </c>
      <c r="N461" s="27">
        <v>610</v>
      </c>
      <c r="O461" s="27">
        <v>610</v>
      </c>
      <c r="P461" s="27">
        <v>610</v>
      </c>
      <c r="Q461" s="27">
        <v>610</v>
      </c>
      <c r="R461" s="27">
        <v>610</v>
      </c>
      <c r="S461" s="27">
        <v>610</v>
      </c>
      <c r="T461" s="27">
        <v>610</v>
      </c>
      <c r="U461" s="27">
        <f t="shared" si="201"/>
        <v>7320</v>
      </c>
      <c r="V461" s="6"/>
      <c r="W461" s="6"/>
      <c r="X461" s="87"/>
      <c r="Y461" s="8"/>
      <c r="Z461"/>
      <c r="AA461"/>
      <c r="AB461"/>
      <c r="AD461" s="42" t="str">
        <f>C461&amp;A461</f>
        <v>MATERIAL E HIGIENE/LIMPEZAOper</v>
      </c>
      <c r="AE461" s="42" t="str">
        <f>IFERROR(VLOOKUP(C461,[34]Planilha1!$B:$C,2,0),"Não se Aplica")</f>
        <v>Sim</v>
      </c>
      <c r="AF461" s="42" t="str">
        <f>VLOOKUP(AD461,[34]Planilha1!$H:$J,3,0)</f>
        <v>Sim</v>
      </c>
      <c r="AG461" s="43">
        <f t="shared" si="200"/>
        <v>6642.9</v>
      </c>
    </row>
    <row r="462" spans="1:33" x14ac:dyDescent="0.3">
      <c r="A462" s="1" t="s">
        <v>836</v>
      </c>
      <c r="B462" s="81" t="s">
        <v>20</v>
      </c>
      <c r="C462" s="78" t="s">
        <v>538</v>
      </c>
      <c r="D462" s="81" t="s">
        <v>539</v>
      </c>
      <c r="E462" s="86" t="s">
        <v>540</v>
      </c>
      <c r="F462" s="91" t="s">
        <v>23</v>
      </c>
      <c r="G462" s="81" t="s">
        <v>32</v>
      </c>
      <c r="H462" s="81" t="s">
        <v>85</v>
      </c>
      <c r="I462" s="27">
        <v>1514.19</v>
      </c>
      <c r="J462" s="27">
        <v>1514.19</v>
      </c>
      <c r="K462" s="27">
        <v>1514.19</v>
      </c>
      <c r="L462" s="27">
        <v>1514.19</v>
      </c>
      <c r="M462" s="27">
        <v>1514.19</v>
      </c>
      <c r="N462" s="27">
        <v>1514.19</v>
      </c>
      <c r="O462" s="27">
        <v>1514.19</v>
      </c>
      <c r="P462" s="27">
        <v>1514.19</v>
      </c>
      <c r="Q462" s="27">
        <v>1514.19</v>
      </c>
      <c r="R462" s="27">
        <v>1514.19</v>
      </c>
      <c r="S462" s="27">
        <v>1514.19</v>
      </c>
      <c r="T462" s="27">
        <v>1514.19</v>
      </c>
      <c r="U462" s="27">
        <f t="shared" si="201"/>
        <v>18170.280000000002</v>
      </c>
      <c r="V462" s="6"/>
      <c r="W462" s="6"/>
      <c r="X462" s="87"/>
      <c r="Y462" s="8"/>
      <c r="Z462"/>
      <c r="AA462"/>
      <c r="AB462"/>
      <c r="AD462" s="42" t="str">
        <f>C462&amp;A462</f>
        <v>MATERIAL E HIGIENE/LIMPEZAOper</v>
      </c>
      <c r="AE462" s="42" t="str">
        <f>IFERROR(VLOOKUP(C462,[34]Planilha1!$B:$C,2,0),"Não se Aplica")</f>
        <v>Sim</v>
      </c>
      <c r="AF462" s="42" t="str">
        <f>VLOOKUP(AD462,[34]Planilha1!$H:$J,3,0)</f>
        <v>Sim</v>
      </c>
      <c r="AG462" s="43">
        <f t="shared" si="200"/>
        <v>16489.529100000003</v>
      </c>
    </row>
    <row r="463" spans="1:33" x14ac:dyDescent="0.3">
      <c r="A463" s="1" t="s">
        <v>836</v>
      </c>
      <c r="B463" s="81" t="s">
        <v>28</v>
      </c>
      <c r="C463" s="78" t="s">
        <v>538</v>
      </c>
      <c r="D463" s="89" t="s">
        <v>539</v>
      </c>
      <c r="E463" s="90" t="s">
        <v>540</v>
      </c>
      <c r="F463" s="91" t="s">
        <v>23</v>
      </c>
      <c r="G463" s="81" t="s">
        <v>32</v>
      </c>
      <c r="H463" s="81" t="s">
        <v>85</v>
      </c>
      <c r="I463" s="27">
        <v>893.2</v>
      </c>
      <c r="J463" s="27">
        <v>893.2</v>
      </c>
      <c r="K463" s="27">
        <v>893.2</v>
      </c>
      <c r="L463" s="27">
        <v>893.2</v>
      </c>
      <c r="M463" s="27">
        <v>893.2</v>
      </c>
      <c r="N463" s="27">
        <v>893.2</v>
      </c>
      <c r="O463" s="27">
        <v>893.2</v>
      </c>
      <c r="P463" s="27">
        <v>893.2</v>
      </c>
      <c r="Q463" s="27">
        <v>893.2</v>
      </c>
      <c r="R463" s="27">
        <v>893.2</v>
      </c>
      <c r="S463" s="27">
        <v>893.2</v>
      </c>
      <c r="T463" s="27">
        <v>893.2</v>
      </c>
      <c r="U463" s="27">
        <f t="shared" si="201"/>
        <v>10718.400000000001</v>
      </c>
      <c r="W463"/>
      <c r="X463" s="87"/>
      <c r="Y463" s="8"/>
      <c r="Z463"/>
      <c r="AA463"/>
      <c r="AB463"/>
      <c r="AD463" s="42" t="str">
        <f>C463&amp;A463</f>
        <v>MATERIAL E HIGIENE/LIMPEZAOper</v>
      </c>
      <c r="AE463" s="42" t="str">
        <f>IFERROR(VLOOKUP(C463,[34]Planilha1!$B:$C,2,0),"Não se Aplica")</f>
        <v>Sim</v>
      </c>
      <c r="AF463" s="42" t="str">
        <f>VLOOKUP(AD463,[34]Planilha1!$H:$J,3,0)</f>
        <v>Sim</v>
      </c>
      <c r="AG463" s="43">
        <f t="shared" si="200"/>
        <v>9726.9480000000003</v>
      </c>
    </row>
    <row r="464" spans="1:33" x14ac:dyDescent="0.3">
      <c r="A464" s="1" t="s">
        <v>836</v>
      </c>
      <c r="B464" s="81" t="s">
        <v>28</v>
      </c>
      <c r="C464" s="78" t="s">
        <v>538</v>
      </c>
      <c r="D464" s="89" t="s">
        <v>539</v>
      </c>
      <c r="E464" s="90" t="s">
        <v>540</v>
      </c>
      <c r="F464" s="91" t="s">
        <v>23</v>
      </c>
      <c r="G464" s="81" t="s">
        <v>90</v>
      </c>
      <c r="H464" s="81" t="s">
        <v>85</v>
      </c>
      <c r="I464" s="27">
        <v>200</v>
      </c>
      <c r="J464" s="27">
        <v>200</v>
      </c>
      <c r="K464" s="27">
        <v>200</v>
      </c>
      <c r="L464" s="27">
        <v>200</v>
      </c>
      <c r="M464" s="27">
        <v>200</v>
      </c>
      <c r="N464" s="27">
        <v>200</v>
      </c>
      <c r="O464" s="27">
        <v>200</v>
      </c>
      <c r="P464" s="27">
        <v>200</v>
      </c>
      <c r="Q464" s="27">
        <v>200</v>
      </c>
      <c r="R464" s="27">
        <v>200</v>
      </c>
      <c r="S464" s="27">
        <v>200</v>
      </c>
      <c r="T464" s="27">
        <v>200</v>
      </c>
      <c r="U464" s="27">
        <f t="shared" si="201"/>
        <v>2400</v>
      </c>
      <c r="V464" s="6"/>
      <c r="W464" s="6"/>
      <c r="X464" s="87"/>
      <c r="Y464" s="8"/>
      <c r="Z464"/>
      <c r="AA464"/>
      <c r="AB464"/>
      <c r="AD464" s="42" t="str">
        <f>C464&amp;A464</f>
        <v>MATERIAL E HIGIENE/LIMPEZAOper</v>
      </c>
      <c r="AE464" s="42" t="str">
        <f>IFERROR(VLOOKUP(C464,[34]Planilha1!$B:$C,2,0),"Não se Aplica")</f>
        <v>Sim</v>
      </c>
      <c r="AF464" s="42" t="str">
        <f>VLOOKUP(AD464,[34]Planilha1!$H:$J,3,0)</f>
        <v>Sim</v>
      </c>
      <c r="AG464" s="43">
        <f t="shared" si="200"/>
        <v>2178</v>
      </c>
    </row>
    <row r="465" spans="1:33" x14ac:dyDescent="0.3">
      <c r="A465" s="1" t="s">
        <v>836</v>
      </c>
      <c r="B465" s="81" t="s">
        <v>20</v>
      </c>
      <c r="C465" s="78" t="s">
        <v>538</v>
      </c>
      <c r="D465" s="89" t="s">
        <v>539</v>
      </c>
      <c r="E465" s="90" t="s">
        <v>540</v>
      </c>
      <c r="F465" s="91" t="s">
        <v>23</v>
      </c>
      <c r="G465" s="81" t="s">
        <v>27</v>
      </c>
      <c r="H465" s="81" t="s">
        <v>85</v>
      </c>
      <c r="I465" s="27">
        <v>297</v>
      </c>
      <c r="J465" s="27">
        <v>297</v>
      </c>
      <c r="K465" s="27">
        <v>297</v>
      </c>
      <c r="L465" s="27">
        <v>297</v>
      </c>
      <c r="M465" s="27">
        <v>297</v>
      </c>
      <c r="N465" s="27">
        <v>297</v>
      </c>
      <c r="O465" s="27">
        <v>297</v>
      </c>
      <c r="P465" s="27">
        <v>297</v>
      </c>
      <c r="Q465" s="27">
        <v>297</v>
      </c>
      <c r="R465" s="27">
        <v>297</v>
      </c>
      <c r="S465" s="27">
        <v>297</v>
      </c>
      <c r="T465" s="27">
        <v>297</v>
      </c>
      <c r="U465" s="27">
        <f t="shared" si="201"/>
        <v>3564</v>
      </c>
      <c r="V465" s="6"/>
      <c r="W465" s="6"/>
      <c r="X465" s="87"/>
      <c r="Y465" s="8"/>
      <c r="Z465"/>
      <c r="AA465"/>
      <c r="AB465"/>
      <c r="AD465" s="42" t="str">
        <f>C465&amp;A465</f>
        <v>MATERIAL E HIGIENE/LIMPEZAOper</v>
      </c>
      <c r="AE465" s="42" t="str">
        <f>IFERROR(VLOOKUP(C465,[34]Planilha1!$B:$C,2,0),"Não se Aplica")</f>
        <v>Sim</v>
      </c>
      <c r="AF465" s="42" t="str">
        <f>VLOOKUP(AD465,[34]Planilha1!$H:$J,3,0)</f>
        <v>Sim</v>
      </c>
      <c r="AG465" s="43">
        <f t="shared" si="200"/>
        <v>3234.33</v>
      </c>
    </row>
    <row r="466" spans="1:33" x14ac:dyDescent="0.3">
      <c r="A466" s="1" t="s">
        <v>836</v>
      </c>
      <c r="B466" s="81" t="s">
        <v>28</v>
      </c>
      <c r="C466" s="78" t="s">
        <v>538</v>
      </c>
      <c r="D466" s="89" t="s">
        <v>539</v>
      </c>
      <c r="E466" s="90" t="s">
        <v>540</v>
      </c>
      <c r="F466" s="91" t="s">
        <v>23</v>
      </c>
      <c r="G466" s="81" t="s">
        <v>27</v>
      </c>
      <c r="H466" s="81" t="s">
        <v>85</v>
      </c>
      <c r="I466" s="27">
        <v>50</v>
      </c>
      <c r="J466" s="27">
        <v>50</v>
      </c>
      <c r="K466" s="27">
        <v>50</v>
      </c>
      <c r="L466" s="27">
        <v>50</v>
      </c>
      <c r="M466" s="27">
        <v>50</v>
      </c>
      <c r="N466" s="27">
        <v>50</v>
      </c>
      <c r="O466" s="27">
        <v>50</v>
      </c>
      <c r="P466" s="27">
        <v>50</v>
      </c>
      <c r="Q466" s="27">
        <v>50</v>
      </c>
      <c r="R466" s="27">
        <v>50</v>
      </c>
      <c r="S466" s="27">
        <v>50</v>
      </c>
      <c r="T466" s="27">
        <v>50</v>
      </c>
      <c r="U466" s="27">
        <f t="shared" si="201"/>
        <v>600</v>
      </c>
      <c r="V466" s="6"/>
      <c r="W466" s="6"/>
      <c r="X466" s="87"/>
      <c r="Y466" s="8"/>
      <c r="Z466"/>
      <c r="AA466"/>
      <c r="AB466"/>
      <c r="AD466" s="42" t="str">
        <f>C466&amp;A466</f>
        <v>MATERIAL E HIGIENE/LIMPEZAOper</v>
      </c>
      <c r="AE466" s="42" t="str">
        <f>IFERROR(VLOOKUP(C466,[34]Planilha1!$B:$C,2,0),"Não se Aplica")</f>
        <v>Sim</v>
      </c>
      <c r="AF466" s="42" t="str">
        <f>VLOOKUP(AD466,[34]Planilha1!$H:$J,3,0)</f>
        <v>Sim</v>
      </c>
      <c r="AG466" s="43">
        <f t="shared" si="200"/>
        <v>544.5</v>
      </c>
    </row>
    <row r="467" spans="1:33" x14ac:dyDescent="0.3">
      <c r="A467" s="1" t="s">
        <v>836</v>
      </c>
      <c r="B467" s="81" t="s">
        <v>28</v>
      </c>
      <c r="C467" s="78" t="s">
        <v>538</v>
      </c>
      <c r="D467" s="89" t="s">
        <v>539</v>
      </c>
      <c r="E467" s="90" t="s">
        <v>540</v>
      </c>
      <c r="F467" s="91" t="s">
        <v>23</v>
      </c>
      <c r="G467" s="81" t="s">
        <v>33</v>
      </c>
      <c r="H467" s="81" t="s">
        <v>85</v>
      </c>
      <c r="I467" s="27">
        <v>150</v>
      </c>
      <c r="J467" s="27">
        <v>150</v>
      </c>
      <c r="K467" s="27">
        <v>150</v>
      </c>
      <c r="L467" s="27">
        <v>150</v>
      </c>
      <c r="M467" s="27">
        <v>150</v>
      </c>
      <c r="N467" s="27">
        <v>150</v>
      </c>
      <c r="O467" s="27">
        <v>150</v>
      </c>
      <c r="P467" s="27">
        <v>150</v>
      </c>
      <c r="Q467" s="27">
        <v>150</v>
      </c>
      <c r="R467" s="27">
        <v>150</v>
      </c>
      <c r="S467" s="27">
        <v>150</v>
      </c>
      <c r="T467" s="27">
        <v>150</v>
      </c>
      <c r="U467" s="27">
        <f t="shared" si="201"/>
        <v>1800</v>
      </c>
      <c r="V467" s="6"/>
      <c r="W467" s="6"/>
      <c r="X467" s="87"/>
      <c r="Y467" s="8"/>
      <c r="Z467"/>
      <c r="AA467"/>
      <c r="AB467"/>
      <c r="AD467" s="42" t="str">
        <f>C467&amp;A467</f>
        <v>MATERIAL E HIGIENE/LIMPEZAOper</v>
      </c>
      <c r="AE467" s="42" t="str">
        <f>IFERROR(VLOOKUP(C467,[34]Planilha1!$B:$C,2,0),"Não se Aplica")</f>
        <v>Sim</v>
      </c>
      <c r="AF467" s="42" t="str">
        <f>VLOOKUP(AD467,[34]Planilha1!$H:$J,3,0)</f>
        <v>Sim</v>
      </c>
      <c r="AG467" s="43">
        <f t="shared" si="200"/>
        <v>1633.5</v>
      </c>
    </row>
    <row r="468" spans="1:33" x14ac:dyDescent="0.3">
      <c r="A468" s="1" t="s">
        <v>836</v>
      </c>
      <c r="B468" s="81" t="s">
        <v>20</v>
      </c>
      <c r="C468" s="78" t="s">
        <v>498</v>
      </c>
      <c r="D468" s="89" t="s">
        <v>541</v>
      </c>
      <c r="E468" s="90"/>
      <c r="F468" s="91" t="s">
        <v>23</v>
      </c>
      <c r="G468" s="81" t="s">
        <v>32</v>
      </c>
      <c r="H468" s="81" t="s">
        <v>85</v>
      </c>
      <c r="I468" s="27"/>
      <c r="J468" s="27"/>
      <c r="K468" s="27">
        <v>200</v>
      </c>
      <c r="L468" s="27"/>
      <c r="M468" s="27"/>
      <c r="N468" s="27"/>
      <c r="O468" s="27"/>
      <c r="P468" s="27"/>
      <c r="Q468" s="27"/>
      <c r="R468" s="27"/>
      <c r="S468" s="27"/>
      <c r="T468" s="27"/>
      <c r="U468" s="27">
        <f t="shared" si="201"/>
        <v>200</v>
      </c>
      <c r="V468" s="6"/>
      <c r="W468" s="6"/>
      <c r="X468" s="87"/>
      <c r="Y468" s="8"/>
      <c r="Z468"/>
      <c r="AA468"/>
      <c r="AB468"/>
      <c r="AD468" s="42" t="str">
        <f>C468&amp;A468</f>
        <v>BENS DE PEQUENO VALOROper</v>
      </c>
      <c r="AE468" s="42" t="str">
        <f>IFERROR(VLOOKUP(C468,[34]Planilha1!$B:$C,2,0),"Não se Aplica")</f>
        <v>Sim</v>
      </c>
      <c r="AF468" s="42" t="str">
        <f>VLOOKUP(AD468,[34]Planilha1!$H:$J,3,0)</f>
        <v>Não</v>
      </c>
      <c r="AG468" s="43">
        <f t="shared" si="200"/>
        <v>200</v>
      </c>
    </row>
    <row r="469" spans="1:33" x14ac:dyDescent="0.3">
      <c r="A469" s="1" t="s">
        <v>836</v>
      </c>
      <c r="B469" s="81" t="s">
        <v>20</v>
      </c>
      <c r="C469" s="78" t="s">
        <v>435</v>
      </c>
      <c r="D469" s="89" t="s">
        <v>542</v>
      </c>
      <c r="E469" s="90"/>
      <c r="F469" s="91" t="s">
        <v>23</v>
      </c>
      <c r="G469" s="81" t="s">
        <v>32</v>
      </c>
      <c r="H469" s="81" t="s">
        <v>85</v>
      </c>
      <c r="I469" s="27">
        <v>0</v>
      </c>
      <c r="J469" s="27">
        <v>0</v>
      </c>
      <c r="K469" s="27">
        <v>0</v>
      </c>
      <c r="L469" s="27">
        <v>0</v>
      </c>
      <c r="M469" s="27">
        <v>0</v>
      </c>
      <c r="N469" s="27">
        <v>0</v>
      </c>
      <c r="O469" s="27">
        <v>0</v>
      </c>
      <c r="P469" s="27">
        <v>0</v>
      </c>
      <c r="Q469" s="27">
        <v>0</v>
      </c>
      <c r="R469" s="27">
        <v>0</v>
      </c>
      <c r="S469" s="27">
        <v>2678.5714285714289</v>
      </c>
      <c r="T469" s="27">
        <v>0</v>
      </c>
      <c r="U469" s="27">
        <f t="shared" si="201"/>
        <v>2678.5714285714289</v>
      </c>
      <c r="V469" s="6"/>
      <c r="W469" s="6"/>
      <c r="X469" s="87"/>
      <c r="Y469" s="8"/>
      <c r="Z469"/>
      <c r="AA469"/>
      <c r="AB469"/>
      <c r="AD469" s="42" t="str">
        <f>C469&amp;A469</f>
        <v>FEIRAS EVENTOS E CONFRATERNIZACOESOper</v>
      </c>
      <c r="AE469" s="42" t="str">
        <f>IFERROR(VLOOKUP(C469,[34]Planilha1!$B:$C,2,0),"Não se Aplica")</f>
        <v>Sim</v>
      </c>
      <c r="AF469" s="42" t="str">
        <f>VLOOKUP(AD469,[34]Planilha1!$H:$J,3,0)</f>
        <v>Não</v>
      </c>
      <c r="AG469" s="43">
        <f t="shared" si="200"/>
        <v>2678.5714285714289</v>
      </c>
    </row>
    <row r="470" spans="1:33" x14ac:dyDescent="0.3">
      <c r="A470" s="1" t="s">
        <v>836</v>
      </c>
      <c r="B470" s="81" t="s">
        <v>28</v>
      </c>
      <c r="C470" s="78" t="s">
        <v>435</v>
      </c>
      <c r="D470" s="89" t="s">
        <v>542</v>
      </c>
      <c r="E470" s="90"/>
      <c r="F470" s="91" t="s">
        <v>23</v>
      </c>
      <c r="G470" s="81" t="s">
        <v>32</v>
      </c>
      <c r="H470" s="81" t="s">
        <v>85</v>
      </c>
      <c r="I470" s="27">
        <v>0</v>
      </c>
      <c r="J470" s="27">
        <v>0</v>
      </c>
      <c r="K470" s="27">
        <v>0</v>
      </c>
      <c r="L470" s="27">
        <v>0</v>
      </c>
      <c r="M470" s="27">
        <v>0</v>
      </c>
      <c r="N470" s="27">
        <v>0</v>
      </c>
      <c r="O470" s="27">
        <v>0</v>
      </c>
      <c r="P470" s="27">
        <v>0</v>
      </c>
      <c r="Q470" s="27">
        <v>0</v>
      </c>
      <c r="R470" s="27">
        <v>0</v>
      </c>
      <c r="S470" s="27">
        <v>446.42857142857144</v>
      </c>
      <c r="T470" s="27">
        <v>0</v>
      </c>
      <c r="U470" s="27">
        <f t="shared" si="201"/>
        <v>446.42857142857144</v>
      </c>
      <c r="W470"/>
      <c r="X470" s="87"/>
      <c r="Y470" s="8"/>
      <c r="Z470"/>
      <c r="AA470"/>
      <c r="AB470"/>
      <c r="AD470" s="42" t="str">
        <f>C470&amp;A470</f>
        <v>FEIRAS EVENTOS E CONFRATERNIZACOESOper</v>
      </c>
      <c r="AE470" s="42" t="str">
        <f>IFERROR(VLOOKUP(C470,[34]Planilha1!$B:$C,2,0),"Não se Aplica")</f>
        <v>Sim</v>
      </c>
      <c r="AF470" s="42" t="str">
        <f>VLOOKUP(AD470,[34]Planilha1!$H:$J,3,0)</f>
        <v>Não</v>
      </c>
      <c r="AG470" s="43">
        <f t="shared" si="200"/>
        <v>446.42857142857144</v>
      </c>
    </row>
    <row r="471" spans="1:33" x14ac:dyDescent="0.3">
      <c r="A471" s="1" t="s">
        <v>836</v>
      </c>
      <c r="B471" s="81" t="s">
        <v>20</v>
      </c>
      <c r="C471" s="78" t="s">
        <v>435</v>
      </c>
      <c r="D471" s="89" t="s">
        <v>542</v>
      </c>
      <c r="E471" s="90"/>
      <c r="F471" s="91" t="s">
        <v>23</v>
      </c>
      <c r="G471" s="81" t="s">
        <v>22</v>
      </c>
      <c r="H471" s="81" t="s">
        <v>85</v>
      </c>
      <c r="I471" s="27">
        <v>0</v>
      </c>
      <c r="J471" s="27">
        <v>0</v>
      </c>
      <c r="K471" s="27">
        <v>0</v>
      </c>
      <c r="L471" s="27">
        <v>0</v>
      </c>
      <c r="M471" s="27">
        <v>0</v>
      </c>
      <c r="N471" s="27">
        <v>0</v>
      </c>
      <c r="O471" s="27">
        <v>0</v>
      </c>
      <c r="P471" s="27">
        <v>0</v>
      </c>
      <c r="Q471" s="27">
        <v>0</v>
      </c>
      <c r="R471" s="27">
        <v>0</v>
      </c>
      <c r="S471" s="27">
        <v>2678.5714285714289</v>
      </c>
      <c r="T471" s="27">
        <v>0</v>
      </c>
      <c r="U471" s="27">
        <f t="shared" si="201"/>
        <v>2678.5714285714289</v>
      </c>
      <c r="V471" s="6"/>
      <c r="W471" s="6"/>
      <c r="X471" s="87"/>
      <c r="Y471" s="8"/>
      <c r="Z471"/>
      <c r="AA471"/>
      <c r="AB471"/>
      <c r="AD471" s="42" t="str">
        <f>C471&amp;A471</f>
        <v>FEIRAS EVENTOS E CONFRATERNIZACOESOper</v>
      </c>
      <c r="AE471" s="42" t="str">
        <f>IFERROR(VLOOKUP(C471,[34]Planilha1!$B:$C,2,0),"Não se Aplica")</f>
        <v>Sim</v>
      </c>
      <c r="AF471" s="42" t="str">
        <f>VLOOKUP(AD471,[34]Planilha1!$H:$J,3,0)</f>
        <v>Não</v>
      </c>
      <c r="AG471" s="43">
        <f t="shared" si="200"/>
        <v>2678.5714285714289</v>
      </c>
    </row>
    <row r="472" spans="1:33" x14ac:dyDescent="0.3">
      <c r="A472" s="1" t="s">
        <v>836</v>
      </c>
      <c r="B472" s="81" t="s">
        <v>28</v>
      </c>
      <c r="C472" s="78" t="s">
        <v>435</v>
      </c>
      <c r="D472" s="89" t="s">
        <v>542</v>
      </c>
      <c r="E472" s="90"/>
      <c r="F472" s="91" t="s">
        <v>23</v>
      </c>
      <c r="G472" s="81" t="s">
        <v>22</v>
      </c>
      <c r="H472" s="81" t="s">
        <v>85</v>
      </c>
      <c r="I472" s="27">
        <v>0</v>
      </c>
      <c r="J472" s="27">
        <v>0</v>
      </c>
      <c r="K472" s="27">
        <v>0</v>
      </c>
      <c r="L472" s="27">
        <v>0</v>
      </c>
      <c r="M472" s="27">
        <v>0</v>
      </c>
      <c r="N472" s="27">
        <v>0</v>
      </c>
      <c r="O472" s="27">
        <v>0</v>
      </c>
      <c r="P472" s="27">
        <v>0</v>
      </c>
      <c r="Q472" s="27">
        <v>0</v>
      </c>
      <c r="R472" s="27">
        <v>0</v>
      </c>
      <c r="S472" s="27">
        <v>446.42857142857144</v>
      </c>
      <c r="T472" s="27">
        <v>0</v>
      </c>
      <c r="U472" s="27">
        <f t="shared" si="201"/>
        <v>446.42857142857144</v>
      </c>
      <c r="V472" s="6"/>
      <c r="W472" s="6"/>
      <c r="X472" s="87"/>
      <c r="Y472" s="8"/>
      <c r="Z472"/>
      <c r="AA472"/>
      <c r="AB472"/>
      <c r="AD472" s="42" t="str">
        <f>C472&amp;A472</f>
        <v>FEIRAS EVENTOS E CONFRATERNIZACOESOper</v>
      </c>
      <c r="AE472" s="42" t="str">
        <f>IFERROR(VLOOKUP(C472,[34]Planilha1!$B:$C,2,0),"Não se Aplica")</f>
        <v>Sim</v>
      </c>
      <c r="AF472" s="42" t="str">
        <f>VLOOKUP(AD472,[34]Planilha1!$H:$J,3,0)</f>
        <v>Não</v>
      </c>
      <c r="AG472" s="43">
        <f t="shared" si="200"/>
        <v>446.42857142857144</v>
      </c>
    </row>
    <row r="473" spans="1:33" x14ac:dyDescent="0.3">
      <c r="A473" s="1" t="s">
        <v>836</v>
      </c>
      <c r="B473" s="81" t="s">
        <v>20</v>
      </c>
      <c r="C473" s="78" t="s">
        <v>435</v>
      </c>
      <c r="D473" s="89" t="s">
        <v>543</v>
      </c>
      <c r="E473" s="86"/>
      <c r="F473" s="91" t="s">
        <v>23</v>
      </c>
      <c r="G473" s="81" t="s">
        <v>32</v>
      </c>
      <c r="H473" s="81" t="s">
        <v>85</v>
      </c>
      <c r="I473" s="27">
        <v>0</v>
      </c>
      <c r="J473" s="27">
        <v>0</v>
      </c>
      <c r="K473" s="27">
        <v>0</v>
      </c>
      <c r="L473" s="27">
        <v>0</v>
      </c>
      <c r="M473" s="27">
        <v>0</v>
      </c>
      <c r="N473" s="27">
        <v>0</v>
      </c>
      <c r="O473" s="27">
        <v>0</v>
      </c>
      <c r="P473" s="27">
        <v>0</v>
      </c>
      <c r="Q473" s="27">
        <v>0</v>
      </c>
      <c r="R473" s="27">
        <v>2678.5714285714289</v>
      </c>
      <c r="S473" s="27">
        <v>0</v>
      </c>
      <c r="T473" s="27">
        <v>0</v>
      </c>
      <c r="U473" s="27">
        <f t="shared" si="201"/>
        <v>2678.5714285714289</v>
      </c>
      <c r="V473" s="6"/>
      <c r="W473" s="6"/>
      <c r="X473" s="87"/>
      <c r="Y473" s="8"/>
      <c r="Z473"/>
      <c r="AA473"/>
      <c r="AB473"/>
      <c r="AD473" s="42" t="str">
        <f>C473&amp;A473</f>
        <v>FEIRAS EVENTOS E CONFRATERNIZACOESOper</v>
      </c>
      <c r="AE473" s="42" t="str">
        <f>IFERROR(VLOOKUP(C473,[34]Planilha1!$B:$C,2,0),"Não se Aplica")</f>
        <v>Sim</v>
      </c>
      <c r="AF473" s="42" t="str">
        <f>VLOOKUP(AD473,[34]Planilha1!$H:$J,3,0)</f>
        <v>Não</v>
      </c>
      <c r="AG473" s="43">
        <f t="shared" si="200"/>
        <v>2678.5714285714289</v>
      </c>
    </row>
    <row r="474" spans="1:33" x14ac:dyDescent="0.3">
      <c r="A474" s="1" t="s">
        <v>836</v>
      </c>
      <c r="B474" s="81" t="s">
        <v>28</v>
      </c>
      <c r="C474" s="78" t="s">
        <v>435</v>
      </c>
      <c r="D474" s="89" t="s">
        <v>543</v>
      </c>
      <c r="E474" s="90"/>
      <c r="F474" s="91" t="s">
        <v>23</v>
      </c>
      <c r="G474" s="81" t="s">
        <v>32</v>
      </c>
      <c r="H474" s="81" t="s">
        <v>85</v>
      </c>
      <c r="I474" s="27">
        <v>0</v>
      </c>
      <c r="J474" s="27">
        <v>0</v>
      </c>
      <c r="K474" s="27">
        <v>0</v>
      </c>
      <c r="L474" s="27">
        <v>0</v>
      </c>
      <c r="M474" s="27">
        <v>0</v>
      </c>
      <c r="N474" s="27">
        <v>0</v>
      </c>
      <c r="O474" s="27">
        <v>0</v>
      </c>
      <c r="P474" s="27">
        <v>0</v>
      </c>
      <c r="Q474" s="27">
        <v>0</v>
      </c>
      <c r="R474" s="27">
        <v>446.42857142857144</v>
      </c>
      <c r="S474" s="27">
        <v>0</v>
      </c>
      <c r="T474" s="27">
        <v>0</v>
      </c>
      <c r="U474" s="27">
        <f t="shared" si="201"/>
        <v>446.42857142857144</v>
      </c>
      <c r="W474"/>
      <c r="X474" s="87"/>
      <c r="Y474" s="8"/>
      <c r="Z474"/>
      <c r="AA474"/>
      <c r="AB474"/>
      <c r="AD474" s="42" t="str">
        <f>C474&amp;A474</f>
        <v>FEIRAS EVENTOS E CONFRATERNIZACOESOper</v>
      </c>
      <c r="AE474" s="42" t="str">
        <f>IFERROR(VLOOKUP(C474,[34]Planilha1!$B:$C,2,0),"Não se Aplica")</f>
        <v>Sim</v>
      </c>
      <c r="AF474" s="42" t="str">
        <f>VLOOKUP(AD474,[34]Planilha1!$H:$J,3,0)</f>
        <v>Não</v>
      </c>
      <c r="AG474" s="43">
        <f t="shared" si="200"/>
        <v>446.42857142857144</v>
      </c>
    </row>
    <row r="475" spans="1:33" x14ac:dyDescent="0.3">
      <c r="A475" s="1" t="s">
        <v>836</v>
      </c>
      <c r="B475" s="81" t="s">
        <v>20</v>
      </c>
      <c r="C475" s="78" t="s">
        <v>435</v>
      </c>
      <c r="D475" s="89" t="s">
        <v>543</v>
      </c>
      <c r="E475" s="90"/>
      <c r="F475" s="91" t="s">
        <v>23</v>
      </c>
      <c r="G475" s="81" t="s">
        <v>22</v>
      </c>
      <c r="H475" s="81" t="s">
        <v>85</v>
      </c>
      <c r="I475" s="27">
        <v>0</v>
      </c>
      <c r="J475" s="27">
        <v>0</v>
      </c>
      <c r="K475" s="27">
        <v>0</v>
      </c>
      <c r="L475" s="27">
        <v>0</v>
      </c>
      <c r="M475" s="27">
        <v>0</v>
      </c>
      <c r="N475" s="27">
        <v>0</v>
      </c>
      <c r="O475" s="27">
        <v>0</v>
      </c>
      <c r="P475" s="27">
        <v>0</v>
      </c>
      <c r="Q475" s="27">
        <v>0</v>
      </c>
      <c r="R475" s="27">
        <v>2678.5714285714289</v>
      </c>
      <c r="S475" s="27">
        <v>0</v>
      </c>
      <c r="T475" s="27">
        <v>0</v>
      </c>
      <c r="U475" s="27">
        <f t="shared" si="201"/>
        <v>2678.5714285714289</v>
      </c>
      <c r="V475" s="6"/>
      <c r="W475" s="6"/>
      <c r="X475" s="87"/>
      <c r="Y475" s="8"/>
      <c r="Z475"/>
      <c r="AA475"/>
      <c r="AB475"/>
      <c r="AD475" s="42" t="str">
        <f>C475&amp;A475</f>
        <v>FEIRAS EVENTOS E CONFRATERNIZACOESOper</v>
      </c>
      <c r="AE475" s="42" t="str">
        <f>IFERROR(VLOOKUP(C475,[34]Planilha1!$B:$C,2,0),"Não se Aplica")</f>
        <v>Sim</v>
      </c>
      <c r="AF475" s="42" t="str">
        <f>VLOOKUP(AD475,[34]Planilha1!$H:$J,3,0)</f>
        <v>Não</v>
      </c>
      <c r="AG475" s="43">
        <f t="shared" si="200"/>
        <v>2678.5714285714289</v>
      </c>
    </row>
    <row r="476" spans="1:33" x14ac:dyDescent="0.3">
      <c r="A476" s="1" t="s">
        <v>836</v>
      </c>
      <c r="B476" s="81" t="s">
        <v>28</v>
      </c>
      <c r="C476" s="78" t="s">
        <v>435</v>
      </c>
      <c r="D476" s="81" t="s">
        <v>543</v>
      </c>
      <c r="E476" s="86"/>
      <c r="F476" s="91" t="s">
        <v>23</v>
      </c>
      <c r="G476" s="81" t="s">
        <v>22</v>
      </c>
      <c r="H476" s="81" t="s">
        <v>85</v>
      </c>
      <c r="I476" s="27">
        <v>0</v>
      </c>
      <c r="J476" s="27">
        <v>0</v>
      </c>
      <c r="K476" s="27">
        <v>0</v>
      </c>
      <c r="L476" s="27">
        <v>0</v>
      </c>
      <c r="M476" s="27">
        <v>0</v>
      </c>
      <c r="N476" s="27">
        <v>0</v>
      </c>
      <c r="O476" s="27">
        <v>0</v>
      </c>
      <c r="P476" s="27">
        <v>0</v>
      </c>
      <c r="Q476" s="27">
        <v>0</v>
      </c>
      <c r="R476" s="27">
        <v>446.42857142857144</v>
      </c>
      <c r="S476" s="27">
        <v>0</v>
      </c>
      <c r="T476" s="27">
        <v>0</v>
      </c>
      <c r="U476" s="27">
        <f t="shared" si="201"/>
        <v>446.42857142857144</v>
      </c>
      <c r="V476" s="6"/>
      <c r="W476" s="6"/>
      <c r="X476" s="87"/>
      <c r="Y476" s="8"/>
      <c r="Z476"/>
      <c r="AA476"/>
      <c r="AB476"/>
      <c r="AD476" s="42" t="str">
        <f>C476&amp;A476</f>
        <v>FEIRAS EVENTOS E CONFRATERNIZACOESOper</v>
      </c>
      <c r="AE476" s="42" t="str">
        <f>IFERROR(VLOOKUP(C476,[34]Planilha1!$B:$C,2,0),"Não se Aplica")</f>
        <v>Sim</v>
      </c>
      <c r="AF476" s="42" t="str">
        <f>VLOOKUP(AD476,[34]Planilha1!$H:$J,3,0)</f>
        <v>Não</v>
      </c>
      <c r="AG476" s="43">
        <f t="shared" si="200"/>
        <v>446.42857142857144</v>
      </c>
    </row>
    <row r="477" spans="1:33" x14ac:dyDescent="0.3">
      <c r="A477" s="1" t="s">
        <v>836</v>
      </c>
      <c r="B477" s="81" t="s">
        <v>20</v>
      </c>
      <c r="C477" s="78" t="s">
        <v>435</v>
      </c>
      <c r="D477" s="81" t="s">
        <v>544</v>
      </c>
      <c r="E477" s="86" t="s">
        <v>545</v>
      </c>
      <c r="F477" s="91" t="s">
        <v>23</v>
      </c>
      <c r="G477" s="81" t="s">
        <v>32</v>
      </c>
      <c r="H477" s="81" t="s">
        <v>85</v>
      </c>
      <c r="I477" s="46">
        <v>0</v>
      </c>
      <c r="J477" s="46">
        <v>0</v>
      </c>
      <c r="K477" s="46">
        <v>0</v>
      </c>
      <c r="L477" s="46">
        <v>0</v>
      </c>
      <c r="M477" s="46">
        <v>0</v>
      </c>
      <c r="N477" s="46">
        <v>0</v>
      </c>
      <c r="O477" s="46">
        <v>0</v>
      </c>
      <c r="P477" s="46">
        <v>0</v>
      </c>
      <c r="Q477" s="46">
        <v>0</v>
      </c>
      <c r="R477" s="46">
        <v>0</v>
      </c>
      <c r="S477" s="46">
        <v>0</v>
      </c>
      <c r="T477" s="46">
        <v>0</v>
      </c>
      <c r="U477" s="27">
        <f t="shared" si="201"/>
        <v>0</v>
      </c>
      <c r="V477" s="6"/>
      <c r="W477" s="6"/>
      <c r="X477" s="87"/>
      <c r="Y477" s="8"/>
      <c r="Z477"/>
      <c r="AA477"/>
      <c r="AB477"/>
      <c r="AD477" s="42" t="str">
        <f>C477&amp;A477</f>
        <v>FEIRAS EVENTOS E CONFRATERNIZACOESOper</v>
      </c>
      <c r="AE477" s="42" t="str">
        <f>IFERROR(VLOOKUP(C477,[34]Planilha1!$B:$C,2,0),"Não se Aplica")</f>
        <v>Sim</v>
      </c>
      <c r="AF477" s="42" t="str">
        <f>VLOOKUP(AD477,[34]Planilha1!$H:$J,3,0)</f>
        <v>Não</v>
      </c>
      <c r="AG477" s="43">
        <f t="shared" si="200"/>
        <v>0</v>
      </c>
    </row>
    <row r="478" spans="1:33" x14ac:dyDescent="0.3">
      <c r="A478" s="1" t="s">
        <v>836</v>
      </c>
      <c r="B478" s="81" t="s">
        <v>20</v>
      </c>
      <c r="C478" s="78" t="s">
        <v>538</v>
      </c>
      <c r="D478" s="81" t="s">
        <v>546</v>
      </c>
      <c r="E478" s="86" t="s">
        <v>547</v>
      </c>
      <c r="F478" s="91" t="s">
        <v>23</v>
      </c>
      <c r="G478" s="81" t="s">
        <v>32</v>
      </c>
      <c r="H478" s="81" t="s">
        <v>85</v>
      </c>
      <c r="I478" s="27">
        <v>6353.71</v>
      </c>
      <c r="J478" s="27">
        <v>6353.71</v>
      </c>
      <c r="K478" s="27">
        <v>6353.71</v>
      </c>
      <c r="L478" s="27">
        <v>6353.71</v>
      </c>
      <c r="M478" s="27">
        <v>6353.71</v>
      </c>
      <c r="N478" s="27">
        <v>6353.71</v>
      </c>
      <c r="O478" s="27">
        <v>6353.71</v>
      </c>
      <c r="P478" s="27">
        <v>6353.71</v>
      </c>
      <c r="Q478" s="27">
        <v>6353.71</v>
      </c>
      <c r="R478" s="27">
        <v>6353.71</v>
      </c>
      <c r="S478" s="27">
        <v>6353.71</v>
      </c>
      <c r="T478" s="27">
        <v>6353.71</v>
      </c>
      <c r="U478" s="27">
        <f t="shared" si="201"/>
        <v>76244.52</v>
      </c>
      <c r="V478" s="6"/>
      <c r="W478" s="6"/>
      <c r="X478" s="87"/>
      <c r="Y478" s="8"/>
      <c r="Z478"/>
      <c r="AA478"/>
      <c r="AB478"/>
      <c r="AD478" s="42" t="str">
        <f>C478&amp;A478</f>
        <v>MATERIAL E HIGIENE/LIMPEZAOper</v>
      </c>
      <c r="AE478" s="42" t="str">
        <f>IFERROR(VLOOKUP(C478,[34]Planilha1!$B:$C,2,0),"Não se Aplica")</f>
        <v>Sim</v>
      </c>
      <c r="AF478" s="42" t="str">
        <f>VLOOKUP(AD478,[34]Planilha1!$H:$J,3,0)</f>
        <v>Sim</v>
      </c>
      <c r="AG478" s="43">
        <f t="shared" si="200"/>
        <v>69191.901899999997</v>
      </c>
    </row>
    <row r="479" spans="1:33" x14ac:dyDescent="0.3">
      <c r="A479" s="1" t="s">
        <v>836</v>
      </c>
      <c r="B479" s="81" t="s">
        <v>28</v>
      </c>
      <c r="C479" s="78" t="s">
        <v>538</v>
      </c>
      <c r="D479" s="81" t="s">
        <v>546</v>
      </c>
      <c r="E479" s="86" t="s">
        <v>547</v>
      </c>
      <c r="F479" s="91" t="s">
        <v>23</v>
      </c>
      <c r="G479" s="81" t="s">
        <v>32</v>
      </c>
      <c r="H479" s="81" t="s">
        <v>85</v>
      </c>
      <c r="I479" s="27">
        <v>1200</v>
      </c>
      <c r="J479" s="27">
        <v>3016.1</v>
      </c>
      <c r="K479" s="27">
        <v>3016.1</v>
      </c>
      <c r="L479" s="27">
        <v>3016.1</v>
      </c>
      <c r="M479" s="27">
        <v>3016.1</v>
      </c>
      <c r="N479" s="27">
        <v>3016.1</v>
      </c>
      <c r="O479" s="27">
        <v>3016.1</v>
      </c>
      <c r="P479" s="27">
        <v>3016.1</v>
      </c>
      <c r="Q479" s="27">
        <v>3016.1</v>
      </c>
      <c r="R479" s="27">
        <v>3016.1</v>
      </c>
      <c r="S479" s="27">
        <v>3016.1</v>
      </c>
      <c r="T479" s="27">
        <v>3016.1</v>
      </c>
      <c r="U479" s="27">
        <f t="shared" si="201"/>
        <v>34377.1</v>
      </c>
      <c r="V479" s="6"/>
      <c r="W479" s="6"/>
      <c r="X479" s="87"/>
      <c r="Y479" s="8"/>
      <c r="Z479"/>
      <c r="AA479"/>
      <c r="AB479"/>
      <c r="AD479" s="42" t="str">
        <f>C479&amp;A479</f>
        <v>MATERIAL E HIGIENE/LIMPEZAOper</v>
      </c>
      <c r="AE479" s="42" t="str">
        <f>IFERROR(VLOOKUP(C479,[34]Planilha1!$B:$C,2,0),"Não se Aplica")</f>
        <v>Sim</v>
      </c>
      <c r="AF479" s="42" t="str">
        <f>VLOOKUP(AD479,[34]Planilha1!$H:$J,3,0)</f>
        <v>Sim</v>
      </c>
      <c r="AG479" s="43">
        <f t="shared" si="200"/>
        <v>31197.218249999998</v>
      </c>
    </row>
    <row r="480" spans="1:33" x14ac:dyDescent="0.3">
      <c r="A480" s="1" t="s">
        <v>836</v>
      </c>
      <c r="B480" s="81" t="s">
        <v>20</v>
      </c>
      <c r="C480" s="78" t="s">
        <v>548</v>
      </c>
      <c r="D480" s="81" t="s">
        <v>549</v>
      </c>
      <c r="E480" s="86" t="s">
        <v>550</v>
      </c>
      <c r="F480" s="91" t="s">
        <v>23</v>
      </c>
      <c r="G480" s="81" t="s">
        <v>32</v>
      </c>
      <c r="H480" s="81" t="s">
        <v>85</v>
      </c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27">
        <f t="shared" si="201"/>
        <v>0</v>
      </c>
      <c r="W480"/>
      <c r="X480" s="87"/>
      <c r="Y480" s="8"/>
      <c r="Z480"/>
      <c r="AA480"/>
      <c r="AB480"/>
      <c r="AD480" s="42" t="str">
        <f>C480&amp;A480</f>
        <v>DESPESAS DIVERSASOper</v>
      </c>
      <c r="AE480" s="42" t="str">
        <f>IFERROR(VLOOKUP(C480,[34]Planilha1!$B:$C,2,0),"Não se Aplica")</f>
        <v>Sim</v>
      </c>
      <c r="AF480" s="42" t="str">
        <f>VLOOKUP(AD480,[34]Planilha1!$H:$J,3,0)</f>
        <v>Não</v>
      </c>
      <c r="AG480" s="43">
        <f t="shared" si="200"/>
        <v>0</v>
      </c>
    </row>
    <row r="481" spans="1:33" x14ac:dyDescent="0.3">
      <c r="A481" s="1" t="s">
        <v>836</v>
      </c>
      <c r="B481" s="81" t="s">
        <v>28</v>
      </c>
      <c r="C481" s="78" t="s">
        <v>551</v>
      </c>
      <c r="D481" s="81" t="s">
        <v>552</v>
      </c>
      <c r="E481" s="86"/>
      <c r="F481" s="91" t="s">
        <v>23</v>
      </c>
      <c r="G481" s="81" t="s">
        <v>90</v>
      </c>
      <c r="H481" s="81" t="s">
        <v>85</v>
      </c>
      <c r="I481" s="27"/>
      <c r="J481" s="27"/>
      <c r="K481" s="27"/>
      <c r="L481" s="27"/>
      <c r="M481" s="27"/>
      <c r="N481" s="27"/>
      <c r="O481" s="27"/>
      <c r="P481" s="27"/>
      <c r="Q481" s="27"/>
      <c r="R481" s="27">
        <v>600</v>
      </c>
      <c r="S481" s="27"/>
      <c r="T481" s="27"/>
      <c r="U481" s="27">
        <f t="shared" si="201"/>
        <v>600</v>
      </c>
      <c r="W481"/>
      <c r="X481" s="87"/>
      <c r="Y481" s="8"/>
      <c r="Z481"/>
      <c r="AA481"/>
      <c r="AB481"/>
      <c r="AD481" s="42" t="str">
        <f>C481&amp;A481</f>
        <v>TAXAS/CUSTAS/CARTORIOOper</v>
      </c>
      <c r="AE481" s="42" t="str">
        <f>IFERROR(VLOOKUP(C481,[34]Planilha1!$B:$C,2,0),"Não se Aplica")</f>
        <v>Sim</v>
      </c>
      <c r="AF481" s="42" t="str">
        <f>VLOOKUP(AD481,[34]Planilha1!$H:$J,3,0)</f>
        <v>Não</v>
      </c>
      <c r="AG481" s="43">
        <f t="shared" si="200"/>
        <v>600</v>
      </c>
    </row>
    <row r="482" spans="1:33" x14ac:dyDescent="0.3">
      <c r="A482" s="1" t="s">
        <v>836</v>
      </c>
      <c r="B482" s="81" t="s">
        <v>20</v>
      </c>
      <c r="C482" s="78" t="s">
        <v>551</v>
      </c>
      <c r="D482" s="81" t="s">
        <v>552</v>
      </c>
      <c r="E482" s="86"/>
      <c r="F482" s="91" t="s">
        <v>23</v>
      </c>
      <c r="G482" s="81" t="s">
        <v>22</v>
      </c>
      <c r="H482" s="81" t="s">
        <v>85</v>
      </c>
      <c r="I482" s="27"/>
      <c r="J482" s="27"/>
      <c r="K482" s="27"/>
      <c r="L482" s="27"/>
      <c r="M482" s="27"/>
      <c r="N482" s="27">
        <v>11700</v>
      </c>
      <c r="O482" s="27"/>
      <c r="P482" s="27"/>
      <c r="Q482" s="27"/>
      <c r="R482" s="27"/>
      <c r="S482" s="27"/>
      <c r="T482" s="27"/>
      <c r="U482" s="27">
        <f t="shared" si="201"/>
        <v>11700</v>
      </c>
      <c r="W482"/>
      <c r="X482" s="87"/>
      <c r="Y482" s="8"/>
      <c r="Z482"/>
      <c r="AA482"/>
      <c r="AB482"/>
      <c r="AD482" s="42" t="str">
        <f>C482&amp;A482</f>
        <v>TAXAS/CUSTAS/CARTORIOOper</v>
      </c>
      <c r="AE482" s="42" t="str">
        <f>IFERROR(VLOOKUP(C482,[34]Planilha1!$B:$C,2,0),"Não se Aplica")</f>
        <v>Sim</v>
      </c>
      <c r="AF482" s="42" t="str">
        <f>VLOOKUP(AD482,[34]Planilha1!$H:$J,3,0)</f>
        <v>Não</v>
      </c>
      <c r="AG482" s="43">
        <f t="shared" si="200"/>
        <v>11700</v>
      </c>
    </row>
    <row r="483" spans="1:33" x14ac:dyDescent="0.3">
      <c r="A483" s="1" t="s">
        <v>836</v>
      </c>
      <c r="B483" s="81" t="s">
        <v>20</v>
      </c>
      <c r="C483" s="78" t="s">
        <v>551</v>
      </c>
      <c r="D483" s="81" t="s">
        <v>552</v>
      </c>
      <c r="E483" s="86"/>
      <c r="F483" s="91" t="s">
        <v>23</v>
      </c>
      <c r="G483" s="81" t="s">
        <v>31</v>
      </c>
      <c r="H483" s="81" t="s">
        <v>85</v>
      </c>
      <c r="I483" s="27"/>
      <c r="J483" s="27"/>
      <c r="K483" s="27"/>
      <c r="L483" s="27"/>
      <c r="M483" s="27"/>
      <c r="N483" s="27"/>
      <c r="O483" s="27"/>
      <c r="P483" s="27"/>
      <c r="Q483" s="27">
        <v>650</v>
      </c>
      <c r="R483" s="27"/>
      <c r="S483" s="27"/>
      <c r="T483" s="27"/>
      <c r="U483" s="27">
        <f t="shared" si="201"/>
        <v>650</v>
      </c>
      <c r="W483"/>
      <c r="X483" s="87"/>
      <c r="Y483" s="8"/>
      <c r="Z483"/>
      <c r="AA483"/>
      <c r="AB483"/>
      <c r="AD483" s="42" t="str">
        <f>C483&amp;A483</f>
        <v>TAXAS/CUSTAS/CARTORIOOper</v>
      </c>
      <c r="AE483" s="42" t="str">
        <f>IFERROR(VLOOKUP(C483,[34]Planilha1!$B:$C,2,0),"Não se Aplica")</f>
        <v>Sim</v>
      </c>
      <c r="AF483" s="42" t="str">
        <f>VLOOKUP(AD483,[34]Planilha1!$H:$J,3,0)</f>
        <v>Não</v>
      </c>
      <c r="AG483" s="43">
        <f t="shared" si="200"/>
        <v>650</v>
      </c>
    </row>
    <row r="484" spans="1:33" x14ac:dyDescent="0.3">
      <c r="A484" s="1" t="s">
        <v>836</v>
      </c>
      <c r="B484" s="81" t="s">
        <v>28</v>
      </c>
      <c r="C484" s="78" t="s">
        <v>551</v>
      </c>
      <c r="D484" s="81" t="s">
        <v>552</v>
      </c>
      <c r="E484" s="86"/>
      <c r="F484" s="91" t="s">
        <v>23</v>
      </c>
      <c r="G484" s="81" t="s">
        <v>31</v>
      </c>
      <c r="H484" s="81" t="s">
        <v>85</v>
      </c>
      <c r="I484" s="27"/>
      <c r="J484" s="27"/>
      <c r="K484" s="27"/>
      <c r="L484" s="27"/>
      <c r="M484" s="27"/>
      <c r="N484" s="27"/>
      <c r="O484" s="27"/>
      <c r="P484" s="27"/>
      <c r="Q484" s="27">
        <v>650</v>
      </c>
      <c r="R484" s="27"/>
      <c r="S484" s="27"/>
      <c r="T484" s="27"/>
      <c r="U484" s="27">
        <f t="shared" si="201"/>
        <v>650</v>
      </c>
      <c r="W484"/>
      <c r="X484" s="87"/>
      <c r="Y484" s="8"/>
      <c r="Z484"/>
      <c r="AA484"/>
      <c r="AB484"/>
      <c r="AD484" s="42" t="str">
        <f>C484&amp;A484</f>
        <v>TAXAS/CUSTAS/CARTORIOOper</v>
      </c>
      <c r="AE484" s="42" t="str">
        <f>IFERROR(VLOOKUP(C484,[34]Planilha1!$B:$C,2,0),"Não se Aplica")</f>
        <v>Sim</v>
      </c>
      <c r="AF484" s="42" t="str">
        <f>VLOOKUP(AD484,[34]Planilha1!$H:$J,3,0)</f>
        <v>Não</v>
      </c>
      <c r="AG484" s="43">
        <f t="shared" si="200"/>
        <v>650</v>
      </c>
    </row>
    <row r="485" spans="1:33" x14ac:dyDescent="0.3">
      <c r="A485" s="1" t="s">
        <v>836</v>
      </c>
      <c r="B485" s="81" t="s">
        <v>28</v>
      </c>
      <c r="C485" s="78" t="s">
        <v>551</v>
      </c>
      <c r="D485" s="81" t="s">
        <v>552</v>
      </c>
      <c r="E485" s="86"/>
      <c r="F485" s="91" t="s">
        <v>23</v>
      </c>
      <c r="G485" s="81" t="s">
        <v>30</v>
      </c>
      <c r="H485" s="81" t="s">
        <v>85</v>
      </c>
      <c r="I485" s="27"/>
      <c r="J485" s="27"/>
      <c r="K485" s="27">
        <v>900</v>
      </c>
      <c r="L485" s="27"/>
      <c r="M485" s="27"/>
      <c r="N485" s="27"/>
      <c r="O485" s="27"/>
      <c r="P485" s="27"/>
      <c r="Q485" s="27"/>
      <c r="R485" s="27"/>
      <c r="S485" s="27"/>
      <c r="T485" s="27"/>
      <c r="U485" s="27">
        <f t="shared" si="201"/>
        <v>900</v>
      </c>
      <c r="W485"/>
      <c r="X485" s="87"/>
      <c r="Y485" s="8"/>
      <c r="Z485"/>
      <c r="AA485"/>
      <c r="AB485"/>
      <c r="AD485" s="42" t="str">
        <f>C485&amp;A485</f>
        <v>TAXAS/CUSTAS/CARTORIOOper</v>
      </c>
      <c r="AE485" s="42" t="str">
        <f>IFERROR(VLOOKUP(C485,[34]Planilha1!$B:$C,2,0),"Não se Aplica")</f>
        <v>Sim</v>
      </c>
      <c r="AF485" s="42" t="str">
        <f>VLOOKUP(AD485,[34]Planilha1!$H:$J,3,0)</f>
        <v>Não</v>
      </c>
      <c r="AG485" s="43">
        <f t="shared" ref="AG485:AG510" si="202">IF(AF485="Sim", U485 * 0.9075, U485)</f>
        <v>900</v>
      </c>
    </row>
    <row r="486" spans="1:33" x14ac:dyDescent="0.3">
      <c r="A486" s="1" t="s">
        <v>836</v>
      </c>
      <c r="B486" s="81" t="s">
        <v>28</v>
      </c>
      <c r="C486" s="78" t="s">
        <v>551</v>
      </c>
      <c r="D486" s="81" t="s">
        <v>552</v>
      </c>
      <c r="E486" s="86"/>
      <c r="F486" s="91" t="s">
        <v>23</v>
      </c>
      <c r="G486" s="81" t="s">
        <v>33</v>
      </c>
      <c r="H486" s="81" t="s">
        <v>85</v>
      </c>
      <c r="I486" s="27"/>
      <c r="J486" s="27"/>
      <c r="K486" s="27"/>
      <c r="L486" s="27">
        <v>430</v>
      </c>
      <c r="M486" s="27"/>
      <c r="N486" s="27"/>
      <c r="O486" s="27"/>
      <c r="P486" s="27"/>
      <c r="Q486" s="27"/>
      <c r="R486" s="27"/>
      <c r="S486" s="27"/>
      <c r="T486" s="27"/>
      <c r="U486" s="27">
        <f t="shared" si="201"/>
        <v>430</v>
      </c>
      <c r="W486"/>
      <c r="X486" s="87"/>
      <c r="Y486" s="8"/>
      <c r="Z486"/>
      <c r="AA486"/>
      <c r="AB486"/>
      <c r="AD486" s="42" t="str">
        <f>C486&amp;A486</f>
        <v>TAXAS/CUSTAS/CARTORIOOper</v>
      </c>
      <c r="AE486" s="42" t="str">
        <f>IFERROR(VLOOKUP(C486,[34]Planilha1!$B:$C,2,0),"Não se Aplica")</f>
        <v>Sim</v>
      </c>
      <c r="AF486" s="42" t="str">
        <f>VLOOKUP(AD486,[34]Planilha1!$H:$J,3,0)</f>
        <v>Não</v>
      </c>
      <c r="AG486" s="43">
        <f t="shared" si="202"/>
        <v>430</v>
      </c>
    </row>
    <row r="487" spans="1:33" x14ac:dyDescent="0.3">
      <c r="A487" s="1" t="s">
        <v>836</v>
      </c>
      <c r="B487" s="81" t="s">
        <v>28</v>
      </c>
      <c r="C487" s="78" t="s">
        <v>551</v>
      </c>
      <c r="D487" s="81" t="s">
        <v>552</v>
      </c>
      <c r="E487" s="86"/>
      <c r="F487" s="91" t="s">
        <v>23</v>
      </c>
      <c r="G487" s="81" t="s">
        <v>100</v>
      </c>
      <c r="H487" s="81" t="s">
        <v>85</v>
      </c>
      <c r="I487" s="27"/>
      <c r="J487" s="27"/>
      <c r="K487" s="27"/>
      <c r="L487" s="27"/>
      <c r="M487" s="27">
        <v>600</v>
      </c>
      <c r="N487" s="27"/>
      <c r="O487" s="27"/>
      <c r="P487" s="27"/>
      <c r="Q487" s="27"/>
      <c r="R487" s="27"/>
      <c r="S487" s="27"/>
      <c r="T487" s="27"/>
      <c r="U487" s="27">
        <f t="shared" si="201"/>
        <v>600</v>
      </c>
      <c r="W487"/>
      <c r="X487" s="87"/>
      <c r="Y487" s="8"/>
      <c r="Z487"/>
      <c r="AA487"/>
      <c r="AB487"/>
      <c r="AD487" s="42" t="str">
        <f>C487&amp;A487</f>
        <v>TAXAS/CUSTAS/CARTORIOOper</v>
      </c>
      <c r="AE487" s="42" t="str">
        <f>IFERROR(VLOOKUP(C487,[34]Planilha1!$B:$C,2,0),"Não se Aplica")</f>
        <v>Sim</v>
      </c>
      <c r="AF487" s="42" t="str">
        <f>VLOOKUP(AD487,[34]Planilha1!$H:$J,3,0)</f>
        <v>Não</v>
      </c>
      <c r="AG487" s="43">
        <f t="shared" si="202"/>
        <v>600</v>
      </c>
    </row>
    <row r="488" spans="1:33" x14ac:dyDescent="0.3">
      <c r="A488" s="1" t="s">
        <v>836</v>
      </c>
      <c r="B488" s="81" t="s">
        <v>28</v>
      </c>
      <c r="C488" s="78" t="s">
        <v>551</v>
      </c>
      <c r="D488" s="81" t="s">
        <v>552</v>
      </c>
      <c r="E488" s="86"/>
      <c r="F488" s="91" t="s">
        <v>23</v>
      </c>
      <c r="G488" s="81" t="s">
        <v>29</v>
      </c>
      <c r="H488" s="81" t="s">
        <v>85</v>
      </c>
      <c r="I488" s="27"/>
      <c r="J488" s="27"/>
      <c r="K488" s="27"/>
      <c r="L488" s="27"/>
      <c r="M488" s="27"/>
      <c r="N488" s="27">
        <v>600</v>
      </c>
      <c r="O488" s="27"/>
      <c r="P488" s="27"/>
      <c r="Q488" s="27"/>
      <c r="R488" s="27"/>
      <c r="S488" s="27"/>
      <c r="T488" s="27"/>
      <c r="U488" s="27">
        <f t="shared" si="201"/>
        <v>600</v>
      </c>
      <c r="W488"/>
      <c r="X488" s="87"/>
      <c r="Y488" s="8"/>
      <c r="Z488"/>
      <c r="AA488"/>
      <c r="AB488"/>
      <c r="AD488" s="42" t="str">
        <f>C488&amp;A488</f>
        <v>TAXAS/CUSTAS/CARTORIOOper</v>
      </c>
      <c r="AE488" s="42" t="str">
        <f>IFERROR(VLOOKUP(C488,[34]Planilha1!$B:$C,2,0),"Não se Aplica")</f>
        <v>Sim</v>
      </c>
      <c r="AF488" s="42" t="str">
        <f>VLOOKUP(AD488,[34]Planilha1!$H:$J,3,0)</f>
        <v>Não</v>
      </c>
      <c r="AG488" s="43">
        <f t="shared" si="202"/>
        <v>600</v>
      </c>
    </row>
    <row r="489" spans="1:33" x14ac:dyDescent="0.3">
      <c r="A489" s="1" t="s">
        <v>836</v>
      </c>
      <c r="B489" s="81" t="s">
        <v>28</v>
      </c>
      <c r="C489" s="78" t="s">
        <v>551</v>
      </c>
      <c r="D489" s="81" t="s">
        <v>552</v>
      </c>
      <c r="E489" s="86"/>
      <c r="F489" s="91" t="s">
        <v>23</v>
      </c>
      <c r="G489" s="81" t="s">
        <v>27</v>
      </c>
      <c r="H489" s="81" t="s">
        <v>85</v>
      </c>
      <c r="I489" s="27"/>
      <c r="J489" s="27"/>
      <c r="K489" s="27"/>
      <c r="L489" s="27"/>
      <c r="M489" s="27"/>
      <c r="N489" s="27"/>
      <c r="O489" s="27">
        <v>600</v>
      </c>
      <c r="P489" s="27"/>
      <c r="Q489" s="27"/>
      <c r="R489" s="27"/>
      <c r="S489" s="27"/>
      <c r="T489" s="27"/>
      <c r="U489" s="27">
        <f t="shared" si="201"/>
        <v>600</v>
      </c>
      <c r="W489"/>
      <c r="X489" s="87"/>
      <c r="Y489" s="8"/>
      <c r="Z489"/>
      <c r="AA489"/>
      <c r="AB489"/>
      <c r="AD489" s="42" t="str">
        <f>C489&amp;A489</f>
        <v>TAXAS/CUSTAS/CARTORIOOper</v>
      </c>
      <c r="AE489" s="42" t="str">
        <f>IFERROR(VLOOKUP(C489,[34]Planilha1!$B:$C,2,0),"Não se Aplica")</f>
        <v>Sim</v>
      </c>
      <c r="AF489" s="42" t="str">
        <f>VLOOKUP(AD489,[34]Planilha1!$H:$J,3,0)</f>
        <v>Não</v>
      </c>
      <c r="AG489" s="43">
        <f t="shared" si="202"/>
        <v>600</v>
      </c>
    </row>
    <row r="490" spans="1:33" x14ac:dyDescent="0.3">
      <c r="A490" s="1" t="s">
        <v>836</v>
      </c>
      <c r="B490" s="81" t="s">
        <v>20</v>
      </c>
      <c r="C490" s="78" t="s">
        <v>551</v>
      </c>
      <c r="D490" s="81" t="s">
        <v>553</v>
      </c>
      <c r="E490" s="86" t="s">
        <v>554</v>
      </c>
      <c r="F490" s="91" t="s">
        <v>23</v>
      </c>
      <c r="G490" s="81" t="s">
        <v>32</v>
      </c>
      <c r="H490" s="81" t="s">
        <v>85</v>
      </c>
      <c r="I490" s="27"/>
      <c r="J490" s="27"/>
      <c r="K490" s="27"/>
      <c r="L490" s="27">
        <v>600</v>
      </c>
      <c r="M490" s="27"/>
      <c r="N490" s="27"/>
      <c r="O490" s="27"/>
      <c r="P490" s="27"/>
      <c r="Q490" s="27"/>
      <c r="R490" s="27"/>
      <c r="S490" s="27"/>
      <c r="T490" s="27"/>
      <c r="U490" s="27">
        <f t="shared" ref="U490:U510" si="203">SUM(I490:T490)</f>
        <v>600</v>
      </c>
      <c r="V490" s="93"/>
      <c r="W490" s="94"/>
      <c r="X490" s="87"/>
      <c r="Y490" s="95"/>
      <c r="Z490"/>
      <c r="AA490"/>
      <c r="AB490"/>
      <c r="AD490" s="42" t="str">
        <f>C490&amp;A490</f>
        <v>TAXAS/CUSTAS/CARTORIOOper</v>
      </c>
      <c r="AE490" s="42" t="str">
        <f>IFERROR(VLOOKUP(C490,[34]Planilha1!$B:$C,2,0),"Não se Aplica")</f>
        <v>Sim</v>
      </c>
      <c r="AF490" s="42" t="str">
        <f>VLOOKUP(AD490,[34]Planilha1!$H:$J,3,0)</f>
        <v>Não</v>
      </c>
      <c r="AG490" s="43">
        <f t="shared" si="202"/>
        <v>600</v>
      </c>
    </row>
    <row r="491" spans="1:33" x14ac:dyDescent="0.3">
      <c r="A491" s="1" t="s">
        <v>836</v>
      </c>
      <c r="B491" s="81" t="s">
        <v>28</v>
      </c>
      <c r="C491" s="78" t="s">
        <v>551</v>
      </c>
      <c r="D491" s="81" t="s">
        <v>553</v>
      </c>
      <c r="E491" s="86" t="s">
        <v>554</v>
      </c>
      <c r="F491" s="91" t="s">
        <v>23</v>
      </c>
      <c r="G491" s="81" t="s">
        <v>32</v>
      </c>
      <c r="H491" s="81" t="s">
        <v>85</v>
      </c>
      <c r="I491" s="27"/>
      <c r="J491" s="27"/>
      <c r="K491" s="27"/>
      <c r="L491" s="27">
        <v>600</v>
      </c>
      <c r="M491" s="27"/>
      <c r="N491" s="27"/>
      <c r="O491" s="27"/>
      <c r="P491" s="27"/>
      <c r="Q491" s="27"/>
      <c r="R491" s="27"/>
      <c r="S491" s="27"/>
      <c r="T491" s="27"/>
      <c r="U491" s="27">
        <f t="shared" si="203"/>
        <v>600</v>
      </c>
      <c r="V491" s="96"/>
      <c r="W491" s="94"/>
      <c r="X491" s="87"/>
      <c r="Y491" s="95"/>
      <c r="Z491"/>
      <c r="AA491"/>
      <c r="AB491"/>
      <c r="AD491" s="42" t="str">
        <f>C491&amp;A491</f>
        <v>TAXAS/CUSTAS/CARTORIOOper</v>
      </c>
      <c r="AE491" s="42" t="str">
        <f>IFERROR(VLOOKUP(C491,[34]Planilha1!$B:$C,2,0),"Não se Aplica")</f>
        <v>Sim</v>
      </c>
      <c r="AF491" s="42" t="str">
        <f>VLOOKUP(AD491,[34]Planilha1!$H:$J,3,0)</f>
        <v>Não</v>
      </c>
      <c r="AG491" s="43">
        <f t="shared" si="202"/>
        <v>600</v>
      </c>
    </row>
    <row r="492" spans="1:33" x14ac:dyDescent="0.3">
      <c r="A492" s="1" t="s">
        <v>836</v>
      </c>
      <c r="B492" s="81" t="s">
        <v>20</v>
      </c>
      <c r="C492" s="78" t="s">
        <v>551</v>
      </c>
      <c r="D492" s="81" t="s">
        <v>555</v>
      </c>
      <c r="E492" s="86"/>
      <c r="F492" s="91" t="s">
        <v>23</v>
      </c>
      <c r="G492" s="81" t="s">
        <v>32</v>
      </c>
      <c r="H492" s="81" t="s">
        <v>85</v>
      </c>
      <c r="I492" s="27"/>
      <c r="J492" s="27"/>
      <c r="K492" s="27"/>
      <c r="L492" s="27">
        <v>600</v>
      </c>
      <c r="M492" s="27"/>
      <c r="N492" s="27"/>
      <c r="O492" s="27"/>
      <c r="P492" s="27"/>
      <c r="Q492" s="27"/>
      <c r="R492" s="27"/>
      <c r="S492" s="27"/>
      <c r="T492" s="27"/>
      <c r="U492" s="27">
        <f t="shared" si="203"/>
        <v>600</v>
      </c>
      <c r="V492" s="96"/>
      <c r="W492" s="94"/>
      <c r="X492" s="87"/>
      <c r="Y492" s="95"/>
      <c r="Z492"/>
      <c r="AA492"/>
      <c r="AB492"/>
      <c r="AD492" s="42" t="str">
        <f>C492&amp;A492</f>
        <v>TAXAS/CUSTAS/CARTORIOOper</v>
      </c>
      <c r="AE492" s="42" t="str">
        <f>IFERROR(VLOOKUP(C492,[34]Planilha1!$B:$C,2,0),"Não se Aplica")</f>
        <v>Sim</v>
      </c>
      <c r="AF492" s="42" t="str">
        <f>VLOOKUP(AD492,[34]Planilha1!$H:$J,3,0)</f>
        <v>Não</v>
      </c>
      <c r="AG492" s="43">
        <f t="shared" si="202"/>
        <v>600</v>
      </c>
    </row>
    <row r="493" spans="1:33" x14ac:dyDescent="0.3">
      <c r="A493" s="1" t="s">
        <v>836</v>
      </c>
      <c r="B493" s="81" t="s">
        <v>28</v>
      </c>
      <c r="C493" s="78" t="s">
        <v>551</v>
      </c>
      <c r="D493" s="81" t="s">
        <v>555</v>
      </c>
      <c r="E493" s="86"/>
      <c r="F493" s="91" t="s">
        <v>23</v>
      </c>
      <c r="G493" s="81" t="s">
        <v>32</v>
      </c>
      <c r="H493" s="81" t="s">
        <v>85</v>
      </c>
      <c r="I493" s="27"/>
      <c r="J493" s="27"/>
      <c r="K493" s="27"/>
      <c r="L493" s="27">
        <v>600</v>
      </c>
      <c r="M493" s="27"/>
      <c r="N493" s="27"/>
      <c r="O493" s="27"/>
      <c r="P493" s="27"/>
      <c r="Q493" s="27"/>
      <c r="R493" s="27"/>
      <c r="S493" s="27"/>
      <c r="T493" s="27"/>
      <c r="U493" s="27">
        <f t="shared" si="203"/>
        <v>600</v>
      </c>
      <c r="V493" s="93"/>
      <c r="W493" s="94"/>
      <c r="X493" s="87"/>
      <c r="Y493" s="95"/>
      <c r="Z493"/>
      <c r="AA493"/>
      <c r="AB493"/>
      <c r="AD493" s="42" t="str">
        <f>C493&amp;A493</f>
        <v>TAXAS/CUSTAS/CARTORIOOper</v>
      </c>
      <c r="AE493" s="42" t="str">
        <f>IFERROR(VLOOKUP(C493,[34]Planilha1!$B:$C,2,0),"Não se Aplica")</f>
        <v>Sim</v>
      </c>
      <c r="AF493" s="42" t="str">
        <f>VLOOKUP(AD493,[34]Planilha1!$H:$J,3,0)</f>
        <v>Não</v>
      </c>
      <c r="AG493" s="43">
        <f t="shared" si="202"/>
        <v>600</v>
      </c>
    </row>
    <row r="494" spans="1:33" x14ac:dyDescent="0.3">
      <c r="A494" s="1" t="s">
        <v>836</v>
      </c>
      <c r="B494" s="81" t="s">
        <v>20</v>
      </c>
      <c r="C494" s="78" t="s">
        <v>551</v>
      </c>
      <c r="D494" s="81" t="s">
        <v>556</v>
      </c>
      <c r="E494" s="86" t="s">
        <v>554</v>
      </c>
      <c r="F494" s="91" t="s">
        <v>23</v>
      </c>
      <c r="G494" s="81" t="s">
        <v>22</v>
      </c>
      <c r="H494" s="81" t="s">
        <v>85</v>
      </c>
      <c r="I494" s="27"/>
      <c r="J494" s="27"/>
      <c r="K494" s="27"/>
      <c r="L494" s="27">
        <v>600</v>
      </c>
      <c r="M494" s="27"/>
      <c r="N494" s="27"/>
      <c r="O494" s="27"/>
      <c r="P494" s="27"/>
      <c r="Q494" s="27"/>
      <c r="R494" s="27"/>
      <c r="S494" s="27"/>
      <c r="T494" s="27"/>
      <c r="U494" s="27">
        <f t="shared" si="203"/>
        <v>600</v>
      </c>
      <c r="V494" s="93"/>
      <c r="W494" s="94"/>
      <c r="X494" s="87"/>
      <c r="Y494" s="95"/>
      <c r="Z494"/>
      <c r="AA494"/>
      <c r="AB494"/>
      <c r="AD494" s="42" t="str">
        <f>C494&amp;A494</f>
        <v>TAXAS/CUSTAS/CARTORIOOper</v>
      </c>
      <c r="AE494" s="42" t="str">
        <f>IFERROR(VLOOKUP(C494,[34]Planilha1!$B:$C,2,0),"Não se Aplica")</f>
        <v>Sim</v>
      </c>
      <c r="AF494" s="42" t="str">
        <f>VLOOKUP(AD494,[34]Planilha1!$H:$J,3,0)</f>
        <v>Não</v>
      </c>
      <c r="AG494" s="43">
        <f t="shared" si="202"/>
        <v>600</v>
      </c>
    </row>
    <row r="495" spans="1:33" x14ac:dyDescent="0.3">
      <c r="A495" s="1" t="s">
        <v>836</v>
      </c>
      <c r="B495" s="81" t="s">
        <v>28</v>
      </c>
      <c r="C495" s="78" t="s">
        <v>551</v>
      </c>
      <c r="D495" s="81" t="s">
        <v>556</v>
      </c>
      <c r="E495" s="86" t="s">
        <v>554</v>
      </c>
      <c r="F495" s="91" t="s">
        <v>23</v>
      </c>
      <c r="G495" s="81" t="s">
        <v>22</v>
      </c>
      <c r="H495" s="81" t="s">
        <v>85</v>
      </c>
      <c r="I495" s="27"/>
      <c r="J495" s="27"/>
      <c r="K495" s="27"/>
      <c r="L495" s="27">
        <v>600</v>
      </c>
      <c r="M495" s="27"/>
      <c r="N495" s="27"/>
      <c r="O495" s="27"/>
      <c r="P495" s="27"/>
      <c r="Q495" s="27"/>
      <c r="R495" s="27"/>
      <c r="S495" s="27"/>
      <c r="T495" s="27"/>
      <c r="U495" s="27">
        <f t="shared" si="203"/>
        <v>600</v>
      </c>
      <c r="V495" s="96"/>
      <c r="W495" s="97"/>
      <c r="X495" s="98"/>
      <c r="Y495" s="95"/>
      <c r="Z495"/>
      <c r="AA495"/>
      <c r="AB495"/>
      <c r="AD495" s="42" t="str">
        <f>C495&amp;A495</f>
        <v>TAXAS/CUSTAS/CARTORIOOper</v>
      </c>
      <c r="AE495" s="42" t="str">
        <f>IFERROR(VLOOKUP(C495,[34]Planilha1!$B:$C,2,0),"Não se Aplica")</f>
        <v>Sim</v>
      </c>
      <c r="AF495" s="42" t="str">
        <f>VLOOKUP(AD495,[34]Planilha1!$H:$J,3,0)</f>
        <v>Não</v>
      </c>
      <c r="AG495" s="43">
        <f t="shared" si="202"/>
        <v>600</v>
      </c>
    </row>
    <row r="496" spans="1:33" x14ac:dyDescent="0.3">
      <c r="A496" s="1" t="s">
        <v>836</v>
      </c>
      <c r="B496" s="81" t="s">
        <v>20</v>
      </c>
      <c r="C496" s="78" t="s">
        <v>551</v>
      </c>
      <c r="D496" s="81" t="s">
        <v>556</v>
      </c>
      <c r="E496" s="86"/>
      <c r="F496" s="91" t="s">
        <v>23</v>
      </c>
      <c r="G496" s="81" t="s">
        <v>32</v>
      </c>
      <c r="H496" s="81" t="s">
        <v>85</v>
      </c>
      <c r="I496" s="27"/>
      <c r="J496" s="27"/>
      <c r="K496" s="27"/>
      <c r="L496" s="27">
        <v>600</v>
      </c>
      <c r="M496" s="27"/>
      <c r="N496" s="27"/>
      <c r="O496" s="27"/>
      <c r="P496" s="27"/>
      <c r="Q496" s="27"/>
      <c r="R496" s="27"/>
      <c r="S496" s="27"/>
      <c r="T496" s="27"/>
      <c r="U496" s="27">
        <f t="shared" si="203"/>
        <v>600</v>
      </c>
      <c r="V496" s="96"/>
      <c r="W496" s="97"/>
      <c r="X496" s="98"/>
      <c r="Y496" s="95"/>
      <c r="Z496"/>
      <c r="AA496"/>
      <c r="AB496"/>
      <c r="AD496" s="42" t="str">
        <f>C496&amp;A496</f>
        <v>TAXAS/CUSTAS/CARTORIOOper</v>
      </c>
      <c r="AE496" s="42" t="str">
        <f>IFERROR(VLOOKUP(C496,[34]Planilha1!$B:$C,2,0),"Não se Aplica")</f>
        <v>Sim</v>
      </c>
      <c r="AF496" s="42" t="str">
        <f>VLOOKUP(AD496,[34]Planilha1!$H:$J,3,0)</f>
        <v>Não</v>
      </c>
      <c r="AG496" s="43">
        <f t="shared" si="202"/>
        <v>600</v>
      </c>
    </row>
    <row r="497" spans="1:33" x14ac:dyDescent="0.3">
      <c r="A497" s="1" t="s">
        <v>836</v>
      </c>
      <c r="B497" s="81" t="s">
        <v>28</v>
      </c>
      <c r="C497" s="78" t="s">
        <v>551</v>
      </c>
      <c r="D497" s="86" t="s">
        <v>556</v>
      </c>
      <c r="E497" s="86"/>
      <c r="F497" s="91" t="s">
        <v>23</v>
      </c>
      <c r="G497" s="81" t="s">
        <v>32</v>
      </c>
      <c r="H497" s="81" t="s">
        <v>85</v>
      </c>
      <c r="I497" s="92"/>
      <c r="J497" s="92"/>
      <c r="K497" s="92"/>
      <c r="L497" s="92">
        <v>600</v>
      </c>
      <c r="M497" s="92"/>
      <c r="N497" s="92"/>
      <c r="O497" s="92"/>
      <c r="P497" s="92"/>
      <c r="Q497" s="92"/>
      <c r="R497" s="92"/>
      <c r="S497" s="92"/>
      <c r="T497" s="92"/>
      <c r="U497" s="27">
        <f t="shared" si="203"/>
        <v>600</v>
      </c>
      <c r="V497" s="6"/>
      <c r="W497" s="6"/>
      <c r="X497" s="87"/>
      <c r="Y497" s="8"/>
      <c r="Z497"/>
      <c r="AA497"/>
      <c r="AB497"/>
      <c r="AD497" s="42" t="str">
        <f>C497&amp;A497</f>
        <v>TAXAS/CUSTAS/CARTORIOOper</v>
      </c>
      <c r="AE497" s="42" t="str">
        <f>IFERROR(VLOOKUP(C497,[34]Planilha1!$B:$C,2,0),"Não se Aplica")</f>
        <v>Sim</v>
      </c>
      <c r="AF497" s="42" t="str">
        <f>VLOOKUP(AD497,[34]Planilha1!$H:$J,3,0)</f>
        <v>Não</v>
      </c>
      <c r="AG497" s="43">
        <f t="shared" si="202"/>
        <v>600</v>
      </c>
    </row>
    <row r="498" spans="1:33" x14ac:dyDescent="0.3">
      <c r="A498" s="1" t="s">
        <v>836</v>
      </c>
      <c r="B498" s="81" t="s">
        <v>20</v>
      </c>
      <c r="C498" s="78" t="s">
        <v>161</v>
      </c>
      <c r="D498" s="81" t="s">
        <v>557</v>
      </c>
      <c r="E498" s="86"/>
      <c r="F498" s="91" t="s">
        <v>23</v>
      </c>
      <c r="G498" s="81" t="s">
        <v>22</v>
      </c>
      <c r="H498" s="81" t="s">
        <v>85</v>
      </c>
      <c r="I498" s="27">
        <v>200</v>
      </c>
      <c r="J498" s="27">
        <v>200</v>
      </c>
      <c r="K498" s="27">
        <v>200</v>
      </c>
      <c r="L498" s="27">
        <v>200</v>
      </c>
      <c r="M498" s="27">
        <v>200</v>
      </c>
      <c r="N498" s="27">
        <v>200</v>
      </c>
      <c r="O498" s="27">
        <v>200</v>
      </c>
      <c r="P498" s="27">
        <v>200</v>
      </c>
      <c r="Q498" s="27">
        <v>200</v>
      </c>
      <c r="R498" s="27">
        <v>200</v>
      </c>
      <c r="S498" s="27">
        <v>200</v>
      </c>
      <c r="T498" s="27">
        <v>200</v>
      </c>
      <c r="U498" s="27">
        <f t="shared" si="203"/>
        <v>2400</v>
      </c>
      <c r="V498" s="96"/>
      <c r="W498" s="97"/>
      <c r="X498" s="98"/>
      <c r="Y498" s="95"/>
      <c r="Z498"/>
      <c r="AA498"/>
      <c r="AB498"/>
      <c r="AD498" s="42" t="str">
        <f>C498&amp;A498</f>
        <v>CONSERVACAO DE PREDIOSOper</v>
      </c>
      <c r="AE498" s="42" t="str">
        <f>IFERROR(VLOOKUP(C498,[34]Planilha1!$B:$C,2,0),"Não se Aplica")</f>
        <v>Sim</v>
      </c>
      <c r="AF498" s="42" t="str">
        <f>VLOOKUP(AD498,[34]Planilha1!$H:$J,3,0)</f>
        <v>Sim</v>
      </c>
      <c r="AG498" s="43">
        <f t="shared" si="202"/>
        <v>2178</v>
      </c>
    </row>
    <row r="499" spans="1:33" x14ac:dyDescent="0.3">
      <c r="A499" s="1" t="s">
        <v>836</v>
      </c>
      <c r="B499" s="81" t="s">
        <v>28</v>
      </c>
      <c r="C499" s="78" t="s">
        <v>161</v>
      </c>
      <c r="D499" s="81" t="s">
        <v>558</v>
      </c>
      <c r="E499" s="86"/>
      <c r="F499" s="91" t="s">
        <v>23</v>
      </c>
      <c r="G499" s="81" t="s">
        <v>22</v>
      </c>
      <c r="H499" s="81" t="s">
        <v>85</v>
      </c>
      <c r="I499" s="27"/>
      <c r="J499" s="27"/>
      <c r="K499" s="27"/>
      <c r="L499" s="27">
        <v>500</v>
      </c>
      <c r="M499" s="27"/>
      <c r="N499" s="27"/>
      <c r="O499" s="27"/>
      <c r="P499" s="27"/>
      <c r="Q499" s="27"/>
      <c r="R499" s="27"/>
      <c r="S499" s="27"/>
      <c r="T499" s="27"/>
      <c r="U499" s="27">
        <f t="shared" si="203"/>
        <v>500</v>
      </c>
      <c r="V499" s="96"/>
      <c r="W499" s="97"/>
      <c r="X499" s="98"/>
      <c r="Y499" s="95"/>
      <c r="Z499"/>
      <c r="AA499"/>
      <c r="AB499"/>
      <c r="AD499" s="42" t="str">
        <f>C499&amp;A499</f>
        <v>CONSERVACAO DE PREDIOSOper</v>
      </c>
      <c r="AE499" s="42" t="str">
        <f>IFERROR(VLOOKUP(C499,[34]Planilha1!$B:$C,2,0),"Não se Aplica")</f>
        <v>Sim</v>
      </c>
      <c r="AF499" s="42" t="str">
        <f>VLOOKUP(AD499,[34]Planilha1!$H:$J,3,0)</f>
        <v>Sim</v>
      </c>
      <c r="AG499" s="43">
        <f t="shared" si="202"/>
        <v>453.75</v>
      </c>
    </row>
    <row r="500" spans="1:33" x14ac:dyDescent="0.3">
      <c r="A500" s="1" t="s">
        <v>836</v>
      </c>
      <c r="B500" s="81" t="s">
        <v>20</v>
      </c>
      <c r="C500" s="78" t="s">
        <v>161</v>
      </c>
      <c r="D500" s="81" t="s">
        <v>558</v>
      </c>
      <c r="E500" s="86"/>
      <c r="F500" s="91" t="s">
        <v>23</v>
      </c>
      <c r="G500" s="81" t="s">
        <v>22</v>
      </c>
      <c r="H500" s="81" t="s">
        <v>85</v>
      </c>
      <c r="I500" s="27"/>
      <c r="J500" s="27"/>
      <c r="K500" s="27"/>
      <c r="L500" s="27">
        <v>2100</v>
      </c>
      <c r="M500" s="27"/>
      <c r="N500" s="27"/>
      <c r="O500" s="27"/>
      <c r="P500" s="27"/>
      <c r="Q500" s="27"/>
      <c r="R500" s="27"/>
      <c r="S500" s="27"/>
      <c r="T500" s="27"/>
      <c r="U500" s="27">
        <f t="shared" si="203"/>
        <v>2100</v>
      </c>
      <c r="V500" s="96"/>
      <c r="W500" s="97"/>
      <c r="X500" s="98"/>
      <c r="Y500" s="95"/>
      <c r="Z500"/>
      <c r="AA500"/>
      <c r="AB500"/>
      <c r="AD500" s="42" t="str">
        <f>C500&amp;A500</f>
        <v>CONSERVACAO DE PREDIOSOper</v>
      </c>
      <c r="AE500" s="42" t="str">
        <f>IFERROR(VLOOKUP(C500,[34]Planilha1!$B:$C,2,0),"Não se Aplica")</f>
        <v>Sim</v>
      </c>
      <c r="AF500" s="42" t="str">
        <f>VLOOKUP(AD500,[34]Planilha1!$H:$J,3,0)</f>
        <v>Sim</v>
      </c>
      <c r="AG500" s="43">
        <f t="shared" si="202"/>
        <v>1905.75</v>
      </c>
    </row>
    <row r="501" spans="1:33" x14ac:dyDescent="0.3">
      <c r="A501" s="1" t="s">
        <v>836</v>
      </c>
      <c r="B501" s="81" t="s">
        <v>28</v>
      </c>
      <c r="C501" s="78" t="s">
        <v>161</v>
      </c>
      <c r="D501" s="81" t="s">
        <v>559</v>
      </c>
      <c r="E501" s="86"/>
      <c r="F501" s="91" t="s">
        <v>23</v>
      </c>
      <c r="G501" s="81" t="s">
        <v>22</v>
      </c>
      <c r="H501" s="81" t="s">
        <v>85</v>
      </c>
      <c r="I501" s="27"/>
      <c r="J501" s="27"/>
      <c r="K501" s="27"/>
      <c r="L501" s="27"/>
      <c r="M501" s="27">
        <v>420</v>
      </c>
      <c r="N501" s="27"/>
      <c r="O501" s="27"/>
      <c r="P501" s="27"/>
      <c r="Q501" s="27"/>
      <c r="R501" s="27"/>
      <c r="S501" s="27"/>
      <c r="T501" s="27"/>
      <c r="U501" s="27">
        <f t="shared" si="203"/>
        <v>420</v>
      </c>
      <c r="V501" s="93"/>
      <c r="W501" s="94"/>
      <c r="X501" s="87"/>
      <c r="Y501" s="95"/>
      <c r="Z501"/>
      <c r="AA501"/>
      <c r="AB501"/>
      <c r="AD501" s="42" t="str">
        <f>C501&amp;A501</f>
        <v>CONSERVACAO DE PREDIOSOper</v>
      </c>
      <c r="AE501" s="42" t="str">
        <f>IFERROR(VLOOKUP(C501,[34]Planilha1!$B:$C,2,0),"Não se Aplica")</f>
        <v>Sim</v>
      </c>
      <c r="AF501" s="42" t="str">
        <f>VLOOKUP(AD501,[34]Planilha1!$H:$J,3,0)</f>
        <v>Sim</v>
      </c>
      <c r="AG501" s="43">
        <f t="shared" si="202"/>
        <v>381.15</v>
      </c>
    </row>
    <row r="502" spans="1:33" x14ac:dyDescent="0.3">
      <c r="A502" s="1" t="s">
        <v>836</v>
      </c>
      <c r="B502" s="81" t="s">
        <v>20</v>
      </c>
      <c r="C502" s="78" t="s">
        <v>161</v>
      </c>
      <c r="D502" s="81" t="s">
        <v>559</v>
      </c>
      <c r="E502" s="86"/>
      <c r="F502" s="91" t="s">
        <v>23</v>
      </c>
      <c r="G502" s="81" t="s">
        <v>22</v>
      </c>
      <c r="H502" s="81" t="s">
        <v>85</v>
      </c>
      <c r="I502" s="27"/>
      <c r="J502" s="27"/>
      <c r="K502" s="27"/>
      <c r="L502" s="27"/>
      <c r="M502" s="27">
        <v>950</v>
      </c>
      <c r="N502" s="27"/>
      <c r="O502" s="27"/>
      <c r="P502" s="27"/>
      <c r="Q502" s="27"/>
      <c r="R502" s="27"/>
      <c r="S502" s="27"/>
      <c r="T502" s="27"/>
      <c r="U502" s="27">
        <f t="shared" si="203"/>
        <v>950</v>
      </c>
      <c r="V502" s="96"/>
      <c r="W502" s="94"/>
      <c r="X502" s="87"/>
      <c r="Y502" s="95"/>
      <c r="Z502"/>
      <c r="AA502"/>
      <c r="AB502"/>
      <c r="AD502" s="42" t="str">
        <f>C502&amp;A502</f>
        <v>CONSERVACAO DE PREDIOSOper</v>
      </c>
      <c r="AE502" s="42" t="str">
        <f>IFERROR(VLOOKUP(C502,[34]Planilha1!$B:$C,2,0),"Não se Aplica")</f>
        <v>Sim</v>
      </c>
      <c r="AF502" s="42" t="str">
        <f>VLOOKUP(AD502,[34]Planilha1!$H:$J,3,0)</f>
        <v>Sim</v>
      </c>
      <c r="AG502" s="43">
        <f t="shared" si="202"/>
        <v>862.125</v>
      </c>
    </row>
    <row r="503" spans="1:33" x14ac:dyDescent="0.3">
      <c r="A503" s="1" t="s">
        <v>836</v>
      </c>
      <c r="B503" s="81" t="s">
        <v>20</v>
      </c>
      <c r="C503" s="78" t="s">
        <v>435</v>
      </c>
      <c r="D503" s="81" t="s">
        <v>560</v>
      </c>
      <c r="E503" s="86"/>
      <c r="F503" s="91" t="s">
        <v>23</v>
      </c>
      <c r="G503" s="81" t="s">
        <v>32</v>
      </c>
      <c r="H503" s="81" t="s">
        <v>85</v>
      </c>
      <c r="I503" s="27">
        <v>0</v>
      </c>
      <c r="J503" s="27">
        <v>0</v>
      </c>
      <c r="K503" s="27">
        <v>0</v>
      </c>
      <c r="L503" s="27">
        <v>0</v>
      </c>
      <c r="M503" s="27">
        <v>0</v>
      </c>
      <c r="N503" s="27">
        <v>0</v>
      </c>
      <c r="O503" s="27">
        <v>0</v>
      </c>
      <c r="P503" s="27">
        <v>0</v>
      </c>
      <c r="Q503" s="27">
        <v>4464.2857142857147</v>
      </c>
      <c r="R503" s="27">
        <v>0</v>
      </c>
      <c r="S503" s="27">
        <v>0</v>
      </c>
      <c r="T503" s="27">
        <v>0</v>
      </c>
      <c r="U503" s="27">
        <f t="shared" si="203"/>
        <v>4464.2857142857147</v>
      </c>
      <c r="V503" s="96"/>
      <c r="W503" s="94"/>
      <c r="X503" s="87"/>
      <c r="Y503" s="95"/>
      <c r="Z503"/>
      <c r="AA503"/>
      <c r="AB503"/>
      <c r="AD503" s="42" t="str">
        <f>C503&amp;A503</f>
        <v>FEIRAS EVENTOS E CONFRATERNIZACOESOper</v>
      </c>
      <c r="AE503" s="42" t="str">
        <f>IFERROR(VLOOKUP(C503,[34]Planilha1!$B:$C,2,0),"Não se Aplica")</f>
        <v>Sim</v>
      </c>
      <c r="AF503" s="42" t="str">
        <f>VLOOKUP(AD503,[34]Planilha1!$H:$J,3,0)</f>
        <v>Não</v>
      </c>
      <c r="AG503" s="43">
        <f t="shared" si="202"/>
        <v>4464.2857142857147</v>
      </c>
    </row>
    <row r="504" spans="1:33" x14ac:dyDescent="0.3">
      <c r="A504" s="1" t="s">
        <v>836</v>
      </c>
      <c r="B504" s="81" t="s">
        <v>20</v>
      </c>
      <c r="C504" s="78" t="s">
        <v>435</v>
      </c>
      <c r="D504" s="81" t="s">
        <v>561</v>
      </c>
      <c r="E504" s="86"/>
      <c r="F504" s="91" t="s">
        <v>23</v>
      </c>
      <c r="G504" s="81" t="s">
        <v>32</v>
      </c>
      <c r="H504" s="81" t="s">
        <v>85</v>
      </c>
      <c r="I504" s="27">
        <v>0</v>
      </c>
      <c r="J504" s="27">
        <v>0</v>
      </c>
      <c r="K504" s="27">
        <v>0</v>
      </c>
      <c r="L504" s="27">
        <v>0</v>
      </c>
      <c r="M504" s="27">
        <v>0</v>
      </c>
      <c r="N504" s="27">
        <v>0</v>
      </c>
      <c r="O504" s="27">
        <v>0</v>
      </c>
      <c r="P504" s="27">
        <v>6250</v>
      </c>
      <c r="Q504" s="27">
        <v>0</v>
      </c>
      <c r="R504" s="27">
        <v>0</v>
      </c>
      <c r="S504" s="27">
        <v>0</v>
      </c>
      <c r="T504" s="27">
        <v>0</v>
      </c>
      <c r="U504" s="27">
        <f t="shared" si="203"/>
        <v>6250</v>
      </c>
      <c r="V504" s="93"/>
      <c r="W504" s="94"/>
      <c r="X504" s="87"/>
      <c r="Y504" s="95"/>
      <c r="Z504"/>
      <c r="AA504"/>
      <c r="AB504"/>
      <c r="AD504" s="42" t="str">
        <f>C504&amp;A504</f>
        <v>FEIRAS EVENTOS E CONFRATERNIZACOESOper</v>
      </c>
      <c r="AE504" s="42" t="str">
        <f>IFERROR(VLOOKUP(C504,[34]Planilha1!$B:$C,2,0),"Não se Aplica")</f>
        <v>Sim</v>
      </c>
      <c r="AF504" s="42" t="str">
        <f>VLOOKUP(AD504,[34]Planilha1!$H:$J,3,0)</f>
        <v>Não</v>
      </c>
      <c r="AG504" s="43">
        <f t="shared" si="202"/>
        <v>6250</v>
      </c>
    </row>
    <row r="505" spans="1:33" x14ac:dyDescent="0.3">
      <c r="A505" s="1" t="s">
        <v>836</v>
      </c>
      <c r="B505" s="81" t="s">
        <v>28</v>
      </c>
      <c r="C505" s="78" t="s">
        <v>435</v>
      </c>
      <c r="D505" s="81" t="s">
        <v>561</v>
      </c>
      <c r="E505" s="86"/>
      <c r="F505" s="91" t="s">
        <v>23</v>
      </c>
      <c r="G505" s="81" t="s">
        <v>32</v>
      </c>
      <c r="H505" s="81" t="s">
        <v>85</v>
      </c>
      <c r="I505" s="27">
        <v>0</v>
      </c>
      <c r="J505" s="27">
        <v>0</v>
      </c>
      <c r="K505" s="27">
        <v>0</v>
      </c>
      <c r="L505" s="27">
        <v>0</v>
      </c>
      <c r="M505" s="27">
        <v>0</v>
      </c>
      <c r="N505" s="27">
        <v>0</v>
      </c>
      <c r="O505" s="27">
        <v>0</v>
      </c>
      <c r="P505" s="27">
        <v>7142.8571428571431</v>
      </c>
      <c r="Q505" s="27">
        <v>0</v>
      </c>
      <c r="R505" s="27">
        <v>0</v>
      </c>
      <c r="S505" s="27">
        <v>0</v>
      </c>
      <c r="T505" s="27">
        <v>0</v>
      </c>
      <c r="U505" s="27">
        <f t="shared" si="203"/>
        <v>7142.8571428571431</v>
      </c>
      <c r="V505" s="93"/>
      <c r="W505" s="94"/>
      <c r="X505" s="87"/>
      <c r="Y505" s="95"/>
      <c r="Z505"/>
      <c r="AA505"/>
      <c r="AB505"/>
      <c r="AD505" s="42" t="str">
        <f>C505&amp;A505</f>
        <v>FEIRAS EVENTOS E CONFRATERNIZACOESOper</v>
      </c>
      <c r="AE505" s="42" t="str">
        <f>IFERROR(VLOOKUP(C505,[34]Planilha1!$B:$C,2,0),"Não se Aplica")</f>
        <v>Sim</v>
      </c>
      <c r="AF505" s="42" t="str">
        <f>VLOOKUP(AD505,[34]Planilha1!$H:$J,3,0)</f>
        <v>Não</v>
      </c>
      <c r="AG505" s="43">
        <f t="shared" si="202"/>
        <v>7142.8571428571431</v>
      </c>
    </row>
    <row r="506" spans="1:33" x14ac:dyDescent="0.3">
      <c r="A506" s="1" t="s">
        <v>836</v>
      </c>
      <c r="B506" s="81" t="s">
        <v>20</v>
      </c>
      <c r="C506" s="78" t="s">
        <v>435</v>
      </c>
      <c r="D506" s="81" t="s">
        <v>562</v>
      </c>
      <c r="E506" s="86"/>
      <c r="F506" s="91" t="s">
        <v>23</v>
      </c>
      <c r="G506" s="81" t="s">
        <v>32</v>
      </c>
      <c r="H506" s="81" t="s">
        <v>85</v>
      </c>
      <c r="I506" s="27">
        <v>0</v>
      </c>
      <c r="J506" s="27">
        <v>0</v>
      </c>
      <c r="K506" s="27">
        <v>0</v>
      </c>
      <c r="L506" s="27">
        <v>0</v>
      </c>
      <c r="M506" s="27">
        <v>0</v>
      </c>
      <c r="N506" s="27">
        <v>0</v>
      </c>
      <c r="O506" s="27">
        <v>0</v>
      </c>
      <c r="P506" s="27">
        <v>8035.7142857142862</v>
      </c>
      <c r="Q506" s="27">
        <v>0</v>
      </c>
      <c r="R506" s="27">
        <v>0</v>
      </c>
      <c r="S506" s="27">
        <v>0</v>
      </c>
      <c r="T506" s="27">
        <v>0</v>
      </c>
      <c r="U506" s="27">
        <f t="shared" si="203"/>
        <v>8035.7142857142862</v>
      </c>
      <c r="W506"/>
      <c r="X506" s="87"/>
      <c r="Y506" s="8"/>
      <c r="Z506"/>
      <c r="AA506"/>
      <c r="AB506"/>
      <c r="AD506" s="42" t="str">
        <f>C506&amp;A506</f>
        <v>FEIRAS EVENTOS E CONFRATERNIZACOESOper</v>
      </c>
      <c r="AE506" s="42" t="str">
        <f>IFERROR(VLOOKUP(C506,[34]Planilha1!$B:$C,2,0),"Não se Aplica")</f>
        <v>Sim</v>
      </c>
      <c r="AF506" s="42" t="str">
        <f>VLOOKUP(AD506,[34]Planilha1!$H:$J,3,0)</f>
        <v>Não</v>
      </c>
      <c r="AG506" s="43">
        <f t="shared" si="202"/>
        <v>8035.7142857142862</v>
      </c>
    </row>
    <row r="507" spans="1:33" x14ac:dyDescent="0.3">
      <c r="A507" s="1" t="s">
        <v>836</v>
      </c>
      <c r="B507" s="81" t="s">
        <v>28</v>
      </c>
      <c r="C507" s="78" t="s">
        <v>435</v>
      </c>
      <c r="D507" s="81" t="s">
        <v>562</v>
      </c>
      <c r="E507" s="86"/>
      <c r="F507" s="91" t="s">
        <v>23</v>
      </c>
      <c r="G507" s="81" t="s">
        <v>32</v>
      </c>
      <c r="H507" s="81" t="s">
        <v>85</v>
      </c>
      <c r="I507" s="27">
        <v>0</v>
      </c>
      <c r="J507" s="27">
        <v>0</v>
      </c>
      <c r="K507" s="27">
        <v>0</v>
      </c>
      <c r="L507" s="27">
        <v>0</v>
      </c>
      <c r="M507" s="27">
        <v>0</v>
      </c>
      <c r="N507" s="27">
        <v>0</v>
      </c>
      <c r="O507" s="27">
        <v>0</v>
      </c>
      <c r="P507" s="27">
        <v>3125</v>
      </c>
      <c r="Q507" s="27">
        <v>0</v>
      </c>
      <c r="R507" s="27">
        <v>0</v>
      </c>
      <c r="S507" s="27">
        <v>0</v>
      </c>
      <c r="T507" s="27">
        <v>0</v>
      </c>
      <c r="U507" s="27">
        <f t="shared" si="203"/>
        <v>3125</v>
      </c>
      <c r="W507"/>
      <c r="X507" s="87"/>
      <c r="Y507" s="8"/>
      <c r="Z507"/>
      <c r="AA507"/>
      <c r="AB507"/>
      <c r="AD507" s="42" t="str">
        <f>C507&amp;A507</f>
        <v>FEIRAS EVENTOS E CONFRATERNIZACOESOper</v>
      </c>
      <c r="AE507" s="42" t="str">
        <f>IFERROR(VLOOKUP(C507,[34]Planilha1!$B:$C,2,0),"Não se Aplica")</f>
        <v>Sim</v>
      </c>
      <c r="AF507" s="42" t="str">
        <f>VLOOKUP(AD507,[34]Planilha1!$H:$J,3,0)</f>
        <v>Não</v>
      </c>
      <c r="AG507" s="43">
        <f t="shared" si="202"/>
        <v>3125</v>
      </c>
    </row>
    <row r="508" spans="1:33" x14ac:dyDescent="0.3">
      <c r="A508" s="1" t="s">
        <v>836</v>
      </c>
      <c r="B508" s="81" t="s">
        <v>20</v>
      </c>
      <c r="C508" s="78" t="s">
        <v>435</v>
      </c>
      <c r="D508" s="81" t="s">
        <v>562</v>
      </c>
      <c r="E508" s="86"/>
      <c r="F508" s="91" t="s">
        <v>23</v>
      </c>
      <c r="G508" s="81" t="s">
        <v>22</v>
      </c>
      <c r="H508" s="81" t="s">
        <v>85</v>
      </c>
      <c r="I508" s="27">
        <v>0</v>
      </c>
      <c r="J508" s="27">
        <v>0</v>
      </c>
      <c r="K508" s="27">
        <v>0</v>
      </c>
      <c r="L508" s="27">
        <v>0</v>
      </c>
      <c r="M508" s="27">
        <v>0</v>
      </c>
      <c r="N508" s="27">
        <v>0</v>
      </c>
      <c r="O508" s="27">
        <v>0</v>
      </c>
      <c r="P508" s="27">
        <v>8035.7142857142862</v>
      </c>
      <c r="Q508" s="27">
        <v>0</v>
      </c>
      <c r="R508" s="27">
        <v>0</v>
      </c>
      <c r="S508" s="27">
        <v>0</v>
      </c>
      <c r="T508" s="27">
        <v>0</v>
      </c>
      <c r="U508" s="27">
        <f t="shared" si="203"/>
        <v>8035.7142857142862</v>
      </c>
      <c r="W508"/>
      <c r="X508" s="87"/>
      <c r="Y508" s="8"/>
      <c r="Z508"/>
      <c r="AA508"/>
      <c r="AB508"/>
      <c r="AD508" s="42" t="str">
        <f>C508&amp;A508</f>
        <v>FEIRAS EVENTOS E CONFRATERNIZACOESOper</v>
      </c>
      <c r="AE508" s="42" t="str">
        <f>IFERROR(VLOOKUP(C508,[34]Planilha1!$B:$C,2,0),"Não se Aplica")</f>
        <v>Sim</v>
      </c>
      <c r="AF508" s="42" t="str">
        <f>VLOOKUP(AD508,[34]Planilha1!$H:$J,3,0)</f>
        <v>Não</v>
      </c>
      <c r="AG508" s="43">
        <f t="shared" si="202"/>
        <v>8035.7142857142862</v>
      </c>
    </row>
    <row r="509" spans="1:33" x14ac:dyDescent="0.3">
      <c r="A509" s="1" t="s">
        <v>836</v>
      </c>
      <c r="B509" s="81" t="s">
        <v>28</v>
      </c>
      <c r="C509" s="78" t="s">
        <v>435</v>
      </c>
      <c r="D509" s="81" t="s">
        <v>562</v>
      </c>
      <c r="E509" s="86"/>
      <c r="F509" s="91" t="s">
        <v>23</v>
      </c>
      <c r="G509" s="81" t="s">
        <v>22</v>
      </c>
      <c r="H509" s="81" t="s">
        <v>85</v>
      </c>
      <c r="I509" s="27">
        <v>0</v>
      </c>
      <c r="J509" s="27">
        <v>0</v>
      </c>
      <c r="K509" s="27">
        <v>0</v>
      </c>
      <c r="L509" s="27">
        <v>0</v>
      </c>
      <c r="M509" s="27">
        <v>0</v>
      </c>
      <c r="N509" s="27">
        <v>0</v>
      </c>
      <c r="O509" s="27">
        <v>0</v>
      </c>
      <c r="P509" s="27">
        <v>3125</v>
      </c>
      <c r="Q509" s="27">
        <v>0</v>
      </c>
      <c r="R509" s="27">
        <v>0</v>
      </c>
      <c r="S509" s="27">
        <v>0</v>
      </c>
      <c r="T509" s="27">
        <v>0</v>
      </c>
      <c r="U509" s="27">
        <f t="shared" si="203"/>
        <v>3125</v>
      </c>
      <c r="W509"/>
      <c r="X509" s="87"/>
      <c r="Y509" s="8"/>
      <c r="Z509"/>
      <c r="AA509"/>
      <c r="AB509"/>
      <c r="AD509" s="42" t="str">
        <f>C509&amp;A509</f>
        <v>FEIRAS EVENTOS E CONFRATERNIZACOESOper</v>
      </c>
      <c r="AE509" s="42" t="str">
        <f>IFERROR(VLOOKUP(C509,[34]Planilha1!$B:$C,2,0),"Não se Aplica")</f>
        <v>Sim</v>
      </c>
      <c r="AF509" s="42" t="str">
        <f>VLOOKUP(AD509,[34]Planilha1!$H:$J,3,0)</f>
        <v>Não</v>
      </c>
      <c r="AG509" s="43">
        <f t="shared" si="202"/>
        <v>3125</v>
      </c>
    </row>
    <row r="510" spans="1:33" x14ac:dyDescent="0.3">
      <c r="A510" s="1" t="s">
        <v>836</v>
      </c>
      <c r="B510" s="81" t="s">
        <v>28</v>
      </c>
      <c r="C510" s="78" t="s">
        <v>435</v>
      </c>
      <c r="D510" s="81" t="s">
        <v>563</v>
      </c>
      <c r="E510" s="86" t="s">
        <v>564</v>
      </c>
      <c r="F510" s="91" t="s">
        <v>23</v>
      </c>
      <c r="G510" s="81" t="s">
        <v>100</v>
      </c>
      <c r="H510" s="81" t="s">
        <v>85</v>
      </c>
      <c r="I510" s="46">
        <v>0</v>
      </c>
      <c r="J510" s="46">
        <v>0</v>
      </c>
      <c r="K510" s="46">
        <v>0</v>
      </c>
      <c r="L510" s="46">
        <v>0</v>
      </c>
      <c r="M510" s="46">
        <v>0</v>
      </c>
      <c r="N510" s="46">
        <v>0</v>
      </c>
      <c r="O510" s="46">
        <v>0</v>
      </c>
      <c r="P510" s="46">
        <v>0</v>
      </c>
      <c r="Q510" s="46">
        <v>0</v>
      </c>
      <c r="R510" s="46">
        <v>0</v>
      </c>
      <c r="S510" s="46">
        <v>0</v>
      </c>
      <c r="T510" s="46">
        <v>0</v>
      </c>
      <c r="U510" s="27">
        <f t="shared" si="203"/>
        <v>0</v>
      </c>
      <c r="W510"/>
      <c r="X510" s="87"/>
      <c r="Y510" s="8"/>
      <c r="Z510"/>
      <c r="AA510"/>
      <c r="AB510"/>
      <c r="AD510" s="42" t="str">
        <f>C510&amp;A510</f>
        <v>FEIRAS EVENTOS E CONFRATERNIZACOESOper</v>
      </c>
      <c r="AE510" s="42" t="str">
        <f>IFERROR(VLOOKUP(C510,[34]Planilha1!$B:$C,2,0),"Não se Aplica")</f>
        <v>Sim</v>
      </c>
      <c r="AF510" s="42" t="str">
        <f>VLOOKUP(AD510,[34]Planilha1!$H:$J,3,0)</f>
        <v>Não</v>
      </c>
      <c r="AG510" s="43">
        <f t="shared" si="202"/>
        <v>0</v>
      </c>
    </row>
    <row r="511" spans="1:33" x14ac:dyDescent="0.3">
      <c r="A511" s="1" t="s">
        <v>836</v>
      </c>
      <c r="B511" s="81" t="s">
        <v>28</v>
      </c>
      <c r="C511" s="78" t="s">
        <v>496</v>
      </c>
      <c r="D511" s="81" t="s">
        <v>565</v>
      </c>
      <c r="E511" s="86"/>
      <c r="F511" s="91" t="s">
        <v>23</v>
      </c>
      <c r="G511" s="81" t="s">
        <v>32</v>
      </c>
      <c r="H511" s="81" t="s">
        <v>85</v>
      </c>
      <c r="I511" s="27"/>
      <c r="J511" s="27">
        <v>1500</v>
      </c>
      <c r="K511" s="27"/>
      <c r="L511" s="27"/>
      <c r="M511" s="27"/>
      <c r="N511" s="27"/>
      <c r="O511" s="27">
        <v>1500</v>
      </c>
      <c r="P511" s="27"/>
      <c r="Q511" s="27"/>
      <c r="R511" s="27"/>
      <c r="S511" s="27"/>
      <c r="T511" s="27"/>
      <c r="U511" s="27">
        <f t="shared" ref="U511:U514" si="204">SUM(I511:T511)</f>
        <v>3000</v>
      </c>
      <c r="V511" s="82"/>
      <c r="W511"/>
      <c r="X511" s="87"/>
      <c r="Y511" s="8"/>
      <c r="Z511"/>
      <c r="AA511"/>
      <c r="AB511"/>
      <c r="AD511" s="42" t="str">
        <f>C511&amp;A511</f>
        <v>VIAGENSOper</v>
      </c>
      <c r="AE511" s="42" t="str">
        <f>IFERROR(VLOOKUP(C511,[34]Planilha1!$B:$C,2,0),"Não se Aplica")</f>
        <v>Sim</v>
      </c>
      <c r="AF511" s="42" t="str">
        <f>VLOOKUP(AD511,[34]Planilha1!$H:$J,3,0)</f>
        <v>Não</v>
      </c>
      <c r="AG511" s="43">
        <f t="shared" ref="AG511:AG514" si="205">IF(AF511="Sim", U511 * 0.9075, U511)</f>
        <v>3000</v>
      </c>
    </row>
    <row r="512" spans="1:33" x14ac:dyDescent="0.3">
      <c r="A512" s="1" t="s">
        <v>836</v>
      </c>
      <c r="B512" s="81" t="s">
        <v>20</v>
      </c>
      <c r="C512" s="78" t="s">
        <v>435</v>
      </c>
      <c r="D512" s="81" t="s">
        <v>515</v>
      </c>
      <c r="E512" s="86"/>
      <c r="F512" s="91" t="s">
        <v>23</v>
      </c>
      <c r="G512" s="81" t="s">
        <v>32</v>
      </c>
      <c r="H512" s="81" t="s">
        <v>85</v>
      </c>
      <c r="I512" s="27">
        <v>0</v>
      </c>
      <c r="J512" s="27">
        <v>0</v>
      </c>
      <c r="K512" s="27">
        <v>0</v>
      </c>
      <c r="L512" s="27">
        <v>0</v>
      </c>
      <c r="M512" s="27">
        <v>0</v>
      </c>
      <c r="N512" s="27">
        <v>0</v>
      </c>
      <c r="O512" s="27">
        <v>0</v>
      </c>
      <c r="P512" s="27">
        <v>0</v>
      </c>
      <c r="Q512" s="27">
        <v>0</v>
      </c>
      <c r="R512" s="27">
        <v>0</v>
      </c>
      <c r="S512" s="27">
        <v>1785.7142857142858</v>
      </c>
      <c r="T512" s="27">
        <v>0</v>
      </c>
      <c r="U512" s="27">
        <f t="shared" si="204"/>
        <v>1785.7142857142858</v>
      </c>
      <c r="V512" s="82"/>
      <c r="W512"/>
      <c r="X512" s="87"/>
      <c r="Y512" s="8"/>
      <c r="Z512"/>
      <c r="AA512"/>
      <c r="AB512"/>
      <c r="AD512" s="42" t="str">
        <f>C512&amp;A512</f>
        <v>FEIRAS EVENTOS E CONFRATERNIZACOESOper</v>
      </c>
      <c r="AE512" s="42" t="str">
        <f>IFERROR(VLOOKUP(C512,[34]Planilha1!$B:$C,2,0),"Não se Aplica")</f>
        <v>Sim</v>
      </c>
      <c r="AF512" s="42" t="str">
        <f>VLOOKUP(AD512,[34]Planilha1!$H:$J,3,0)</f>
        <v>Não</v>
      </c>
      <c r="AG512" s="43">
        <f t="shared" si="205"/>
        <v>1785.7142857142858</v>
      </c>
    </row>
    <row r="513" spans="1:33" x14ac:dyDescent="0.3">
      <c r="A513" s="1" t="s">
        <v>836</v>
      </c>
      <c r="B513" s="81" t="s">
        <v>28</v>
      </c>
      <c r="C513" s="78" t="s">
        <v>435</v>
      </c>
      <c r="D513" s="81" t="s">
        <v>516</v>
      </c>
      <c r="E513" s="86"/>
      <c r="F513" s="91" t="s">
        <v>23</v>
      </c>
      <c r="G513" s="81" t="s">
        <v>22</v>
      </c>
      <c r="H513" s="81" t="s">
        <v>85</v>
      </c>
      <c r="I513" s="27">
        <v>0</v>
      </c>
      <c r="J513" s="27">
        <v>0</v>
      </c>
      <c r="K513" s="27">
        <v>0</v>
      </c>
      <c r="L513" s="27">
        <v>0</v>
      </c>
      <c r="M513" s="27">
        <v>0</v>
      </c>
      <c r="N513" s="27">
        <v>0</v>
      </c>
      <c r="O513" s="27">
        <v>3125</v>
      </c>
      <c r="P513" s="27">
        <v>0</v>
      </c>
      <c r="Q513" s="27">
        <v>0</v>
      </c>
      <c r="R513" s="27">
        <v>0</v>
      </c>
      <c r="S513" s="27">
        <v>0</v>
      </c>
      <c r="T513" s="27">
        <v>0</v>
      </c>
      <c r="U513" s="27">
        <f t="shared" si="204"/>
        <v>3125</v>
      </c>
      <c r="V513" s="82"/>
      <c r="W513"/>
      <c r="X513" s="87"/>
      <c r="Y513" s="8"/>
      <c r="Z513"/>
      <c r="AA513"/>
      <c r="AB513"/>
      <c r="AD513" s="42" t="str">
        <f>C513&amp;A513</f>
        <v>FEIRAS EVENTOS E CONFRATERNIZACOESOper</v>
      </c>
      <c r="AE513" s="42" t="str">
        <f>IFERROR(VLOOKUP(C513,[34]Planilha1!$B:$C,2,0),"Não se Aplica")</f>
        <v>Sim</v>
      </c>
      <c r="AF513" s="42" t="str">
        <f>VLOOKUP(AD513,[34]Planilha1!$H:$J,3,0)</f>
        <v>Não</v>
      </c>
      <c r="AG513" s="43">
        <f t="shared" si="205"/>
        <v>3125</v>
      </c>
    </row>
    <row r="514" spans="1:33" x14ac:dyDescent="0.3">
      <c r="A514" s="1" t="s">
        <v>836</v>
      </c>
      <c r="B514" s="81" t="s">
        <v>20</v>
      </c>
      <c r="C514" s="78" t="s">
        <v>435</v>
      </c>
      <c r="D514" s="81" t="s">
        <v>519</v>
      </c>
      <c r="E514" s="86"/>
      <c r="F514" s="91" t="s">
        <v>23</v>
      </c>
      <c r="G514" s="81" t="s">
        <v>32</v>
      </c>
      <c r="H514" s="81" t="s">
        <v>85</v>
      </c>
      <c r="I514" s="27">
        <v>0</v>
      </c>
      <c r="J514" s="27">
        <v>0</v>
      </c>
      <c r="K514" s="27">
        <v>0</v>
      </c>
      <c r="L514" s="27">
        <v>0</v>
      </c>
      <c r="M514" s="27">
        <v>0</v>
      </c>
      <c r="N514" s="27">
        <v>1785.7142857142858</v>
      </c>
      <c r="O514" s="27">
        <v>0</v>
      </c>
      <c r="P514" s="27">
        <v>0</v>
      </c>
      <c r="Q514" s="27">
        <v>0</v>
      </c>
      <c r="R514" s="27">
        <v>0</v>
      </c>
      <c r="S514" s="27">
        <v>0</v>
      </c>
      <c r="T514" s="27">
        <v>0</v>
      </c>
      <c r="U514" s="27">
        <f t="shared" si="204"/>
        <v>1785.7142857142858</v>
      </c>
      <c r="V514" s="82"/>
      <c r="W514"/>
      <c r="X514" s="87"/>
      <c r="Y514" s="8"/>
      <c r="Z514"/>
      <c r="AA514"/>
      <c r="AB514"/>
      <c r="AD514" s="42" t="str">
        <f>C514&amp;A514</f>
        <v>FEIRAS EVENTOS E CONFRATERNIZACOESOper</v>
      </c>
      <c r="AE514" s="42" t="str">
        <f>IFERROR(VLOOKUP(C514,[34]Planilha1!$B:$C,2,0),"Não se Aplica")</f>
        <v>Sim</v>
      </c>
      <c r="AF514" s="42" t="str">
        <f>VLOOKUP(AD514,[34]Planilha1!$H:$J,3,0)</f>
        <v>Não</v>
      </c>
      <c r="AG514" s="43">
        <f t="shared" si="205"/>
        <v>1785.7142857142858</v>
      </c>
    </row>
    <row r="515" spans="1:33" x14ac:dyDescent="0.3">
      <c r="A515" s="44" t="s">
        <v>836</v>
      </c>
      <c r="B515" s="45" t="s">
        <v>20</v>
      </c>
      <c r="C515" s="52" t="s">
        <v>567</v>
      </c>
      <c r="D515" s="53" t="s">
        <v>568</v>
      </c>
      <c r="E515" s="54" t="s">
        <v>569</v>
      </c>
      <c r="F515" s="53" t="s">
        <v>60</v>
      </c>
      <c r="G515" s="45" t="s">
        <v>22</v>
      </c>
      <c r="H515" s="53" t="s">
        <v>61</v>
      </c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>
        <f t="shared" ref="U515:U571" si="206">SUM(I515:T515)</f>
        <v>0</v>
      </c>
      <c r="V515" s="55"/>
      <c r="W515" s="47"/>
      <c r="X515" s="56"/>
      <c r="Y515" s="57"/>
      <c r="Z515" s="47"/>
      <c r="AA515" s="47"/>
      <c r="AB515" s="47"/>
      <c r="AD515" s="42" t="str">
        <f>C515&amp;A515</f>
        <v>AGUAOper</v>
      </c>
      <c r="AE515" s="42" t="str">
        <f>IFERROR(VLOOKUP(C515,[34]Planilha1!$B:$C,2,0),"Não se Aplica")</f>
        <v>Sim</v>
      </c>
      <c r="AF515" s="42" t="str">
        <f>VLOOKUP(AD515,[34]Planilha1!$H:$J,3,0)</f>
        <v>Não</v>
      </c>
      <c r="AG515" s="43">
        <f t="shared" ref="AG515:AG566" si="207">IF(AF515="Sim", U515 * 0.9075, U515)</f>
        <v>0</v>
      </c>
    </row>
    <row r="516" spans="1:33" x14ac:dyDescent="0.3">
      <c r="A516" s="44" t="s">
        <v>836</v>
      </c>
      <c r="B516" s="45" t="s">
        <v>28</v>
      </c>
      <c r="C516" s="52" t="s">
        <v>567</v>
      </c>
      <c r="D516" s="53" t="s">
        <v>570</v>
      </c>
      <c r="E516" s="54" t="s">
        <v>571</v>
      </c>
      <c r="F516" s="53" t="s">
        <v>60</v>
      </c>
      <c r="G516" s="45" t="s">
        <v>33</v>
      </c>
      <c r="H516" s="53" t="s">
        <v>61</v>
      </c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>
        <f t="shared" si="206"/>
        <v>0</v>
      </c>
      <c r="V516" s="55"/>
      <c r="W516" s="47"/>
      <c r="X516" s="56"/>
      <c r="Y516" s="57"/>
      <c r="Z516" s="47"/>
      <c r="AA516" s="47"/>
      <c r="AB516" s="47"/>
      <c r="AD516" s="42" t="str">
        <f>C516&amp;A516</f>
        <v>AGUAOper</v>
      </c>
      <c r="AE516" s="42" t="str">
        <f>IFERROR(VLOOKUP(C516,[34]Planilha1!$B:$C,2,0),"Não se Aplica")</f>
        <v>Sim</v>
      </c>
      <c r="AF516" s="42" t="str">
        <f>VLOOKUP(AD516,[34]Planilha1!$H:$J,3,0)</f>
        <v>Não</v>
      </c>
      <c r="AG516" s="43">
        <f t="shared" si="207"/>
        <v>0</v>
      </c>
    </row>
    <row r="517" spans="1:33" x14ac:dyDescent="0.3">
      <c r="A517" s="1" t="s">
        <v>836</v>
      </c>
      <c r="B517" s="65" t="s">
        <v>20</v>
      </c>
      <c r="C517" s="78" t="s">
        <v>210</v>
      </c>
      <c r="D517" s="81" t="s">
        <v>572</v>
      </c>
      <c r="E517" s="86"/>
      <c r="F517" s="81" t="s">
        <v>60</v>
      </c>
      <c r="G517" s="65" t="s">
        <v>22</v>
      </c>
      <c r="H517" s="81" t="s">
        <v>61</v>
      </c>
      <c r="I517" s="27">
        <v>600</v>
      </c>
      <c r="J517" s="27"/>
      <c r="K517" s="27"/>
      <c r="L517" s="27"/>
      <c r="M517" s="27"/>
      <c r="N517" s="27"/>
      <c r="O517" s="27">
        <v>600</v>
      </c>
      <c r="P517" s="27"/>
      <c r="Q517" s="27"/>
      <c r="R517" s="27"/>
      <c r="S517" s="27"/>
      <c r="T517" s="27"/>
      <c r="U517" s="27">
        <f t="shared" si="206"/>
        <v>1200</v>
      </c>
      <c r="V517" s="82"/>
      <c r="W517"/>
      <c r="X517" s="87"/>
      <c r="Y517" s="8"/>
      <c r="Z517"/>
      <c r="AA517"/>
      <c r="AB517"/>
      <c r="AD517" s="42" t="str">
        <f>C517&amp;A517</f>
        <v>CERTIFICACAO/QUALIDADEOper</v>
      </c>
      <c r="AE517" s="42" t="str">
        <f>IFERROR(VLOOKUP(C517,[34]Planilha1!$B:$C,2,0),"Não se Aplica")</f>
        <v>Sim</v>
      </c>
      <c r="AF517" s="42" t="str">
        <f>VLOOKUP(AD517,[34]Planilha1!$H:$J,3,0)</f>
        <v>Não</v>
      </c>
      <c r="AG517" s="43">
        <f t="shared" si="207"/>
        <v>1200</v>
      </c>
    </row>
    <row r="518" spans="1:33" x14ac:dyDescent="0.3">
      <c r="A518" s="1" t="s">
        <v>836</v>
      </c>
      <c r="B518" s="65" t="s">
        <v>20</v>
      </c>
      <c r="C518" s="78" t="s">
        <v>210</v>
      </c>
      <c r="D518" s="81" t="s">
        <v>572</v>
      </c>
      <c r="E518" s="86"/>
      <c r="F518" s="81" t="s">
        <v>60</v>
      </c>
      <c r="G518" s="65" t="s">
        <v>32</v>
      </c>
      <c r="H518" s="81" t="s">
        <v>61</v>
      </c>
      <c r="I518" s="27"/>
      <c r="J518" s="27">
        <v>600</v>
      </c>
      <c r="K518" s="27"/>
      <c r="L518" s="27"/>
      <c r="M518" s="27"/>
      <c r="N518" s="27"/>
      <c r="O518" s="27"/>
      <c r="P518" s="27">
        <v>600</v>
      </c>
      <c r="Q518" s="27"/>
      <c r="R518" s="27"/>
      <c r="S518" s="27"/>
      <c r="T518" s="27"/>
      <c r="U518" s="27">
        <f t="shared" si="206"/>
        <v>1200</v>
      </c>
      <c r="V518" s="82"/>
      <c r="W518"/>
      <c r="X518" s="87"/>
      <c r="Y518" s="8"/>
      <c r="Z518"/>
      <c r="AA518"/>
      <c r="AB518"/>
      <c r="AD518" s="42" t="str">
        <f>C518&amp;A518</f>
        <v>CERTIFICACAO/QUALIDADEOper</v>
      </c>
      <c r="AE518" s="42" t="str">
        <f>IFERROR(VLOOKUP(C518,[34]Planilha1!$B:$C,2,0),"Não se Aplica")</f>
        <v>Sim</v>
      </c>
      <c r="AF518" s="42" t="str">
        <f>VLOOKUP(AD518,[34]Planilha1!$H:$J,3,0)</f>
        <v>Não</v>
      </c>
      <c r="AG518" s="43">
        <f t="shared" si="207"/>
        <v>1200</v>
      </c>
    </row>
    <row r="519" spans="1:33" x14ac:dyDescent="0.3">
      <c r="A519" s="1" t="s">
        <v>836</v>
      </c>
      <c r="B519" s="65" t="s">
        <v>20</v>
      </c>
      <c r="C519" s="78" t="s">
        <v>210</v>
      </c>
      <c r="D519" s="81" t="s">
        <v>572</v>
      </c>
      <c r="E519" s="86"/>
      <c r="F519" s="81" t="s">
        <v>60</v>
      </c>
      <c r="G519" s="65" t="s">
        <v>27</v>
      </c>
      <c r="H519" s="81" t="s">
        <v>61</v>
      </c>
      <c r="I519" s="27"/>
      <c r="J519" s="27"/>
      <c r="K519" s="27">
        <v>600</v>
      </c>
      <c r="L519" s="27"/>
      <c r="M519" s="27"/>
      <c r="N519" s="27"/>
      <c r="O519" s="27"/>
      <c r="P519" s="27"/>
      <c r="Q519" s="27">
        <v>600</v>
      </c>
      <c r="R519" s="27"/>
      <c r="S519" s="27"/>
      <c r="T519" s="27"/>
      <c r="U519" s="27">
        <f t="shared" si="206"/>
        <v>1200</v>
      </c>
      <c r="V519" s="82"/>
      <c r="W519"/>
      <c r="X519" s="87"/>
      <c r="Y519" s="8"/>
      <c r="Z519"/>
      <c r="AA519"/>
      <c r="AB519"/>
      <c r="AD519" s="42" t="str">
        <f>C519&amp;A519</f>
        <v>CERTIFICACAO/QUALIDADEOper</v>
      </c>
      <c r="AE519" s="42" t="str">
        <f>IFERROR(VLOOKUP(C519,[34]Planilha1!$B:$C,2,0),"Não se Aplica")</f>
        <v>Sim</v>
      </c>
      <c r="AF519" s="42" t="str">
        <f>VLOOKUP(AD519,[34]Planilha1!$H:$J,3,0)</f>
        <v>Não</v>
      </c>
      <c r="AG519" s="43">
        <f t="shared" si="207"/>
        <v>1200</v>
      </c>
    </row>
    <row r="520" spans="1:33" x14ac:dyDescent="0.3">
      <c r="A520" s="1" t="s">
        <v>836</v>
      </c>
      <c r="B520" s="65" t="s">
        <v>20</v>
      </c>
      <c r="C520" s="78" t="s">
        <v>210</v>
      </c>
      <c r="D520" s="81" t="s">
        <v>573</v>
      </c>
      <c r="E520" s="86" t="s">
        <v>566</v>
      </c>
      <c r="F520" s="81" t="s">
        <v>60</v>
      </c>
      <c r="G520" s="65" t="s">
        <v>32</v>
      </c>
      <c r="H520" s="81" t="s">
        <v>61</v>
      </c>
      <c r="I520" s="27"/>
      <c r="J520" s="27"/>
      <c r="K520" s="27">
        <v>9000</v>
      </c>
      <c r="L520" s="27"/>
      <c r="M520" s="27"/>
      <c r="N520" s="27"/>
      <c r="O520" s="27"/>
      <c r="P520" s="27"/>
      <c r="Q520" s="27"/>
      <c r="R520" s="27"/>
      <c r="S520" s="27"/>
      <c r="T520" s="27"/>
      <c r="U520" s="27">
        <f t="shared" si="206"/>
        <v>9000</v>
      </c>
      <c r="V520" s="82"/>
      <c r="W520"/>
      <c r="X520" s="87"/>
      <c r="Y520" s="8"/>
      <c r="Z520"/>
      <c r="AA520"/>
      <c r="AB520"/>
      <c r="AD520" s="42" t="str">
        <f>C520&amp;A520</f>
        <v>CERTIFICACAO/QUALIDADEOper</v>
      </c>
      <c r="AE520" s="42" t="str">
        <f>IFERROR(VLOOKUP(C520,[34]Planilha1!$B:$C,2,0),"Não se Aplica")</f>
        <v>Sim</v>
      </c>
      <c r="AF520" s="42" t="str">
        <f>VLOOKUP(AD520,[34]Planilha1!$H:$J,3,0)</f>
        <v>Não</v>
      </c>
      <c r="AG520" s="43">
        <f t="shared" si="207"/>
        <v>9000</v>
      </c>
    </row>
    <row r="521" spans="1:33" x14ac:dyDescent="0.3">
      <c r="A521" s="1" t="s">
        <v>836</v>
      </c>
      <c r="B521" s="65" t="s">
        <v>20</v>
      </c>
      <c r="C521" s="78" t="s">
        <v>210</v>
      </c>
      <c r="D521" s="81" t="s">
        <v>573</v>
      </c>
      <c r="E521" s="86" t="s">
        <v>566</v>
      </c>
      <c r="F521" s="81" t="s">
        <v>60</v>
      </c>
      <c r="G521" s="65" t="s">
        <v>22</v>
      </c>
      <c r="H521" s="81" t="s">
        <v>61</v>
      </c>
      <c r="I521" s="27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27">
        <f t="shared" si="206"/>
        <v>0</v>
      </c>
      <c r="V521" s="82"/>
      <c r="W521"/>
      <c r="X521" s="87"/>
      <c r="Y521" s="8"/>
      <c r="Z521"/>
      <c r="AA521"/>
      <c r="AB521"/>
      <c r="AD521" s="42" t="str">
        <f>C521&amp;A521</f>
        <v>CERTIFICACAO/QUALIDADEOper</v>
      </c>
      <c r="AE521" s="42" t="str">
        <f>IFERROR(VLOOKUP(C521,[34]Planilha1!$B:$C,2,0),"Não se Aplica")</f>
        <v>Sim</v>
      </c>
      <c r="AF521" s="42" t="str">
        <f>VLOOKUP(AD521,[34]Planilha1!$H:$J,3,0)</f>
        <v>Não</v>
      </c>
      <c r="AG521" s="43">
        <f t="shared" si="207"/>
        <v>0</v>
      </c>
    </row>
    <row r="522" spans="1:33" x14ac:dyDescent="0.3">
      <c r="A522" s="1" t="s">
        <v>836</v>
      </c>
      <c r="B522" s="65" t="s">
        <v>20</v>
      </c>
      <c r="C522" s="78" t="s">
        <v>210</v>
      </c>
      <c r="D522" s="86" t="s">
        <v>574</v>
      </c>
      <c r="E522" s="86" t="s">
        <v>575</v>
      </c>
      <c r="F522" s="81" t="s">
        <v>60</v>
      </c>
      <c r="G522" s="65" t="s">
        <v>32</v>
      </c>
      <c r="H522" s="81" t="s">
        <v>61</v>
      </c>
      <c r="I522" s="92">
        <v>2707</v>
      </c>
      <c r="J522" s="27"/>
      <c r="K522" s="27"/>
      <c r="L522" s="27"/>
      <c r="M522" s="27"/>
      <c r="N522" s="27"/>
      <c r="O522" s="27">
        <v>2707</v>
      </c>
      <c r="P522" s="27"/>
      <c r="Q522" s="27"/>
      <c r="R522" s="27"/>
      <c r="S522" s="27"/>
      <c r="T522" s="27"/>
      <c r="U522" s="27">
        <f t="shared" si="206"/>
        <v>5414</v>
      </c>
      <c r="V522" s="6"/>
      <c r="W522" s="6"/>
      <c r="X522" s="87"/>
      <c r="Y522" s="8"/>
      <c r="Z522"/>
      <c r="AA522"/>
      <c r="AB522"/>
      <c r="AD522" s="42" t="str">
        <f>C522&amp;A522</f>
        <v>CERTIFICACAO/QUALIDADEOper</v>
      </c>
      <c r="AE522" s="42" t="str">
        <f>IFERROR(VLOOKUP(C522,[34]Planilha1!$B:$C,2,0),"Não se Aplica")</f>
        <v>Sim</v>
      </c>
      <c r="AF522" s="42" t="str">
        <f>VLOOKUP(AD522,[34]Planilha1!$H:$J,3,0)</f>
        <v>Não</v>
      </c>
      <c r="AG522" s="43">
        <f t="shared" si="207"/>
        <v>5414</v>
      </c>
    </row>
    <row r="523" spans="1:33" x14ac:dyDescent="0.3">
      <c r="A523" s="1" t="s">
        <v>836</v>
      </c>
      <c r="B523" s="65" t="s">
        <v>28</v>
      </c>
      <c r="C523" s="78" t="s">
        <v>210</v>
      </c>
      <c r="D523" s="81" t="s">
        <v>576</v>
      </c>
      <c r="E523" s="86" t="s">
        <v>575</v>
      </c>
      <c r="F523" s="81" t="s">
        <v>60</v>
      </c>
      <c r="G523" s="65" t="s">
        <v>32</v>
      </c>
      <c r="H523" s="81" t="s">
        <v>61</v>
      </c>
      <c r="I523" s="27">
        <v>634.20000000000005</v>
      </c>
      <c r="J523" s="27"/>
      <c r="K523" s="27"/>
      <c r="L523" s="27"/>
      <c r="M523" s="27"/>
      <c r="N523" s="27"/>
      <c r="O523" s="27">
        <v>634.20000000000005</v>
      </c>
      <c r="P523" s="27"/>
      <c r="Q523" s="27"/>
      <c r="R523" s="27"/>
      <c r="S523" s="27"/>
      <c r="T523" s="27"/>
      <c r="U523" s="27">
        <f t="shared" si="206"/>
        <v>1268.4000000000001</v>
      </c>
      <c r="V523" s="82"/>
      <c r="W523"/>
      <c r="X523" s="87"/>
      <c r="Y523" s="8"/>
      <c r="Z523"/>
      <c r="AA523"/>
      <c r="AB523"/>
      <c r="AD523" s="42" t="str">
        <f>C523&amp;A523</f>
        <v>CERTIFICACAO/QUALIDADEOper</v>
      </c>
      <c r="AE523" s="42" t="str">
        <f>IFERROR(VLOOKUP(C523,[34]Planilha1!$B:$C,2,0),"Não se Aplica")</f>
        <v>Sim</v>
      </c>
      <c r="AF523" s="42" t="str">
        <f>VLOOKUP(AD523,[34]Planilha1!$H:$J,3,0)</f>
        <v>Não</v>
      </c>
      <c r="AG523" s="43">
        <f t="shared" si="207"/>
        <v>1268.4000000000001</v>
      </c>
    </row>
    <row r="524" spans="1:33" x14ac:dyDescent="0.3">
      <c r="A524" s="1" t="s">
        <v>836</v>
      </c>
      <c r="B524" s="65" t="s">
        <v>28</v>
      </c>
      <c r="C524" s="78" t="s">
        <v>210</v>
      </c>
      <c r="D524" s="81" t="s">
        <v>574</v>
      </c>
      <c r="E524" s="86" t="s">
        <v>575</v>
      </c>
      <c r="F524" s="81" t="s">
        <v>60</v>
      </c>
      <c r="G524" s="65" t="s">
        <v>100</v>
      </c>
      <c r="H524" s="81" t="s">
        <v>61</v>
      </c>
      <c r="I524" s="27"/>
      <c r="J524" s="27"/>
      <c r="K524" s="27">
        <v>630</v>
      </c>
      <c r="L524" s="27"/>
      <c r="M524" s="27"/>
      <c r="N524" s="27"/>
      <c r="O524" s="27"/>
      <c r="P524" s="27"/>
      <c r="Q524" s="27">
        <v>630</v>
      </c>
      <c r="R524" s="27"/>
      <c r="S524" s="27"/>
      <c r="T524" s="27"/>
      <c r="U524" s="27">
        <f t="shared" si="206"/>
        <v>1260</v>
      </c>
      <c r="V524" s="82"/>
      <c r="W524"/>
      <c r="X524" s="87"/>
      <c r="Y524" s="8"/>
      <c r="Z524"/>
      <c r="AA524"/>
      <c r="AB524"/>
      <c r="AD524" s="42" t="str">
        <f>C524&amp;A524</f>
        <v>CERTIFICACAO/QUALIDADEOper</v>
      </c>
      <c r="AE524" s="42" t="str">
        <f>IFERROR(VLOOKUP(C524,[34]Planilha1!$B:$C,2,0),"Não se Aplica")</f>
        <v>Sim</v>
      </c>
      <c r="AF524" s="42" t="str">
        <f>VLOOKUP(AD524,[34]Planilha1!$H:$J,3,0)</f>
        <v>Não</v>
      </c>
      <c r="AG524" s="43">
        <f t="shared" si="207"/>
        <v>1260</v>
      </c>
    </row>
    <row r="525" spans="1:33" x14ac:dyDescent="0.3">
      <c r="A525" s="1" t="s">
        <v>836</v>
      </c>
      <c r="B525" s="65" t="s">
        <v>20</v>
      </c>
      <c r="C525" s="78" t="s">
        <v>210</v>
      </c>
      <c r="D525" s="81" t="s">
        <v>574</v>
      </c>
      <c r="E525" s="86" t="s">
        <v>575</v>
      </c>
      <c r="F525" s="81" t="s">
        <v>60</v>
      </c>
      <c r="G525" s="65" t="s">
        <v>31</v>
      </c>
      <c r="H525" s="81" t="s">
        <v>61</v>
      </c>
      <c r="I525" s="27"/>
      <c r="J525" s="27">
        <v>634.20000000000005</v>
      </c>
      <c r="K525" s="27"/>
      <c r="L525" s="27"/>
      <c r="M525" s="27"/>
      <c r="N525" s="27"/>
      <c r="O525" s="27"/>
      <c r="P525" s="27">
        <v>634.20000000000005</v>
      </c>
      <c r="Q525" s="27"/>
      <c r="R525" s="27"/>
      <c r="S525" s="27"/>
      <c r="T525" s="27"/>
      <c r="U525" s="27">
        <f t="shared" si="206"/>
        <v>1268.4000000000001</v>
      </c>
      <c r="V525" s="82"/>
      <c r="W525"/>
      <c r="X525" s="87"/>
      <c r="Y525" s="8"/>
      <c r="Z525"/>
      <c r="AA525"/>
      <c r="AB525"/>
      <c r="AD525" s="42" t="str">
        <f>C525&amp;A525</f>
        <v>CERTIFICACAO/QUALIDADEOper</v>
      </c>
      <c r="AE525" s="42" t="str">
        <f>IFERROR(VLOOKUP(C525,[34]Planilha1!$B:$C,2,0),"Não se Aplica")</f>
        <v>Sim</v>
      </c>
      <c r="AF525" s="42" t="str">
        <f>VLOOKUP(AD525,[34]Planilha1!$H:$J,3,0)</f>
        <v>Não</v>
      </c>
      <c r="AG525" s="43">
        <f t="shared" si="207"/>
        <v>1268.4000000000001</v>
      </c>
    </row>
    <row r="526" spans="1:33" x14ac:dyDescent="0.3">
      <c r="A526" s="1" t="s">
        <v>836</v>
      </c>
      <c r="B526" s="65" t="s">
        <v>20</v>
      </c>
      <c r="C526" s="78" t="s">
        <v>210</v>
      </c>
      <c r="D526" s="81" t="s">
        <v>574</v>
      </c>
      <c r="E526" s="86" t="s">
        <v>575</v>
      </c>
      <c r="F526" s="81" t="s">
        <v>60</v>
      </c>
      <c r="G526" s="65" t="s">
        <v>22</v>
      </c>
      <c r="H526" s="81" t="s">
        <v>61</v>
      </c>
      <c r="I526" s="27"/>
      <c r="J526" s="27">
        <v>2707</v>
      </c>
      <c r="K526" s="27"/>
      <c r="L526" s="27"/>
      <c r="M526" s="27"/>
      <c r="N526" s="27"/>
      <c r="O526" s="27"/>
      <c r="P526" s="27">
        <v>2707</v>
      </c>
      <c r="Q526" s="27"/>
      <c r="R526" s="27"/>
      <c r="S526" s="27"/>
      <c r="T526" s="27"/>
      <c r="U526" s="27">
        <f t="shared" si="206"/>
        <v>5414</v>
      </c>
      <c r="V526" s="82"/>
      <c r="W526"/>
      <c r="X526" s="87"/>
      <c r="Y526" s="8"/>
      <c r="Z526"/>
      <c r="AA526"/>
      <c r="AB526"/>
      <c r="AD526" s="42" t="str">
        <f>C526&amp;A526</f>
        <v>CERTIFICACAO/QUALIDADEOper</v>
      </c>
      <c r="AE526" s="42" t="str">
        <f>IFERROR(VLOOKUP(C526,[34]Planilha1!$B:$C,2,0),"Não se Aplica")</f>
        <v>Sim</v>
      </c>
      <c r="AF526" s="42" t="str">
        <f>VLOOKUP(AD526,[34]Planilha1!$H:$J,3,0)</f>
        <v>Não</v>
      </c>
      <c r="AG526" s="43">
        <f t="shared" si="207"/>
        <v>5414</v>
      </c>
    </row>
    <row r="527" spans="1:33" x14ac:dyDescent="0.3">
      <c r="A527" s="1" t="s">
        <v>836</v>
      </c>
      <c r="B527" s="65" t="s">
        <v>20</v>
      </c>
      <c r="C527" s="78" t="s">
        <v>210</v>
      </c>
      <c r="D527" s="81" t="s">
        <v>574</v>
      </c>
      <c r="E527" s="86" t="s">
        <v>575</v>
      </c>
      <c r="F527" s="81" t="s">
        <v>60</v>
      </c>
      <c r="G527" s="65" t="s">
        <v>27</v>
      </c>
      <c r="H527" s="81" t="s">
        <v>61</v>
      </c>
      <c r="I527" s="27"/>
      <c r="J527" s="27"/>
      <c r="K527" s="27">
        <v>2827.7</v>
      </c>
      <c r="L527" s="27"/>
      <c r="M527" s="27"/>
      <c r="N527" s="27"/>
      <c r="O527" s="27"/>
      <c r="P527" s="27"/>
      <c r="Q527" s="27">
        <v>2827.7</v>
      </c>
      <c r="R527" s="27"/>
      <c r="S527" s="27"/>
      <c r="T527" s="27"/>
      <c r="U527" s="27">
        <f t="shared" si="206"/>
        <v>5655.4</v>
      </c>
      <c r="V527" s="82"/>
      <c r="W527"/>
      <c r="X527" s="87"/>
      <c r="Y527" s="8"/>
      <c r="Z527"/>
      <c r="AA527"/>
      <c r="AB527"/>
      <c r="AD527" s="42" t="str">
        <f>C527&amp;A527</f>
        <v>CERTIFICACAO/QUALIDADEOper</v>
      </c>
      <c r="AE527" s="42" t="str">
        <f>IFERROR(VLOOKUP(C527,[34]Planilha1!$B:$C,2,0),"Não se Aplica")</f>
        <v>Sim</v>
      </c>
      <c r="AF527" s="42" t="str">
        <f>VLOOKUP(AD527,[34]Planilha1!$H:$J,3,0)</f>
        <v>Não</v>
      </c>
      <c r="AG527" s="43">
        <f t="shared" si="207"/>
        <v>5655.4</v>
      </c>
    </row>
    <row r="528" spans="1:33" x14ac:dyDescent="0.3">
      <c r="A528" s="1" t="s">
        <v>836</v>
      </c>
      <c r="B528" s="65" t="s">
        <v>20</v>
      </c>
      <c r="C528" s="78" t="s">
        <v>210</v>
      </c>
      <c r="D528" s="81" t="s">
        <v>574</v>
      </c>
      <c r="E528" s="86" t="s">
        <v>575</v>
      </c>
      <c r="F528" s="81" t="s">
        <v>60</v>
      </c>
      <c r="G528" s="65" t="s">
        <v>29</v>
      </c>
      <c r="H528" s="81" t="s">
        <v>61</v>
      </c>
      <c r="I528" s="27"/>
      <c r="J528" s="27"/>
      <c r="K528" s="27"/>
      <c r="L528" s="27">
        <v>630</v>
      </c>
      <c r="M528" s="27"/>
      <c r="N528" s="27"/>
      <c r="O528" s="27"/>
      <c r="P528" s="27"/>
      <c r="Q528" s="27"/>
      <c r="R528" s="27">
        <v>630</v>
      </c>
      <c r="S528" s="27"/>
      <c r="T528" s="27"/>
      <c r="U528" s="27">
        <f t="shared" si="206"/>
        <v>1260</v>
      </c>
      <c r="V528" s="82"/>
      <c r="W528"/>
      <c r="X528" s="87"/>
      <c r="Y528" s="8"/>
      <c r="Z528"/>
      <c r="AA528"/>
      <c r="AB528"/>
      <c r="AD528" s="42" t="str">
        <f>C528&amp;A528</f>
        <v>CERTIFICACAO/QUALIDADEOper</v>
      </c>
      <c r="AE528" s="42" t="str">
        <f>IFERROR(VLOOKUP(C528,[34]Planilha1!$B:$C,2,0),"Não se Aplica")</f>
        <v>Sim</v>
      </c>
      <c r="AF528" s="42" t="str">
        <f>VLOOKUP(AD528,[34]Planilha1!$H:$J,3,0)</f>
        <v>Não</v>
      </c>
      <c r="AG528" s="43">
        <f t="shared" si="207"/>
        <v>1260</v>
      </c>
    </row>
    <row r="529" spans="1:33" x14ac:dyDescent="0.3">
      <c r="A529" s="1" t="s">
        <v>836</v>
      </c>
      <c r="B529" s="65" t="s">
        <v>20</v>
      </c>
      <c r="C529" s="78" t="s">
        <v>210</v>
      </c>
      <c r="D529" s="81" t="s">
        <v>574</v>
      </c>
      <c r="E529" s="86" t="s">
        <v>575</v>
      </c>
      <c r="F529" s="81" t="s">
        <v>60</v>
      </c>
      <c r="G529" s="65" t="s">
        <v>30</v>
      </c>
      <c r="H529" s="81" t="s">
        <v>61</v>
      </c>
      <c r="I529" s="27"/>
      <c r="J529" s="27"/>
      <c r="K529" s="27"/>
      <c r="L529" s="27">
        <v>630</v>
      </c>
      <c r="M529" s="27"/>
      <c r="N529" s="27"/>
      <c r="O529" s="27"/>
      <c r="P529" s="27"/>
      <c r="Q529" s="27"/>
      <c r="R529" s="27">
        <v>630</v>
      </c>
      <c r="S529" s="27"/>
      <c r="T529" s="27"/>
      <c r="U529" s="27">
        <f t="shared" si="206"/>
        <v>1260</v>
      </c>
      <c r="V529" s="82"/>
      <c r="W529"/>
      <c r="X529" s="87"/>
      <c r="Y529" s="8"/>
      <c r="Z529"/>
      <c r="AA529"/>
      <c r="AB529"/>
      <c r="AD529" s="42" t="str">
        <f>C529&amp;A529</f>
        <v>CERTIFICACAO/QUALIDADEOper</v>
      </c>
      <c r="AE529" s="42" t="str">
        <f>IFERROR(VLOOKUP(C529,[34]Planilha1!$B:$C,2,0),"Não se Aplica")</f>
        <v>Sim</v>
      </c>
      <c r="AF529" s="42" t="str">
        <f>VLOOKUP(AD529,[34]Planilha1!$H:$J,3,0)</f>
        <v>Não</v>
      </c>
      <c r="AG529" s="43">
        <f t="shared" si="207"/>
        <v>1260</v>
      </c>
    </row>
    <row r="530" spans="1:33" x14ac:dyDescent="0.3">
      <c r="A530" s="1" t="s">
        <v>836</v>
      </c>
      <c r="B530" s="65" t="s">
        <v>20</v>
      </c>
      <c r="C530" s="78" t="s">
        <v>210</v>
      </c>
      <c r="D530" s="81" t="s">
        <v>574</v>
      </c>
      <c r="E530" s="86" t="s">
        <v>575</v>
      </c>
      <c r="F530" s="81" t="s">
        <v>60</v>
      </c>
      <c r="G530" s="65" t="s">
        <v>90</v>
      </c>
      <c r="H530" s="81" t="s">
        <v>61</v>
      </c>
      <c r="I530" s="27"/>
      <c r="J530" s="27"/>
      <c r="K530" s="27"/>
      <c r="L530" s="27"/>
      <c r="M530" s="27">
        <v>630</v>
      </c>
      <c r="N530" s="27"/>
      <c r="O530" s="27"/>
      <c r="P530" s="27"/>
      <c r="Q530" s="27"/>
      <c r="R530" s="27"/>
      <c r="S530" s="27">
        <v>630</v>
      </c>
      <c r="T530" s="27"/>
      <c r="U530" s="27">
        <f t="shared" si="206"/>
        <v>1260</v>
      </c>
      <c r="V530" s="82"/>
      <c r="W530"/>
      <c r="X530" s="87"/>
      <c r="Y530" s="8"/>
      <c r="Z530"/>
      <c r="AA530"/>
      <c r="AB530"/>
      <c r="AD530" s="42" t="str">
        <f>C530&amp;A530</f>
        <v>CERTIFICACAO/QUALIDADEOper</v>
      </c>
      <c r="AE530" s="42" t="str">
        <f>IFERROR(VLOOKUP(C530,[34]Planilha1!$B:$C,2,0),"Não se Aplica")</f>
        <v>Sim</v>
      </c>
      <c r="AF530" s="42" t="str">
        <f>VLOOKUP(AD530,[34]Planilha1!$H:$J,3,0)</f>
        <v>Não</v>
      </c>
      <c r="AG530" s="43">
        <f t="shared" si="207"/>
        <v>1260</v>
      </c>
    </row>
    <row r="531" spans="1:33" x14ac:dyDescent="0.3">
      <c r="A531" s="1" t="s">
        <v>836</v>
      </c>
      <c r="B531" s="65" t="s">
        <v>20</v>
      </c>
      <c r="C531" s="78" t="s">
        <v>210</v>
      </c>
      <c r="D531" s="81" t="s">
        <v>574</v>
      </c>
      <c r="E531" s="86" t="s">
        <v>575</v>
      </c>
      <c r="F531" s="81" t="s">
        <v>60</v>
      </c>
      <c r="G531" s="65" t="s">
        <v>33</v>
      </c>
      <c r="H531" s="81" t="s">
        <v>61</v>
      </c>
      <c r="I531" s="27"/>
      <c r="J531" s="27"/>
      <c r="K531" s="27"/>
      <c r="L531" s="27"/>
      <c r="M531" s="27">
        <v>630</v>
      </c>
      <c r="N531" s="27"/>
      <c r="O531" s="27"/>
      <c r="P531" s="27"/>
      <c r="Q531" s="27"/>
      <c r="R531" s="27"/>
      <c r="S531" s="27">
        <v>630</v>
      </c>
      <c r="T531" s="27"/>
      <c r="U531" s="27">
        <f t="shared" si="206"/>
        <v>1260</v>
      </c>
      <c r="V531" s="82"/>
      <c r="W531"/>
      <c r="X531" s="87"/>
      <c r="Y531" s="8"/>
      <c r="Z531"/>
      <c r="AA531"/>
      <c r="AB531"/>
      <c r="AD531" s="42" t="str">
        <f>C531&amp;A531</f>
        <v>CERTIFICACAO/QUALIDADEOper</v>
      </c>
      <c r="AE531" s="42" t="str">
        <f>IFERROR(VLOOKUP(C531,[34]Planilha1!$B:$C,2,0),"Não se Aplica")</f>
        <v>Sim</v>
      </c>
      <c r="AF531" s="42" t="str">
        <f>VLOOKUP(AD531,[34]Planilha1!$H:$J,3,0)</f>
        <v>Não</v>
      </c>
      <c r="AG531" s="43">
        <f t="shared" si="207"/>
        <v>1260</v>
      </c>
    </row>
    <row r="532" spans="1:33" x14ac:dyDescent="0.3">
      <c r="A532" s="1" t="s">
        <v>836</v>
      </c>
      <c r="B532" s="65" t="s">
        <v>20</v>
      </c>
      <c r="C532" s="78" t="s">
        <v>38</v>
      </c>
      <c r="D532" s="81" t="s">
        <v>577</v>
      </c>
      <c r="E532" s="86" t="s">
        <v>578</v>
      </c>
      <c r="F532" s="81" t="s">
        <v>60</v>
      </c>
      <c r="G532" s="65" t="s">
        <v>32</v>
      </c>
      <c r="H532" s="81" t="s">
        <v>61</v>
      </c>
      <c r="I532" s="27">
        <v>360</v>
      </c>
      <c r="J532" s="27">
        <v>360</v>
      </c>
      <c r="K532" s="27">
        <v>360</v>
      </c>
      <c r="L532" s="27">
        <v>360</v>
      </c>
      <c r="M532" s="27">
        <v>360</v>
      </c>
      <c r="N532" s="27">
        <v>360</v>
      </c>
      <c r="O532" s="27">
        <v>360</v>
      </c>
      <c r="P532" s="27">
        <v>360</v>
      </c>
      <c r="Q532" s="27">
        <v>360</v>
      </c>
      <c r="R532" s="27">
        <v>360</v>
      </c>
      <c r="S532" s="27">
        <v>360</v>
      </c>
      <c r="T532" s="27">
        <v>360</v>
      </c>
      <c r="U532" s="27">
        <f t="shared" si="206"/>
        <v>4320</v>
      </c>
      <c r="V532" s="82"/>
      <c r="W532"/>
      <c r="X532" s="87"/>
      <c r="Y532" s="8"/>
      <c r="Z532"/>
      <c r="AA532"/>
      <c r="AB532"/>
      <c r="AD532" s="42" t="str">
        <f>C532&amp;A532</f>
        <v>ALUGUEIS DE EQUIPAMENTOSOper</v>
      </c>
      <c r="AE532" s="42" t="str">
        <f>IFERROR(VLOOKUP(C532,[34]Planilha1!$B:$C,2,0),"Não se Aplica")</f>
        <v>Sim</v>
      </c>
      <c r="AF532" s="42" t="str">
        <f>VLOOKUP(AD532,[34]Planilha1!$H:$J,3,0)</f>
        <v>Sim</v>
      </c>
      <c r="AG532" s="43">
        <f t="shared" si="207"/>
        <v>3920.4</v>
      </c>
    </row>
    <row r="533" spans="1:33" x14ac:dyDescent="0.3">
      <c r="A533" s="44" t="s">
        <v>836</v>
      </c>
      <c r="B533" s="45" t="s">
        <v>28</v>
      </c>
      <c r="C533" s="52" t="s">
        <v>161</v>
      </c>
      <c r="D533" s="54" t="s">
        <v>579</v>
      </c>
      <c r="E533" s="54" t="s">
        <v>580</v>
      </c>
      <c r="F533" s="53" t="s">
        <v>60</v>
      </c>
      <c r="G533" s="45" t="s">
        <v>29</v>
      </c>
      <c r="H533" s="53" t="s">
        <v>61</v>
      </c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>
        <f t="shared" si="206"/>
        <v>0</v>
      </c>
      <c r="V533" s="73"/>
      <c r="W533" s="73"/>
      <c r="X533" s="56"/>
      <c r="Y533" s="57"/>
      <c r="Z533" s="47"/>
      <c r="AA533" s="47"/>
      <c r="AB533" s="47"/>
      <c r="AD533" s="42" t="str">
        <f>C533&amp;A533</f>
        <v>CONSERVACAO DE PREDIOSOper</v>
      </c>
      <c r="AE533" s="42" t="str">
        <f>IFERROR(VLOOKUP(C533,[34]Planilha1!$B:$C,2,0),"Não se Aplica")</f>
        <v>Sim</v>
      </c>
      <c r="AF533" s="42" t="str">
        <f>VLOOKUP(AD533,[34]Planilha1!$H:$J,3,0)</f>
        <v>Sim</v>
      </c>
      <c r="AG533" s="43">
        <f t="shared" si="207"/>
        <v>0</v>
      </c>
    </row>
    <row r="534" spans="1:33" x14ac:dyDescent="0.3">
      <c r="A534" s="44" t="s">
        <v>836</v>
      </c>
      <c r="B534" s="45" t="s">
        <v>28</v>
      </c>
      <c r="C534" s="52" t="s">
        <v>161</v>
      </c>
      <c r="D534" s="53" t="s">
        <v>579</v>
      </c>
      <c r="E534" s="54" t="s">
        <v>580</v>
      </c>
      <c r="F534" s="53" t="s">
        <v>60</v>
      </c>
      <c r="G534" s="45" t="s">
        <v>30</v>
      </c>
      <c r="H534" s="53" t="s">
        <v>61</v>
      </c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>
        <f t="shared" si="206"/>
        <v>0</v>
      </c>
      <c r="V534" s="55"/>
      <c r="W534" s="47"/>
      <c r="X534" s="56"/>
      <c r="Y534" s="57"/>
      <c r="Z534" s="47"/>
      <c r="AA534" s="47"/>
      <c r="AB534" s="47"/>
      <c r="AD534" s="42" t="str">
        <f>C534&amp;A534</f>
        <v>CONSERVACAO DE PREDIOSOper</v>
      </c>
      <c r="AE534" s="42" t="str">
        <f>IFERROR(VLOOKUP(C534,[34]Planilha1!$B:$C,2,0),"Não se Aplica")</f>
        <v>Sim</v>
      </c>
      <c r="AF534" s="42" t="str">
        <f>VLOOKUP(AD534,[34]Planilha1!$H:$J,3,0)</f>
        <v>Sim</v>
      </c>
      <c r="AG534" s="43">
        <f t="shared" si="207"/>
        <v>0</v>
      </c>
    </row>
    <row r="535" spans="1:33" x14ac:dyDescent="0.3">
      <c r="A535" s="44" t="s">
        <v>836</v>
      </c>
      <c r="B535" s="45" t="s">
        <v>20</v>
      </c>
      <c r="C535" s="52" t="s">
        <v>161</v>
      </c>
      <c r="D535" s="53" t="s">
        <v>579</v>
      </c>
      <c r="E535" s="54" t="s">
        <v>580</v>
      </c>
      <c r="F535" s="53" t="s">
        <v>60</v>
      </c>
      <c r="G535" s="45" t="s">
        <v>31</v>
      </c>
      <c r="H535" s="53" t="s">
        <v>61</v>
      </c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>
        <f t="shared" si="206"/>
        <v>0</v>
      </c>
      <c r="V535" s="55"/>
      <c r="W535" s="47"/>
      <c r="X535" s="56"/>
      <c r="Y535" s="57"/>
      <c r="Z535" s="47"/>
      <c r="AA535" s="47"/>
      <c r="AB535" s="47"/>
      <c r="AD535" s="42" t="str">
        <f>C535&amp;A535</f>
        <v>CONSERVACAO DE PREDIOSOper</v>
      </c>
      <c r="AE535" s="42" t="str">
        <f>IFERROR(VLOOKUP(C535,[34]Planilha1!$B:$C,2,0),"Não se Aplica")</f>
        <v>Sim</v>
      </c>
      <c r="AF535" s="42" t="str">
        <f>VLOOKUP(AD535,[34]Planilha1!$H:$J,3,0)</f>
        <v>Sim</v>
      </c>
      <c r="AG535" s="43">
        <f t="shared" si="207"/>
        <v>0</v>
      </c>
    </row>
    <row r="536" spans="1:33" x14ac:dyDescent="0.3">
      <c r="A536" s="44" t="s">
        <v>836</v>
      </c>
      <c r="B536" s="45" t="s">
        <v>28</v>
      </c>
      <c r="C536" s="52" t="s">
        <v>161</v>
      </c>
      <c r="D536" s="53" t="s">
        <v>579</v>
      </c>
      <c r="E536" s="54" t="s">
        <v>580</v>
      </c>
      <c r="F536" s="53" t="s">
        <v>60</v>
      </c>
      <c r="G536" s="45" t="s">
        <v>90</v>
      </c>
      <c r="H536" s="53" t="s">
        <v>61</v>
      </c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>
        <f t="shared" si="206"/>
        <v>0</v>
      </c>
      <c r="V536" s="55"/>
      <c r="W536" s="47"/>
      <c r="X536" s="56"/>
      <c r="Y536" s="57"/>
      <c r="Z536" s="47"/>
      <c r="AA536" s="47"/>
      <c r="AB536" s="47"/>
      <c r="AD536" s="42" t="str">
        <f>C536&amp;A536</f>
        <v>CONSERVACAO DE PREDIOSOper</v>
      </c>
      <c r="AE536" s="42" t="str">
        <f>IFERROR(VLOOKUP(C536,[34]Planilha1!$B:$C,2,0),"Não se Aplica")</f>
        <v>Sim</v>
      </c>
      <c r="AF536" s="42" t="str">
        <f>VLOOKUP(AD536,[34]Planilha1!$H:$J,3,0)</f>
        <v>Sim</v>
      </c>
      <c r="AG536" s="43">
        <f t="shared" si="207"/>
        <v>0</v>
      </c>
    </row>
    <row r="537" spans="1:33" x14ac:dyDescent="0.3">
      <c r="A537" s="44" t="s">
        <v>836</v>
      </c>
      <c r="B537" s="45" t="s">
        <v>28</v>
      </c>
      <c r="C537" s="52" t="s">
        <v>161</v>
      </c>
      <c r="D537" s="53" t="s">
        <v>579</v>
      </c>
      <c r="E537" s="54" t="s">
        <v>580</v>
      </c>
      <c r="F537" s="53" t="s">
        <v>60</v>
      </c>
      <c r="G537" s="45" t="s">
        <v>33</v>
      </c>
      <c r="H537" s="53" t="s">
        <v>61</v>
      </c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>
        <f t="shared" si="206"/>
        <v>0</v>
      </c>
      <c r="V537" s="55"/>
      <c r="W537" s="47"/>
      <c r="X537" s="56"/>
      <c r="Y537" s="57"/>
      <c r="Z537" s="47"/>
      <c r="AA537" s="47"/>
      <c r="AB537" s="47"/>
      <c r="AD537" s="42" t="str">
        <f>C537&amp;A537</f>
        <v>CONSERVACAO DE PREDIOSOper</v>
      </c>
      <c r="AE537" s="42" t="str">
        <f>IFERROR(VLOOKUP(C537,[34]Planilha1!$B:$C,2,0),"Não se Aplica")</f>
        <v>Sim</v>
      </c>
      <c r="AF537" s="42" t="str">
        <f>VLOOKUP(AD537,[34]Planilha1!$H:$J,3,0)</f>
        <v>Sim</v>
      </c>
      <c r="AG537" s="43">
        <f t="shared" si="207"/>
        <v>0</v>
      </c>
    </row>
    <row r="538" spans="1:33" x14ac:dyDescent="0.3">
      <c r="A538" s="1" t="s">
        <v>836</v>
      </c>
      <c r="B538" s="65" t="s">
        <v>20</v>
      </c>
      <c r="C538" s="78" t="s">
        <v>161</v>
      </c>
      <c r="D538" s="81" t="s">
        <v>581</v>
      </c>
      <c r="E538" s="86" t="s">
        <v>580</v>
      </c>
      <c r="F538" s="81" t="s">
        <v>60</v>
      </c>
      <c r="G538" s="65" t="s">
        <v>22</v>
      </c>
      <c r="H538" s="81" t="s">
        <v>61</v>
      </c>
      <c r="I538" s="27"/>
      <c r="J538" s="27"/>
      <c r="K538" s="27">
        <v>25000</v>
      </c>
      <c r="L538" s="27"/>
      <c r="M538" s="27"/>
      <c r="N538" s="27">
        <v>25000</v>
      </c>
      <c r="O538" s="27"/>
      <c r="P538" s="27"/>
      <c r="Q538" s="27">
        <v>25000</v>
      </c>
      <c r="R538" s="27"/>
      <c r="S538" s="27"/>
      <c r="T538" s="27">
        <v>25000</v>
      </c>
      <c r="U538" s="27">
        <f t="shared" si="206"/>
        <v>100000</v>
      </c>
      <c r="V538" s="82"/>
      <c r="W538"/>
      <c r="X538" s="87"/>
      <c r="Y538" s="8"/>
      <c r="Z538"/>
      <c r="AA538"/>
      <c r="AB538"/>
      <c r="AD538" s="42" t="str">
        <f>C538&amp;A538</f>
        <v>CONSERVACAO DE PREDIOSOper</v>
      </c>
      <c r="AE538" s="42" t="str">
        <f>IFERROR(VLOOKUP(C538,[34]Planilha1!$B:$C,2,0),"Não se Aplica")</f>
        <v>Sim</v>
      </c>
      <c r="AF538" s="42" t="str">
        <f>VLOOKUP(AD538,[34]Planilha1!$H:$J,3,0)</f>
        <v>Sim</v>
      </c>
      <c r="AG538" s="43">
        <f t="shared" si="207"/>
        <v>90750</v>
      </c>
    </row>
    <row r="539" spans="1:33" x14ac:dyDescent="0.3">
      <c r="A539" s="1" t="s">
        <v>836</v>
      </c>
      <c r="B539" s="65" t="s">
        <v>28</v>
      </c>
      <c r="C539" s="78" t="s">
        <v>161</v>
      </c>
      <c r="D539" s="81" t="s">
        <v>582</v>
      </c>
      <c r="E539" s="86"/>
      <c r="F539" s="81" t="s">
        <v>60</v>
      </c>
      <c r="G539" s="65" t="s">
        <v>31</v>
      </c>
      <c r="H539" s="81" t="s">
        <v>61</v>
      </c>
      <c r="I539" s="27"/>
      <c r="J539" s="27"/>
      <c r="K539" s="27"/>
      <c r="L539" s="27"/>
      <c r="M539" s="27"/>
      <c r="N539" s="27"/>
      <c r="O539" s="27">
        <v>6000</v>
      </c>
      <c r="P539" s="27"/>
      <c r="Q539" s="27"/>
      <c r="R539" s="27"/>
      <c r="S539" s="27"/>
      <c r="T539" s="27"/>
      <c r="U539" s="27">
        <f t="shared" si="206"/>
        <v>6000</v>
      </c>
      <c r="V539" s="82"/>
      <c r="W539"/>
      <c r="X539" s="87"/>
      <c r="Y539" s="8"/>
      <c r="Z539"/>
      <c r="AA539"/>
      <c r="AB539"/>
      <c r="AD539" s="42" t="str">
        <f>C539&amp;A539</f>
        <v>CONSERVACAO DE PREDIOSOper</v>
      </c>
      <c r="AE539" s="42" t="str">
        <f>IFERROR(VLOOKUP(C539,[34]Planilha1!$B:$C,2,0),"Não se Aplica")</f>
        <v>Sim</v>
      </c>
      <c r="AF539" s="42" t="str">
        <f>VLOOKUP(AD539,[34]Planilha1!$H:$J,3,0)</f>
        <v>Sim</v>
      </c>
      <c r="AG539" s="43">
        <f t="shared" si="207"/>
        <v>5445</v>
      </c>
    </row>
    <row r="540" spans="1:33" x14ac:dyDescent="0.3">
      <c r="A540" s="1" t="s">
        <v>836</v>
      </c>
      <c r="B540" s="65" t="s">
        <v>20</v>
      </c>
      <c r="C540" s="78" t="s">
        <v>161</v>
      </c>
      <c r="D540" s="81" t="s">
        <v>583</v>
      </c>
      <c r="E540" s="86" t="s">
        <v>392</v>
      </c>
      <c r="F540" s="81" t="s">
        <v>60</v>
      </c>
      <c r="G540" s="65" t="s">
        <v>22</v>
      </c>
      <c r="H540" s="81" t="s">
        <v>61</v>
      </c>
      <c r="I540" s="27">
        <v>4000</v>
      </c>
      <c r="J540" s="27">
        <v>4000</v>
      </c>
      <c r="K540" s="27">
        <v>4000</v>
      </c>
      <c r="L540" s="27">
        <v>4000</v>
      </c>
      <c r="M540" s="27">
        <v>4000</v>
      </c>
      <c r="N540" s="27">
        <v>4000</v>
      </c>
      <c r="O540" s="27">
        <v>4000</v>
      </c>
      <c r="P540" s="27">
        <v>4000</v>
      </c>
      <c r="Q540" s="27">
        <v>4000</v>
      </c>
      <c r="R540" s="27">
        <v>4000</v>
      </c>
      <c r="S540" s="27">
        <v>4000</v>
      </c>
      <c r="T540" s="27">
        <v>4000</v>
      </c>
      <c r="U540" s="27">
        <f t="shared" si="206"/>
        <v>48000</v>
      </c>
      <c r="V540" s="82"/>
      <c r="W540"/>
      <c r="X540" s="87"/>
      <c r="Y540" s="8"/>
      <c r="Z540"/>
      <c r="AA540"/>
      <c r="AB540"/>
      <c r="AD540" s="42" t="str">
        <f>C540&amp;A540</f>
        <v>CONSERVACAO DE PREDIOSOper</v>
      </c>
      <c r="AE540" s="42" t="str">
        <f>IFERROR(VLOOKUP(C540,[34]Planilha1!$B:$C,2,0),"Não se Aplica")</f>
        <v>Sim</v>
      </c>
      <c r="AF540" s="42" t="str">
        <f>VLOOKUP(AD540,[34]Planilha1!$H:$J,3,0)</f>
        <v>Sim</v>
      </c>
      <c r="AG540" s="43">
        <f t="shared" si="207"/>
        <v>43560</v>
      </c>
    </row>
    <row r="541" spans="1:33" x14ac:dyDescent="0.3">
      <c r="A541" s="1" t="s">
        <v>836</v>
      </c>
      <c r="B541" s="65" t="s">
        <v>28</v>
      </c>
      <c r="C541" s="78" t="s">
        <v>161</v>
      </c>
      <c r="D541" s="81" t="s">
        <v>584</v>
      </c>
      <c r="E541" s="86"/>
      <c r="F541" s="81" t="s">
        <v>60</v>
      </c>
      <c r="G541" s="65" t="s">
        <v>90</v>
      </c>
      <c r="H541" s="81" t="s">
        <v>61</v>
      </c>
      <c r="I541" s="27"/>
      <c r="J541" s="27"/>
      <c r="K541" s="27"/>
      <c r="L541" s="27"/>
      <c r="M541" s="27"/>
      <c r="N541" s="27"/>
      <c r="O541" s="27"/>
      <c r="P541" s="27">
        <v>12000</v>
      </c>
      <c r="Q541" s="27"/>
      <c r="R541" s="27"/>
      <c r="S541" s="27"/>
      <c r="T541" s="27"/>
      <c r="U541" s="27">
        <f t="shared" si="206"/>
        <v>12000</v>
      </c>
      <c r="V541" s="82"/>
      <c r="W541"/>
      <c r="X541" s="87"/>
      <c r="Y541" s="8"/>
      <c r="Z541"/>
      <c r="AA541"/>
      <c r="AB541"/>
      <c r="AD541" s="42" t="str">
        <f>C541&amp;A541</f>
        <v>CONSERVACAO DE PREDIOSOper</v>
      </c>
      <c r="AE541" s="42" t="str">
        <f>IFERROR(VLOOKUP(C541,[34]Planilha1!$B:$C,2,0),"Não se Aplica")</f>
        <v>Sim</v>
      </c>
      <c r="AF541" s="42" t="str">
        <f>VLOOKUP(AD541,[34]Planilha1!$H:$J,3,0)</f>
        <v>Sim</v>
      </c>
      <c r="AG541" s="43">
        <f t="shared" si="207"/>
        <v>10890</v>
      </c>
    </row>
    <row r="542" spans="1:33" x14ac:dyDescent="0.3">
      <c r="A542" s="1" t="s">
        <v>836</v>
      </c>
      <c r="B542" s="65" t="s">
        <v>20</v>
      </c>
      <c r="C542" s="78" t="s">
        <v>161</v>
      </c>
      <c r="D542" s="81" t="s">
        <v>585</v>
      </c>
      <c r="E542" s="86"/>
      <c r="F542" s="81" t="s">
        <v>60</v>
      </c>
      <c r="G542" s="65" t="s">
        <v>31</v>
      </c>
      <c r="H542" s="81" t="s">
        <v>61</v>
      </c>
      <c r="I542" s="27">
        <v>480</v>
      </c>
      <c r="J542" s="27"/>
      <c r="K542" s="27"/>
      <c r="L542" s="27"/>
      <c r="M542" s="27"/>
      <c r="N542" s="27"/>
      <c r="O542" s="27">
        <v>480</v>
      </c>
      <c r="P542" s="27"/>
      <c r="Q542" s="27"/>
      <c r="R542" s="27"/>
      <c r="S542" s="27"/>
      <c r="T542" s="27"/>
      <c r="U542" s="27">
        <f t="shared" si="206"/>
        <v>960</v>
      </c>
      <c r="V542" s="82"/>
      <c r="W542"/>
      <c r="X542" s="87"/>
      <c r="Y542" s="8"/>
      <c r="Z542"/>
      <c r="AA542"/>
      <c r="AB542"/>
      <c r="AD542" s="42" t="str">
        <f>C542&amp;A542</f>
        <v>CONSERVACAO DE PREDIOSOper</v>
      </c>
      <c r="AE542" s="42" t="str">
        <f>IFERROR(VLOOKUP(C542,[34]Planilha1!$B:$C,2,0),"Não se Aplica")</f>
        <v>Sim</v>
      </c>
      <c r="AF542" s="42" t="str">
        <f>VLOOKUP(AD542,[34]Planilha1!$H:$J,3,0)</f>
        <v>Sim</v>
      </c>
      <c r="AG542" s="43">
        <f t="shared" si="207"/>
        <v>871.19999999999993</v>
      </c>
    </row>
    <row r="543" spans="1:33" x14ac:dyDescent="0.3">
      <c r="A543" s="1" t="s">
        <v>836</v>
      </c>
      <c r="B543" s="65" t="s">
        <v>20</v>
      </c>
      <c r="C543" s="78" t="s">
        <v>161</v>
      </c>
      <c r="D543" s="81" t="s">
        <v>586</v>
      </c>
      <c r="E543" s="86" t="s">
        <v>587</v>
      </c>
      <c r="F543" s="81" t="s">
        <v>60</v>
      </c>
      <c r="G543" s="65" t="s">
        <v>32</v>
      </c>
      <c r="H543" s="81" t="s">
        <v>61</v>
      </c>
      <c r="I543" s="27"/>
      <c r="J543" s="27">
        <v>5000</v>
      </c>
      <c r="K543" s="27"/>
      <c r="L543" s="27">
        <v>5000</v>
      </c>
      <c r="M543" s="27"/>
      <c r="N543" s="27">
        <v>5000</v>
      </c>
      <c r="O543" s="27"/>
      <c r="P543" s="27">
        <v>5000</v>
      </c>
      <c r="Q543" s="27"/>
      <c r="R543" s="27">
        <v>5000</v>
      </c>
      <c r="S543" s="27"/>
      <c r="T543" s="27"/>
      <c r="U543" s="27">
        <f t="shared" si="206"/>
        <v>25000</v>
      </c>
      <c r="V543" s="82"/>
      <c r="W543"/>
      <c r="X543" s="87"/>
      <c r="Y543" s="8"/>
      <c r="Z543"/>
      <c r="AA543"/>
      <c r="AB543"/>
      <c r="AD543" s="42" t="str">
        <f>C543&amp;A543</f>
        <v>CONSERVACAO DE PREDIOSOper</v>
      </c>
      <c r="AE543" s="42" t="str">
        <f>IFERROR(VLOOKUP(C543,[34]Planilha1!$B:$C,2,0),"Não se Aplica")</f>
        <v>Sim</v>
      </c>
      <c r="AF543" s="42" t="str">
        <f>VLOOKUP(AD543,[34]Planilha1!$H:$J,3,0)</f>
        <v>Sim</v>
      </c>
      <c r="AG543" s="43">
        <f t="shared" si="207"/>
        <v>22687.5</v>
      </c>
    </row>
    <row r="544" spans="1:33" x14ac:dyDescent="0.3">
      <c r="A544" s="1" t="s">
        <v>836</v>
      </c>
      <c r="B544" s="65" t="s">
        <v>20</v>
      </c>
      <c r="C544" s="78" t="s">
        <v>161</v>
      </c>
      <c r="D544" s="81" t="s">
        <v>586</v>
      </c>
      <c r="E544" s="86" t="s">
        <v>587</v>
      </c>
      <c r="F544" s="81" t="s">
        <v>60</v>
      </c>
      <c r="G544" s="65" t="s">
        <v>27</v>
      </c>
      <c r="H544" s="81" t="s">
        <v>61</v>
      </c>
      <c r="I544" s="27"/>
      <c r="J544" s="27">
        <v>5000</v>
      </c>
      <c r="K544" s="27"/>
      <c r="L544" s="27"/>
      <c r="M544" s="27"/>
      <c r="N544" s="27">
        <v>5000</v>
      </c>
      <c r="O544" s="27"/>
      <c r="P544" s="27"/>
      <c r="Q544" s="27"/>
      <c r="R544" s="27">
        <v>5000</v>
      </c>
      <c r="S544" s="27"/>
      <c r="T544" s="27"/>
      <c r="U544" s="27">
        <f t="shared" si="206"/>
        <v>15000</v>
      </c>
      <c r="V544" s="82"/>
      <c r="W544"/>
      <c r="X544" s="87"/>
      <c r="Y544" s="8"/>
      <c r="Z544"/>
      <c r="AA544"/>
      <c r="AB544"/>
      <c r="AD544" s="42" t="str">
        <f>C544&amp;A544</f>
        <v>CONSERVACAO DE PREDIOSOper</v>
      </c>
      <c r="AE544" s="42" t="str">
        <f>IFERROR(VLOOKUP(C544,[34]Planilha1!$B:$C,2,0),"Não se Aplica")</f>
        <v>Sim</v>
      </c>
      <c r="AF544" s="42" t="str">
        <f>VLOOKUP(AD544,[34]Planilha1!$H:$J,3,0)</f>
        <v>Sim</v>
      </c>
      <c r="AG544" s="43">
        <f t="shared" si="207"/>
        <v>13612.5</v>
      </c>
    </row>
    <row r="545" spans="1:33" x14ac:dyDescent="0.3">
      <c r="A545" s="1" t="s">
        <v>836</v>
      </c>
      <c r="B545" s="65" t="s">
        <v>20</v>
      </c>
      <c r="C545" s="78" t="s">
        <v>161</v>
      </c>
      <c r="D545" s="81" t="s">
        <v>588</v>
      </c>
      <c r="E545" s="86"/>
      <c r="F545" s="81" t="s">
        <v>60</v>
      </c>
      <c r="G545" s="65" t="s">
        <v>22</v>
      </c>
      <c r="H545" s="81" t="s">
        <v>61</v>
      </c>
      <c r="I545" s="27"/>
      <c r="J545" s="27"/>
      <c r="K545" s="27">
        <v>3300</v>
      </c>
      <c r="L545" s="27"/>
      <c r="M545" s="27"/>
      <c r="N545" s="27"/>
      <c r="O545" s="27">
        <v>3300</v>
      </c>
      <c r="P545" s="27"/>
      <c r="Q545" s="27"/>
      <c r="R545" s="27"/>
      <c r="S545" s="27">
        <v>3300</v>
      </c>
      <c r="T545" s="27"/>
      <c r="U545" s="27">
        <f t="shared" si="206"/>
        <v>9900</v>
      </c>
      <c r="V545" s="82"/>
      <c r="W545"/>
      <c r="X545" s="87"/>
      <c r="Y545" s="8"/>
      <c r="Z545"/>
      <c r="AA545"/>
      <c r="AB545"/>
      <c r="AD545" s="42" t="str">
        <f>C545&amp;A545</f>
        <v>CONSERVACAO DE PREDIOSOper</v>
      </c>
      <c r="AE545" s="42" t="str">
        <f>IFERROR(VLOOKUP(C545,[34]Planilha1!$B:$C,2,0),"Não se Aplica")</f>
        <v>Sim</v>
      </c>
      <c r="AF545" s="42" t="str">
        <f>VLOOKUP(AD545,[34]Planilha1!$H:$J,3,0)</f>
        <v>Sim</v>
      </c>
      <c r="AG545" s="43">
        <f t="shared" si="207"/>
        <v>8984.25</v>
      </c>
    </row>
    <row r="546" spans="1:33" x14ac:dyDescent="0.3">
      <c r="A546" s="1" t="s">
        <v>836</v>
      </c>
      <c r="B546" s="65" t="s">
        <v>20</v>
      </c>
      <c r="C546" s="78" t="s">
        <v>161</v>
      </c>
      <c r="D546" s="81" t="s">
        <v>589</v>
      </c>
      <c r="E546" s="86" t="s">
        <v>590</v>
      </c>
      <c r="F546" s="81" t="s">
        <v>60</v>
      </c>
      <c r="G546" s="65" t="s">
        <v>32</v>
      </c>
      <c r="H546" s="81" t="s">
        <v>61</v>
      </c>
      <c r="I546" s="27"/>
      <c r="J546" s="27">
        <v>3500</v>
      </c>
      <c r="K546" s="27"/>
      <c r="L546" s="27"/>
      <c r="M546" s="27">
        <v>3500</v>
      </c>
      <c r="N546" s="27"/>
      <c r="O546" s="27"/>
      <c r="P546" s="27">
        <v>3500</v>
      </c>
      <c r="Q546" s="27"/>
      <c r="R546" s="27"/>
      <c r="S546" s="27">
        <v>3500</v>
      </c>
      <c r="T546" s="27"/>
      <c r="U546" s="27">
        <f t="shared" si="206"/>
        <v>14000</v>
      </c>
      <c r="V546" s="82"/>
      <c r="W546"/>
      <c r="X546" s="87"/>
      <c r="Y546" s="8"/>
      <c r="Z546"/>
      <c r="AA546"/>
      <c r="AB546"/>
      <c r="AD546" s="42" t="str">
        <f>C546&amp;A546</f>
        <v>CONSERVACAO DE PREDIOSOper</v>
      </c>
      <c r="AE546" s="42" t="str">
        <f>IFERROR(VLOOKUP(C546,[34]Planilha1!$B:$C,2,0),"Não se Aplica")</f>
        <v>Sim</v>
      </c>
      <c r="AF546" s="42" t="str">
        <f>VLOOKUP(AD546,[34]Planilha1!$H:$J,3,0)</f>
        <v>Sim</v>
      </c>
      <c r="AG546" s="43">
        <f t="shared" si="207"/>
        <v>12705</v>
      </c>
    </row>
    <row r="547" spans="1:33" x14ac:dyDescent="0.3">
      <c r="A547" s="1" t="s">
        <v>836</v>
      </c>
      <c r="B547" s="65" t="s">
        <v>20</v>
      </c>
      <c r="C547" s="78" t="s">
        <v>161</v>
      </c>
      <c r="D547" s="81" t="s">
        <v>589</v>
      </c>
      <c r="E547" s="86"/>
      <c r="F547" s="81" t="s">
        <v>60</v>
      </c>
      <c r="G547" s="65" t="s">
        <v>27</v>
      </c>
      <c r="H547" s="81" t="s">
        <v>61</v>
      </c>
      <c r="I547" s="27"/>
      <c r="J547" s="27">
        <v>2000</v>
      </c>
      <c r="K547" s="27"/>
      <c r="L547" s="27"/>
      <c r="M547" s="27">
        <v>2000</v>
      </c>
      <c r="N547" s="27"/>
      <c r="O547" s="27"/>
      <c r="P547" s="27">
        <v>2000</v>
      </c>
      <c r="Q547" s="27"/>
      <c r="R547" s="27"/>
      <c r="S547" s="27">
        <v>2000</v>
      </c>
      <c r="T547" s="27"/>
      <c r="U547" s="27">
        <f t="shared" si="206"/>
        <v>8000</v>
      </c>
      <c r="V547" s="82"/>
      <c r="W547"/>
      <c r="X547" s="87"/>
      <c r="Y547" s="8"/>
      <c r="Z547"/>
      <c r="AA547"/>
      <c r="AB547"/>
      <c r="AD547" s="42" t="str">
        <f>C547&amp;A547</f>
        <v>CONSERVACAO DE PREDIOSOper</v>
      </c>
      <c r="AE547" s="42" t="str">
        <f>IFERROR(VLOOKUP(C547,[34]Planilha1!$B:$C,2,0),"Não se Aplica")</f>
        <v>Sim</v>
      </c>
      <c r="AF547" s="42" t="str">
        <f>VLOOKUP(AD547,[34]Planilha1!$H:$J,3,0)</f>
        <v>Sim</v>
      </c>
      <c r="AG547" s="43">
        <f t="shared" si="207"/>
        <v>7260</v>
      </c>
    </row>
    <row r="548" spans="1:33" x14ac:dyDescent="0.3">
      <c r="A548" s="1" t="s">
        <v>836</v>
      </c>
      <c r="B548" s="65" t="s">
        <v>20</v>
      </c>
      <c r="C548" s="78" t="s">
        <v>161</v>
      </c>
      <c r="D548" s="81" t="s">
        <v>589</v>
      </c>
      <c r="E548" s="86" t="s">
        <v>591</v>
      </c>
      <c r="F548" s="81" t="s">
        <v>60</v>
      </c>
      <c r="G548" s="65" t="s">
        <v>22</v>
      </c>
      <c r="H548" s="81" t="s">
        <v>61</v>
      </c>
      <c r="I548" s="27"/>
      <c r="J548" s="27">
        <v>3500</v>
      </c>
      <c r="K548" s="27"/>
      <c r="L548" s="27"/>
      <c r="M548" s="27">
        <v>3500</v>
      </c>
      <c r="N548" s="27"/>
      <c r="O548" s="27"/>
      <c r="P548" s="27">
        <v>3500</v>
      </c>
      <c r="Q548" s="27"/>
      <c r="R548" s="27"/>
      <c r="S548" s="27">
        <v>3500</v>
      </c>
      <c r="T548" s="27"/>
      <c r="U548" s="27">
        <f t="shared" si="206"/>
        <v>14000</v>
      </c>
      <c r="V548" s="82"/>
      <c r="W548"/>
      <c r="X548" s="87"/>
      <c r="Y548" s="8"/>
      <c r="Z548"/>
      <c r="AA548"/>
      <c r="AB548"/>
      <c r="AD548" s="42" t="str">
        <f>C548&amp;A548</f>
        <v>CONSERVACAO DE PREDIOSOper</v>
      </c>
      <c r="AE548" s="42" t="str">
        <f>IFERROR(VLOOKUP(C548,[34]Planilha1!$B:$C,2,0),"Não se Aplica")</f>
        <v>Sim</v>
      </c>
      <c r="AF548" s="42" t="str">
        <f>VLOOKUP(AD548,[34]Planilha1!$H:$J,3,0)</f>
        <v>Sim</v>
      </c>
      <c r="AG548" s="43">
        <f t="shared" si="207"/>
        <v>12705</v>
      </c>
    </row>
    <row r="549" spans="1:33" x14ac:dyDescent="0.3">
      <c r="A549" s="1" t="s">
        <v>836</v>
      </c>
      <c r="B549" s="65" t="s">
        <v>20</v>
      </c>
      <c r="C549" s="78" t="s">
        <v>161</v>
      </c>
      <c r="D549" s="81" t="s">
        <v>592</v>
      </c>
      <c r="E549" s="86"/>
      <c r="F549" s="81" t="s">
        <v>60</v>
      </c>
      <c r="G549" s="65" t="s">
        <v>22</v>
      </c>
      <c r="H549" s="81" t="s">
        <v>61</v>
      </c>
      <c r="I549" s="27"/>
      <c r="J549" s="27"/>
      <c r="K549" s="27">
        <v>20000</v>
      </c>
      <c r="L549" s="27"/>
      <c r="M549" s="27"/>
      <c r="N549" s="27"/>
      <c r="O549" s="27"/>
      <c r="P549" s="27"/>
      <c r="Q549" s="27">
        <v>20000</v>
      </c>
      <c r="R549" s="27"/>
      <c r="S549" s="27"/>
      <c r="T549" s="27"/>
      <c r="U549" s="27">
        <f t="shared" si="206"/>
        <v>40000</v>
      </c>
      <c r="V549" s="82"/>
      <c r="W549"/>
      <c r="X549" s="87"/>
      <c r="Y549" s="8"/>
      <c r="Z549"/>
      <c r="AA549"/>
      <c r="AB549"/>
      <c r="AD549" s="42" t="str">
        <f>C549&amp;A549</f>
        <v>CONSERVACAO DE PREDIOSOper</v>
      </c>
      <c r="AE549" s="42" t="str">
        <f>IFERROR(VLOOKUP(C549,[34]Planilha1!$B:$C,2,0),"Não se Aplica")</f>
        <v>Sim</v>
      </c>
      <c r="AF549" s="42" t="str">
        <f>VLOOKUP(AD549,[34]Planilha1!$H:$J,3,0)</f>
        <v>Sim</v>
      </c>
      <c r="AG549" s="43">
        <f t="shared" si="207"/>
        <v>36300</v>
      </c>
    </row>
    <row r="550" spans="1:33" x14ac:dyDescent="0.3">
      <c r="A550" s="1" t="s">
        <v>836</v>
      </c>
      <c r="B550" s="65" t="s">
        <v>20</v>
      </c>
      <c r="C550" s="78" t="s">
        <v>161</v>
      </c>
      <c r="D550" s="81" t="s">
        <v>593</v>
      </c>
      <c r="E550" s="86"/>
      <c r="F550" s="81" t="s">
        <v>60</v>
      </c>
      <c r="G550" s="65" t="s">
        <v>22</v>
      </c>
      <c r="H550" s="81" t="s">
        <v>61</v>
      </c>
      <c r="I550" s="27"/>
      <c r="J550" s="27"/>
      <c r="K550" s="27"/>
      <c r="L550" s="27">
        <v>10000</v>
      </c>
      <c r="M550" s="27">
        <v>10000</v>
      </c>
      <c r="N550" s="27"/>
      <c r="O550" s="27"/>
      <c r="P550" s="27"/>
      <c r="Q550" s="27"/>
      <c r="R550" s="27"/>
      <c r="S550" s="27"/>
      <c r="T550" s="27"/>
      <c r="U550" s="27">
        <f t="shared" si="206"/>
        <v>20000</v>
      </c>
      <c r="V550" s="82"/>
      <c r="W550"/>
      <c r="X550" s="87"/>
      <c r="Y550" s="8"/>
      <c r="Z550"/>
      <c r="AA550"/>
      <c r="AB550"/>
      <c r="AD550" s="42" t="str">
        <f>C550&amp;A550</f>
        <v>CONSERVACAO DE PREDIOSOper</v>
      </c>
      <c r="AE550" s="42" t="str">
        <f>IFERROR(VLOOKUP(C550,[34]Planilha1!$B:$C,2,0),"Não se Aplica")</f>
        <v>Sim</v>
      </c>
      <c r="AF550" s="42" t="str">
        <f>VLOOKUP(AD550,[34]Planilha1!$H:$J,3,0)</f>
        <v>Sim</v>
      </c>
      <c r="AG550" s="43">
        <f t="shared" si="207"/>
        <v>18150</v>
      </c>
    </row>
    <row r="551" spans="1:33" x14ac:dyDescent="0.3">
      <c r="A551" s="1" t="s">
        <v>836</v>
      </c>
      <c r="B551" s="65" t="s">
        <v>20</v>
      </c>
      <c r="C551" s="78" t="s">
        <v>161</v>
      </c>
      <c r="D551" s="81" t="s">
        <v>594</v>
      </c>
      <c r="E551" s="86"/>
      <c r="F551" s="81" t="s">
        <v>60</v>
      </c>
      <c r="G551" s="65" t="s">
        <v>22</v>
      </c>
      <c r="H551" s="81" t="s">
        <v>61</v>
      </c>
      <c r="I551" s="27"/>
      <c r="J551" s="27"/>
      <c r="K551" s="27"/>
      <c r="L551" s="27"/>
      <c r="M551" s="27"/>
      <c r="N551" s="27">
        <v>12000</v>
      </c>
      <c r="O551" s="27">
        <v>12000</v>
      </c>
      <c r="P551" s="27">
        <v>12000</v>
      </c>
      <c r="Q551" s="27"/>
      <c r="R551" s="27"/>
      <c r="S551" s="27"/>
      <c r="T551" s="27"/>
      <c r="U551" s="27">
        <f t="shared" si="206"/>
        <v>36000</v>
      </c>
      <c r="V551" s="82"/>
      <c r="W551"/>
      <c r="X551" s="87"/>
      <c r="Y551" s="8"/>
      <c r="Z551"/>
      <c r="AA551"/>
      <c r="AB551"/>
      <c r="AD551" s="42" t="str">
        <f>C551&amp;A551</f>
        <v>CONSERVACAO DE PREDIOSOper</v>
      </c>
      <c r="AE551" s="42" t="str">
        <f>IFERROR(VLOOKUP(C551,[34]Planilha1!$B:$C,2,0),"Não se Aplica")</f>
        <v>Sim</v>
      </c>
      <c r="AF551" s="42" t="str">
        <f>VLOOKUP(AD551,[34]Planilha1!$H:$J,3,0)</f>
        <v>Sim</v>
      </c>
      <c r="AG551" s="43">
        <f t="shared" si="207"/>
        <v>32670</v>
      </c>
    </row>
    <row r="552" spans="1:33" x14ac:dyDescent="0.3">
      <c r="A552" s="1" t="s">
        <v>836</v>
      </c>
      <c r="B552" s="65" t="s">
        <v>20</v>
      </c>
      <c r="C552" s="78" t="s">
        <v>161</v>
      </c>
      <c r="D552" s="81" t="s">
        <v>595</v>
      </c>
      <c r="E552" s="86"/>
      <c r="F552" s="81" t="s">
        <v>60</v>
      </c>
      <c r="G552" s="65" t="s">
        <v>22</v>
      </c>
      <c r="H552" s="81" t="s">
        <v>61</v>
      </c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>
        <v>2500</v>
      </c>
      <c r="T552" s="27">
        <v>2500</v>
      </c>
      <c r="U552" s="27">
        <f t="shared" si="206"/>
        <v>5000</v>
      </c>
      <c r="V552" s="82"/>
      <c r="W552"/>
      <c r="X552" s="87"/>
      <c r="Y552" s="8"/>
      <c r="Z552"/>
      <c r="AA552"/>
      <c r="AB552"/>
      <c r="AD552" s="42" t="str">
        <f>C552&amp;A552</f>
        <v>CONSERVACAO DE PREDIOSOper</v>
      </c>
      <c r="AE552" s="42" t="str">
        <f>IFERROR(VLOOKUP(C552,[34]Planilha1!$B:$C,2,0),"Não se Aplica")</f>
        <v>Sim</v>
      </c>
      <c r="AF552" s="42" t="str">
        <f>VLOOKUP(AD552,[34]Planilha1!$H:$J,3,0)</f>
        <v>Sim</v>
      </c>
      <c r="AG552" s="43">
        <f t="shared" si="207"/>
        <v>4537.5</v>
      </c>
    </row>
    <row r="553" spans="1:33" x14ac:dyDescent="0.3">
      <c r="A553" s="1" t="s">
        <v>836</v>
      </c>
      <c r="B553" s="65" t="s">
        <v>20</v>
      </c>
      <c r="C553" s="78" t="s">
        <v>161</v>
      </c>
      <c r="D553" s="81" t="s">
        <v>596</v>
      </c>
      <c r="E553" s="86"/>
      <c r="F553" s="81" t="s">
        <v>60</v>
      </c>
      <c r="G553" s="65" t="s">
        <v>22</v>
      </c>
      <c r="H553" s="81" t="s">
        <v>61</v>
      </c>
      <c r="I553" s="27"/>
      <c r="J553" s="27"/>
      <c r="K553" s="27">
        <v>1750</v>
      </c>
      <c r="L553" s="27"/>
      <c r="M553" s="27"/>
      <c r="N553" s="27"/>
      <c r="O553" s="27"/>
      <c r="P553" s="27"/>
      <c r="Q553" s="27">
        <v>1750</v>
      </c>
      <c r="R553" s="27"/>
      <c r="S553" s="27"/>
      <c r="T553" s="27"/>
      <c r="U553" s="27">
        <f t="shared" si="206"/>
        <v>3500</v>
      </c>
      <c r="V553" s="82"/>
      <c r="W553"/>
      <c r="X553" s="87"/>
      <c r="Y553" s="8"/>
      <c r="Z553"/>
      <c r="AA553"/>
      <c r="AB553"/>
      <c r="AD553" s="42" t="str">
        <f>C553&amp;A553</f>
        <v>CONSERVACAO DE PREDIOSOper</v>
      </c>
      <c r="AE553" s="42" t="str">
        <f>IFERROR(VLOOKUP(C553,[34]Planilha1!$B:$C,2,0),"Não se Aplica")</f>
        <v>Sim</v>
      </c>
      <c r="AF553" s="42" t="str">
        <f>VLOOKUP(AD553,[34]Planilha1!$H:$J,3,0)</f>
        <v>Sim</v>
      </c>
      <c r="AG553" s="43">
        <f t="shared" si="207"/>
        <v>3176.25</v>
      </c>
    </row>
    <row r="554" spans="1:33" x14ac:dyDescent="0.3">
      <c r="A554" s="1" t="s">
        <v>836</v>
      </c>
      <c r="B554" s="65" t="s">
        <v>20</v>
      </c>
      <c r="C554" s="78" t="s">
        <v>161</v>
      </c>
      <c r="D554" s="81" t="s">
        <v>597</v>
      </c>
      <c r="E554" s="86"/>
      <c r="F554" s="81" t="s">
        <v>60</v>
      </c>
      <c r="G554" s="65" t="s">
        <v>22</v>
      </c>
      <c r="H554" s="81" t="s">
        <v>61</v>
      </c>
      <c r="I554" s="27"/>
      <c r="J554" s="27"/>
      <c r="K554" s="27"/>
      <c r="L554" s="27">
        <v>15000</v>
      </c>
      <c r="M554" s="27">
        <v>15000</v>
      </c>
      <c r="N554" s="27"/>
      <c r="O554" s="27"/>
      <c r="P554" s="27"/>
      <c r="Q554" s="27"/>
      <c r="R554" s="27"/>
      <c r="S554" s="27"/>
      <c r="T554" s="27"/>
      <c r="U554" s="27">
        <f t="shared" si="206"/>
        <v>30000</v>
      </c>
      <c r="V554" s="82"/>
      <c r="W554"/>
      <c r="X554" s="87"/>
      <c r="Y554" s="8"/>
      <c r="Z554"/>
      <c r="AA554"/>
      <c r="AB554"/>
      <c r="AD554" s="42" t="str">
        <f>C554&amp;A554</f>
        <v>CONSERVACAO DE PREDIOSOper</v>
      </c>
      <c r="AE554" s="42" t="str">
        <f>IFERROR(VLOOKUP(C554,[34]Planilha1!$B:$C,2,0),"Não se Aplica")</f>
        <v>Sim</v>
      </c>
      <c r="AF554" s="42" t="str">
        <f>VLOOKUP(AD554,[34]Planilha1!$H:$J,3,0)</f>
        <v>Sim</v>
      </c>
      <c r="AG554" s="43">
        <f t="shared" si="207"/>
        <v>27225</v>
      </c>
    </row>
    <row r="555" spans="1:33" x14ac:dyDescent="0.3">
      <c r="A555" s="1" t="s">
        <v>836</v>
      </c>
      <c r="B555" s="65" t="s">
        <v>20</v>
      </c>
      <c r="C555" s="78" t="s">
        <v>161</v>
      </c>
      <c r="D555" s="81" t="s">
        <v>598</v>
      </c>
      <c r="E555" s="86"/>
      <c r="F555" s="81" t="s">
        <v>60</v>
      </c>
      <c r="G555" s="65" t="s">
        <v>32</v>
      </c>
      <c r="H555" s="81" t="s">
        <v>61</v>
      </c>
      <c r="I555" s="27"/>
      <c r="J555" s="27"/>
      <c r="K555" s="27">
        <v>20000</v>
      </c>
      <c r="L555" s="27">
        <v>20000</v>
      </c>
      <c r="M555" s="27">
        <v>20000</v>
      </c>
      <c r="N555" s="27">
        <v>20000</v>
      </c>
      <c r="O555" s="27">
        <v>20000</v>
      </c>
      <c r="P555" s="27">
        <v>20000</v>
      </c>
      <c r="Q555" s="27">
        <v>20000</v>
      </c>
      <c r="R555" s="27">
        <v>20000</v>
      </c>
      <c r="S555" s="27">
        <v>20000</v>
      </c>
      <c r="T555" s="27">
        <v>20000</v>
      </c>
      <c r="U555" s="27">
        <f t="shared" si="206"/>
        <v>200000</v>
      </c>
      <c r="V555" s="82"/>
      <c r="W555"/>
      <c r="X555" s="87"/>
      <c r="Y555" s="8"/>
      <c r="Z555"/>
      <c r="AA555"/>
      <c r="AB555"/>
      <c r="AD555" s="42" t="str">
        <f>C555&amp;A555</f>
        <v>CONSERVACAO DE PREDIOSOper</v>
      </c>
      <c r="AE555" s="42" t="str">
        <f>IFERROR(VLOOKUP(C555,[34]Planilha1!$B:$C,2,0),"Não se Aplica")</f>
        <v>Sim</v>
      </c>
      <c r="AF555" s="42" t="str">
        <f>VLOOKUP(AD555,[34]Planilha1!$H:$J,3,0)</f>
        <v>Sim</v>
      </c>
      <c r="AG555" s="43">
        <f t="shared" si="207"/>
        <v>181500</v>
      </c>
    </row>
    <row r="556" spans="1:33" x14ac:dyDescent="0.3">
      <c r="A556" s="1" t="s">
        <v>836</v>
      </c>
      <c r="B556" s="65" t="s">
        <v>20</v>
      </c>
      <c r="C556" s="78" t="s">
        <v>161</v>
      </c>
      <c r="D556" s="81" t="s">
        <v>599</v>
      </c>
      <c r="E556" s="86"/>
      <c r="F556" s="81" t="s">
        <v>60</v>
      </c>
      <c r="G556" s="65" t="s">
        <v>32</v>
      </c>
      <c r="H556" s="81" t="s">
        <v>61</v>
      </c>
      <c r="I556" s="27"/>
      <c r="J556" s="27"/>
      <c r="K556" s="27">
        <v>1500</v>
      </c>
      <c r="L556" s="27">
        <v>1500</v>
      </c>
      <c r="M556" s="27">
        <v>1500</v>
      </c>
      <c r="N556" s="27">
        <v>1500</v>
      </c>
      <c r="O556" s="27">
        <v>1500</v>
      </c>
      <c r="P556" s="27">
        <v>1500</v>
      </c>
      <c r="Q556" s="27">
        <v>1500</v>
      </c>
      <c r="R556" s="27">
        <v>1500</v>
      </c>
      <c r="S556" s="27">
        <v>1500</v>
      </c>
      <c r="T556" s="27">
        <v>1500</v>
      </c>
      <c r="U556" s="27">
        <f t="shared" si="206"/>
        <v>15000</v>
      </c>
      <c r="V556" s="82"/>
      <c r="W556"/>
      <c r="X556" s="87"/>
      <c r="Y556" s="8"/>
      <c r="Z556"/>
      <c r="AA556"/>
      <c r="AB556"/>
      <c r="AD556" s="42" t="str">
        <f>C556&amp;A556</f>
        <v>CONSERVACAO DE PREDIOSOper</v>
      </c>
      <c r="AE556" s="42" t="str">
        <f>IFERROR(VLOOKUP(C556,[34]Planilha1!$B:$C,2,0),"Não se Aplica")</f>
        <v>Sim</v>
      </c>
      <c r="AF556" s="42" t="str">
        <f>VLOOKUP(AD556,[34]Planilha1!$H:$J,3,0)</f>
        <v>Sim</v>
      </c>
      <c r="AG556" s="43">
        <f t="shared" si="207"/>
        <v>13612.5</v>
      </c>
    </row>
    <row r="557" spans="1:33" x14ac:dyDescent="0.3">
      <c r="A557" s="1" t="s">
        <v>836</v>
      </c>
      <c r="B557" s="65" t="s">
        <v>28</v>
      </c>
      <c r="C557" s="78" t="s">
        <v>161</v>
      </c>
      <c r="D557" s="81" t="s">
        <v>600</v>
      </c>
      <c r="E557" s="86"/>
      <c r="F557" s="81" t="s">
        <v>60</v>
      </c>
      <c r="G557" s="65" t="s">
        <v>32</v>
      </c>
      <c r="H557" s="81" t="s">
        <v>61</v>
      </c>
      <c r="I557" s="27"/>
      <c r="J557" s="27"/>
      <c r="K557" s="27">
        <v>5000</v>
      </c>
      <c r="L557" s="27"/>
      <c r="M557" s="27"/>
      <c r="N557" s="27"/>
      <c r="O557" s="27"/>
      <c r="P557" s="27"/>
      <c r="Q557" s="27">
        <v>5000</v>
      </c>
      <c r="R557" s="27"/>
      <c r="S557" s="27"/>
      <c r="T557" s="27"/>
      <c r="U557" s="27">
        <f t="shared" si="206"/>
        <v>10000</v>
      </c>
      <c r="V557" s="82"/>
      <c r="W557"/>
      <c r="X557" s="87"/>
      <c r="Y557" s="8"/>
      <c r="Z557"/>
      <c r="AA557"/>
      <c r="AB557"/>
      <c r="AD557" s="42" t="str">
        <f>C557&amp;A557</f>
        <v>CONSERVACAO DE PREDIOSOper</v>
      </c>
      <c r="AE557" s="42" t="str">
        <f>IFERROR(VLOOKUP(C557,[34]Planilha1!$B:$C,2,0),"Não se Aplica")</f>
        <v>Sim</v>
      </c>
      <c r="AF557" s="42" t="str">
        <f>VLOOKUP(AD557,[34]Planilha1!$H:$J,3,0)</f>
        <v>Sim</v>
      </c>
      <c r="AG557" s="43">
        <f t="shared" si="207"/>
        <v>9075</v>
      </c>
    </row>
    <row r="558" spans="1:33" x14ac:dyDescent="0.3">
      <c r="A558" s="1" t="s">
        <v>836</v>
      </c>
      <c r="B558" s="65" t="s">
        <v>20</v>
      </c>
      <c r="C558" s="78" t="s">
        <v>161</v>
      </c>
      <c r="D558" s="81" t="s">
        <v>601</v>
      </c>
      <c r="E558" s="86"/>
      <c r="F558" s="81" t="s">
        <v>60</v>
      </c>
      <c r="G558" s="65" t="s">
        <v>22</v>
      </c>
      <c r="H558" s="81" t="s">
        <v>61</v>
      </c>
      <c r="I558" s="27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27">
        <f t="shared" si="206"/>
        <v>0</v>
      </c>
      <c r="V558" s="82"/>
      <c r="W558"/>
      <c r="X558" s="87"/>
      <c r="Y558" s="8"/>
      <c r="Z558"/>
      <c r="AA558"/>
      <c r="AB558"/>
      <c r="AD558" s="42" t="str">
        <f>C558&amp;A558</f>
        <v>CONSERVACAO DE PREDIOSOper</v>
      </c>
      <c r="AE558" s="42" t="str">
        <f>IFERROR(VLOOKUP(C558,[34]Planilha1!$B:$C,2,0),"Não se Aplica")</f>
        <v>Sim</v>
      </c>
      <c r="AF558" s="42" t="str">
        <f>VLOOKUP(AD558,[34]Planilha1!$H:$J,3,0)</f>
        <v>Sim</v>
      </c>
      <c r="AG558" s="43">
        <f t="shared" si="207"/>
        <v>0</v>
      </c>
    </row>
    <row r="559" spans="1:33" x14ac:dyDescent="0.3">
      <c r="A559" s="1" t="s">
        <v>836</v>
      </c>
      <c r="B559" s="65" t="s">
        <v>20</v>
      </c>
      <c r="C559" s="78" t="s">
        <v>161</v>
      </c>
      <c r="D559" s="81" t="s">
        <v>601</v>
      </c>
      <c r="E559" s="86"/>
      <c r="F559" s="81" t="s">
        <v>60</v>
      </c>
      <c r="G559" s="65" t="s">
        <v>32</v>
      </c>
      <c r="H559" s="81" t="s">
        <v>61</v>
      </c>
      <c r="I559" s="27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27">
        <f t="shared" si="206"/>
        <v>0</v>
      </c>
      <c r="V559" s="82"/>
      <c r="W559"/>
      <c r="X559" s="87"/>
      <c r="Y559" s="8"/>
      <c r="Z559"/>
      <c r="AA559"/>
      <c r="AB559"/>
      <c r="AD559" s="42" t="str">
        <f>C559&amp;A559</f>
        <v>CONSERVACAO DE PREDIOSOper</v>
      </c>
      <c r="AE559" s="42" t="str">
        <f>IFERROR(VLOOKUP(C559,[34]Planilha1!$B:$C,2,0),"Não se Aplica")</f>
        <v>Sim</v>
      </c>
      <c r="AF559" s="42" t="str">
        <f>VLOOKUP(AD559,[34]Planilha1!$H:$J,3,0)</f>
        <v>Sim</v>
      </c>
      <c r="AG559" s="43">
        <f t="shared" si="207"/>
        <v>0</v>
      </c>
    </row>
    <row r="560" spans="1:33" x14ac:dyDescent="0.3">
      <c r="A560" s="1" t="s">
        <v>836</v>
      </c>
      <c r="B560" s="65" t="s">
        <v>20</v>
      </c>
      <c r="C560" s="78" t="s">
        <v>161</v>
      </c>
      <c r="D560" s="81" t="s">
        <v>601</v>
      </c>
      <c r="E560" s="86"/>
      <c r="F560" s="81" t="s">
        <v>60</v>
      </c>
      <c r="G560" s="65" t="s">
        <v>90</v>
      </c>
      <c r="H560" s="81" t="s">
        <v>61</v>
      </c>
      <c r="I560" s="27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27">
        <f t="shared" si="206"/>
        <v>0</v>
      </c>
      <c r="V560" s="82"/>
      <c r="W560"/>
      <c r="X560" s="87"/>
      <c r="Y560" s="8"/>
      <c r="Z560"/>
      <c r="AA560"/>
      <c r="AB560"/>
      <c r="AD560" s="42" t="str">
        <f>C560&amp;A560</f>
        <v>CONSERVACAO DE PREDIOSOper</v>
      </c>
      <c r="AE560" s="42" t="str">
        <f>IFERROR(VLOOKUP(C560,[34]Planilha1!$B:$C,2,0),"Não se Aplica")</f>
        <v>Sim</v>
      </c>
      <c r="AF560" s="42" t="str">
        <f>VLOOKUP(AD560,[34]Planilha1!$H:$J,3,0)</f>
        <v>Sim</v>
      </c>
      <c r="AG560" s="43">
        <f t="shared" si="207"/>
        <v>0</v>
      </c>
    </row>
    <row r="561" spans="1:33" x14ac:dyDescent="0.3">
      <c r="A561" s="1" t="s">
        <v>836</v>
      </c>
      <c r="B561" s="65" t="s">
        <v>20</v>
      </c>
      <c r="C561" s="78" t="s">
        <v>161</v>
      </c>
      <c r="D561" s="81" t="s">
        <v>602</v>
      </c>
      <c r="E561" s="86"/>
      <c r="F561" s="81" t="s">
        <v>60</v>
      </c>
      <c r="G561" s="65" t="s">
        <v>32</v>
      </c>
      <c r="H561" s="81" t="s">
        <v>61</v>
      </c>
      <c r="I561" s="27"/>
      <c r="J561" s="27"/>
      <c r="K561" s="27">
        <v>2000</v>
      </c>
      <c r="L561" s="27">
        <v>2000</v>
      </c>
      <c r="M561" s="27">
        <v>2000</v>
      </c>
      <c r="N561" s="27">
        <v>2000</v>
      </c>
      <c r="O561" s="27">
        <v>2000</v>
      </c>
      <c r="P561" s="27">
        <v>2000</v>
      </c>
      <c r="Q561" s="27">
        <v>2000</v>
      </c>
      <c r="R561" s="27">
        <v>2000</v>
      </c>
      <c r="S561" s="27">
        <v>2000</v>
      </c>
      <c r="T561" s="27">
        <v>2000</v>
      </c>
      <c r="U561" s="27">
        <f t="shared" si="206"/>
        <v>20000</v>
      </c>
      <c r="V561" s="82"/>
      <c r="W561"/>
      <c r="X561" s="87"/>
      <c r="Y561" s="8"/>
      <c r="Z561"/>
      <c r="AA561"/>
      <c r="AB561"/>
      <c r="AD561" s="42" t="str">
        <f>C561&amp;A561</f>
        <v>CONSERVACAO DE PREDIOSOper</v>
      </c>
      <c r="AE561" s="42" t="str">
        <f>IFERROR(VLOOKUP(C561,[34]Planilha1!$B:$C,2,0),"Não se Aplica")</f>
        <v>Sim</v>
      </c>
      <c r="AF561" s="42" t="str">
        <f>VLOOKUP(AD561,[34]Planilha1!$H:$J,3,0)</f>
        <v>Sim</v>
      </c>
      <c r="AG561" s="43">
        <f t="shared" si="207"/>
        <v>18150</v>
      </c>
    </row>
    <row r="562" spans="1:33" x14ac:dyDescent="0.3">
      <c r="A562" s="1" t="s">
        <v>836</v>
      </c>
      <c r="B562" s="65" t="s">
        <v>20</v>
      </c>
      <c r="C562" s="78" t="s">
        <v>161</v>
      </c>
      <c r="D562" s="81" t="s">
        <v>603</v>
      </c>
      <c r="E562" s="86"/>
      <c r="F562" s="81" t="s">
        <v>60</v>
      </c>
      <c r="G562" s="65" t="s">
        <v>32</v>
      </c>
      <c r="H562" s="81" t="s">
        <v>61</v>
      </c>
      <c r="I562" s="27"/>
      <c r="J562" s="27"/>
      <c r="K562" s="27">
        <v>15000</v>
      </c>
      <c r="L562" s="27">
        <v>15000</v>
      </c>
      <c r="M562" s="27"/>
      <c r="N562" s="27"/>
      <c r="O562" s="27"/>
      <c r="P562" s="27"/>
      <c r="Q562" s="27">
        <v>15000</v>
      </c>
      <c r="R562" s="27">
        <v>15000</v>
      </c>
      <c r="S562" s="27"/>
      <c r="T562" s="27"/>
      <c r="U562" s="27">
        <f t="shared" si="206"/>
        <v>60000</v>
      </c>
      <c r="V562" s="82"/>
      <c r="W562"/>
      <c r="X562" s="87"/>
      <c r="Y562" s="8"/>
      <c r="Z562"/>
      <c r="AA562"/>
      <c r="AB562"/>
      <c r="AD562" s="42" t="str">
        <f>C562&amp;A562</f>
        <v>CONSERVACAO DE PREDIOSOper</v>
      </c>
      <c r="AE562" s="42" t="str">
        <f>IFERROR(VLOOKUP(C562,[34]Planilha1!$B:$C,2,0),"Não se Aplica")</f>
        <v>Sim</v>
      </c>
      <c r="AF562" s="42" t="str">
        <f>VLOOKUP(AD562,[34]Planilha1!$H:$J,3,0)</f>
        <v>Sim</v>
      </c>
      <c r="AG562" s="43">
        <f t="shared" si="207"/>
        <v>54450</v>
      </c>
    </row>
    <row r="563" spans="1:33" x14ac:dyDescent="0.3">
      <c r="A563" s="1" t="s">
        <v>836</v>
      </c>
      <c r="B563" s="65" t="s">
        <v>20</v>
      </c>
      <c r="C563" s="78" t="s">
        <v>161</v>
      </c>
      <c r="D563" s="81" t="s">
        <v>604</v>
      </c>
      <c r="E563" s="86"/>
      <c r="F563" s="81" t="s">
        <v>60</v>
      </c>
      <c r="G563" s="65" t="s">
        <v>32</v>
      </c>
      <c r="H563" s="81" t="s">
        <v>61</v>
      </c>
      <c r="I563" s="27"/>
      <c r="J563" s="27">
        <v>20000</v>
      </c>
      <c r="K563" s="27"/>
      <c r="L563" s="27"/>
      <c r="M563" s="27"/>
      <c r="N563" s="27"/>
      <c r="O563" s="27"/>
      <c r="P563" s="27">
        <v>20000</v>
      </c>
      <c r="Q563" s="27"/>
      <c r="R563" s="27"/>
      <c r="S563" s="27"/>
      <c r="T563" s="27"/>
      <c r="U563" s="27">
        <f t="shared" si="206"/>
        <v>40000</v>
      </c>
      <c r="V563" s="82"/>
      <c r="W563"/>
      <c r="X563" s="87"/>
      <c r="Y563" s="8"/>
      <c r="Z563"/>
      <c r="AA563"/>
      <c r="AB563"/>
      <c r="AD563" s="42" t="str">
        <f>C563&amp;A563</f>
        <v>CONSERVACAO DE PREDIOSOper</v>
      </c>
      <c r="AE563" s="42" t="str">
        <f>IFERROR(VLOOKUP(C563,[34]Planilha1!$B:$C,2,0),"Não se Aplica")</f>
        <v>Sim</v>
      </c>
      <c r="AF563" s="42" t="str">
        <f>VLOOKUP(AD563,[34]Planilha1!$H:$J,3,0)</f>
        <v>Sim</v>
      </c>
      <c r="AG563" s="43">
        <f t="shared" si="207"/>
        <v>36300</v>
      </c>
    </row>
    <row r="564" spans="1:33" x14ac:dyDescent="0.3">
      <c r="A564" s="1" t="s">
        <v>836</v>
      </c>
      <c r="B564" s="65" t="s">
        <v>20</v>
      </c>
      <c r="C564" s="78" t="s">
        <v>161</v>
      </c>
      <c r="D564" s="81" t="s">
        <v>603</v>
      </c>
      <c r="E564" s="86"/>
      <c r="F564" s="81" t="s">
        <v>60</v>
      </c>
      <c r="G564" s="65" t="s">
        <v>22</v>
      </c>
      <c r="H564" s="81" t="s">
        <v>61</v>
      </c>
      <c r="I564" s="27"/>
      <c r="J564" s="27"/>
      <c r="K564" s="27">
        <v>7500</v>
      </c>
      <c r="L564" s="27">
        <v>7500</v>
      </c>
      <c r="M564" s="27"/>
      <c r="N564" s="27"/>
      <c r="O564" s="27"/>
      <c r="P564" s="27"/>
      <c r="Q564" s="27">
        <v>7500</v>
      </c>
      <c r="R564" s="27">
        <v>7500</v>
      </c>
      <c r="S564" s="27"/>
      <c r="T564" s="27"/>
      <c r="U564" s="27">
        <f t="shared" si="206"/>
        <v>30000</v>
      </c>
      <c r="V564" s="82"/>
      <c r="W564"/>
      <c r="X564" s="87"/>
      <c r="Y564" s="8"/>
      <c r="Z564"/>
      <c r="AA564"/>
      <c r="AB564"/>
      <c r="AD564" s="42" t="str">
        <f>C564&amp;A564</f>
        <v>CONSERVACAO DE PREDIOSOper</v>
      </c>
      <c r="AE564" s="42" t="str">
        <f>IFERROR(VLOOKUP(C564,[34]Planilha1!$B:$C,2,0),"Não se Aplica")</f>
        <v>Sim</v>
      </c>
      <c r="AF564" s="42" t="str">
        <f>VLOOKUP(AD564,[34]Planilha1!$H:$J,3,0)</f>
        <v>Sim</v>
      </c>
      <c r="AG564" s="43">
        <f t="shared" si="207"/>
        <v>27225</v>
      </c>
    </row>
    <row r="565" spans="1:33" x14ac:dyDescent="0.3">
      <c r="A565" s="1" t="s">
        <v>836</v>
      </c>
      <c r="B565" s="65" t="s">
        <v>20</v>
      </c>
      <c r="C565" s="78" t="s">
        <v>161</v>
      </c>
      <c r="D565" s="81" t="s">
        <v>604</v>
      </c>
      <c r="E565" s="86"/>
      <c r="F565" s="81" t="s">
        <v>60</v>
      </c>
      <c r="G565" s="65" t="s">
        <v>22</v>
      </c>
      <c r="H565" s="81" t="s">
        <v>61</v>
      </c>
      <c r="I565" s="27"/>
      <c r="J565" s="27">
        <v>10000</v>
      </c>
      <c r="K565" s="27"/>
      <c r="L565" s="27"/>
      <c r="M565" s="27"/>
      <c r="N565" s="27"/>
      <c r="O565" s="27"/>
      <c r="P565" s="27">
        <v>10000</v>
      </c>
      <c r="Q565" s="27"/>
      <c r="R565" s="27"/>
      <c r="S565" s="27"/>
      <c r="T565" s="27"/>
      <c r="U565" s="27">
        <f t="shared" si="206"/>
        <v>20000</v>
      </c>
      <c r="V565" s="82"/>
      <c r="W565"/>
      <c r="X565" s="87"/>
      <c r="Y565" s="8"/>
      <c r="Z565"/>
      <c r="AA565"/>
      <c r="AB565"/>
      <c r="AD565" s="42" t="str">
        <f>C565&amp;A565</f>
        <v>CONSERVACAO DE PREDIOSOper</v>
      </c>
      <c r="AE565" s="42" t="str">
        <f>IFERROR(VLOOKUP(C565,[34]Planilha1!$B:$C,2,0),"Não se Aplica")</f>
        <v>Sim</v>
      </c>
      <c r="AF565" s="42" t="str">
        <f>VLOOKUP(AD565,[34]Planilha1!$H:$J,3,0)</f>
        <v>Sim</v>
      </c>
      <c r="AG565" s="43">
        <f t="shared" si="207"/>
        <v>18150</v>
      </c>
    </row>
    <row r="566" spans="1:33" x14ac:dyDescent="0.3">
      <c r="A566" s="1" t="s">
        <v>836</v>
      </c>
      <c r="B566" s="65" t="s">
        <v>20</v>
      </c>
      <c r="C566" s="78" t="s">
        <v>161</v>
      </c>
      <c r="D566" s="81" t="s">
        <v>605</v>
      </c>
      <c r="E566" s="86"/>
      <c r="F566" s="81" t="s">
        <v>60</v>
      </c>
      <c r="G566" s="65" t="s">
        <v>32</v>
      </c>
      <c r="H566" s="81" t="s">
        <v>61</v>
      </c>
      <c r="I566" s="27"/>
      <c r="J566" s="27"/>
      <c r="K566" s="27"/>
      <c r="L566" s="27">
        <v>12000</v>
      </c>
      <c r="M566" s="27">
        <v>12000</v>
      </c>
      <c r="N566" s="27"/>
      <c r="O566" s="27"/>
      <c r="P566" s="27"/>
      <c r="Q566" s="27"/>
      <c r="R566" s="27"/>
      <c r="S566" s="27"/>
      <c r="T566" s="27"/>
      <c r="U566" s="27">
        <f t="shared" si="206"/>
        <v>24000</v>
      </c>
      <c r="V566" s="82"/>
      <c r="W566"/>
      <c r="X566" s="87"/>
      <c r="Y566" s="8"/>
      <c r="Z566"/>
      <c r="AA566"/>
      <c r="AB566"/>
      <c r="AD566" s="42" t="str">
        <f>C566&amp;A566</f>
        <v>CONSERVACAO DE PREDIOSOper</v>
      </c>
      <c r="AE566" s="42" t="str">
        <f>IFERROR(VLOOKUP(C566,[34]Planilha1!$B:$C,2,0),"Não se Aplica")</f>
        <v>Sim</v>
      </c>
      <c r="AF566" s="42" t="str">
        <f>VLOOKUP(AD566,[34]Planilha1!$H:$J,3,0)</f>
        <v>Sim</v>
      </c>
      <c r="AG566" s="43">
        <f t="shared" si="207"/>
        <v>21780</v>
      </c>
    </row>
    <row r="567" spans="1:33" x14ac:dyDescent="0.3">
      <c r="A567" s="1" t="s">
        <v>836</v>
      </c>
      <c r="B567" s="65" t="s">
        <v>20</v>
      </c>
      <c r="C567" s="78" t="s">
        <v>161</v>
      </c>
      <c r="D567" s="81" t="s">
        <v>606</v>
      </c>
      <c r="E567" s="86"/>
      <c r="F567" s="81" t="s">
        <v>60</v>
      </c>
      <c r="G567" s="65" t="s">
        <v>32</v>
      </c>
      <c r="H567" s="81" t="s">
        <v>61</v>
      </c>
      <c r="I567" s="27">
        <v>3000</v>
      </c>
      <c r="J567" s="27"/>
      <c r="K567" s="27"/>
      <c r="L567" s="27">
        <v>3000</v>
      </c>
      <c r="M567" s="27"/>
      <c r="N567" s="27"/>
      <c r="O567" s="27">
        <v>3000</v>
      </c>
      <c r="P567" s="27"/>
      <c r="Q567" s="27"/>
      <c r="R567" s="27">
        <v>3000</v>
      </c>
      <c r="S567" s="27"/>
      <c r="T567" s="27"/>
      <c r="U567" s="27">
        <f t="shared" si="206"/>
        <v>12000</v>
      </c>
      <c r="V567" s="82"/>
      <c r="W567"/>
      <c r="X567" s="87"/>
      <c r="Y567" s="8"/>
      <c r="Z567"/>
      <c r="AA567"/>
      <c r="AB567"/>
      <c r="AD567" s="42" t="str">
        <f>C567&amp;A567</f>
        <v>CONSERVACAO DE PREDIOSOper</v>
      </c>
      <c r="AE567" s="42" t="str">
        <f>IFERROR(VLOOKUP(C567,[34]Planilha1!$B:$C,2,0),"Não se Aplica")</f>
        <v>Sim</v>
      </c>
      <c r="AF567" s="42" t="str">
        <f>VLOOKUP(AD567,[34]Planilha1!$H:$J,3,0)</f>
        <v>Sim</v>
      </c>
      <c r="AG567" s="43">
        <f t="shared" ref="AG567:AG630" si="208">IF(AF567="Sim", U567 * 0.9075, U567)</f>
        <v>10890</v>
      </c>
    </row>
    <row r="568" spans="1:33" x14ac:dyDescent="0.3">
      <c r="A568" s="1" t="s">
        <v>836</v>
      </c>
      <c r="B568" s="65" t="s">
        <v>20</v>
      </c>
      <c r="C568" s="78" t="s">
        <v>161</v>
      </c>
      <c r="D568" s="81" t="s">
        <v>607</v>
      </c>
      <c r="E568" s="86"/>
      <c r="F568" s="81" t="s">
        <v>60</v>
      </c>
      <c r="G568" s="65" t="s">
        <v>32</v>
      </c>
      <c r="H568" s="81" t="s">
        <v>61</v>
      </c>
      <c r="I568" s="27"/>
      <c r="J568" s="27">
        <v>2000</v>
      </c>
      <c r="K568" s="27"/>
      <c r="L568" s="27">
        <v>2000</v>
      </c>
      <c r="M568" s="27"/>
      <c r="N568" s="27">
        <v>2000</v>
      </c>
      <c r="O568" s="27"/>
      <c r="P568" s="27">
        <v>2000</v>
      </c>
      <c r="Q568" s="27"/>
      <c r="R568" s="27">
        <v>2000</v>
      </c>
      <c r="S568" s="27"/>
      <c r="T568" s="27">
        <v>2000</v>
      </c>
      <c r="U568" s="27">
        <f t="shared" si="206"/>
        <v>12000</v>
      </c>
      <c r="V568" s="82"/>
      <c r="W568"/>
      <c r="X568" s="87"/>
      <c r="Y568" s="8"/>
      <c r="Z568"/>
      <c r="AA568"/>
      <c r="AB568"/>
      <c r="AD568" s="42" t="str">
        <f>C568&amp;A568</f>
        <v>CONSERVACAO DE PREDIOSOper</v>
      </c>
      <c r="AE568" s="42" t="str">
        <f>IFERROR(VLOOKUP(C568,[34]Planilha1!$B:$C,2,0),"Não se Aplica")</f>
        <v>Sim</v>
      </c>
      <c r="AF568" s="42" t="str">
        <f>VLOOKUP(AD568,[34]Planilha1!$H:$J,3,0)</f>
        <v>Sim</v>
      </c>
      <c r="AG568" s="43">
        <f t="shared" si="208"/>
        <v>10890</v>
      </c>
    </row>
    <row r="569" spans="1:33" x14ac:dyDescent="0.3">
      <c r="A569" s="1" t="s">
        <v>836</v>
      </c>
      <c r="B569" s="65" t="s">
        <v>20</v>
      </c>
      <c r="C569" s="78" t="s">
        <v>210</v>
      </c>
      <c r="D569" s="81" t="s">
        <v>608</v>
      </c>
      <c r="E569" s="86"/>
      <c r="F569" s="81" t="s">
        <v>60</v>
      </c>
      <c r="G569" s="65" t="s">
        <v>32</v>
      </c>
      <c r="H569" s="81" t="s">
        <v>61</v>
      </c>
      <c r="I569" s="27"/>
      <c r="J569" s="27">
        <v>2000</v>
      </c>
      <c r="K569" s="27"/>
      <c r="L569" s="27"/>
      <c r="M569" s="27">
        <v>2000</v>
      </c>
      <c r="N569" s="27"/>
      <c r="O569" s="27"/>
      <c r="P569" s="27">
        <v>2000</v>
      </c>
      <c r="Q569" s="27"/>
      <c r="R569" s="27"/>
      <c r="S569" s="27">
        <v>2000</v>
      </c>
      <c r="T569" s="27"/>
      <c r="U569" s="27">
        <f t="shared" si="206"/>
        <v>8000</v>
      </c>
      <c r="V569" s="82"/>
      <c r="W569"/>
      <c r="X569" s="87"/>
      <c r="Y569" s="8"/>
      <c r="Z569"/>
      <c r="AA569"/>
      <c r="AB569"/>
      <c r="AD569" s="42" t="str">
        <f>C569&amp;A569</f>
        <v>CERTIFICACAO/QUALIDADEOper</v>
      </c>
      <c r="AE569" s="42" t="str">
        <f>IFERROR(VLOOKUP(C569,[34]Planilha1!$B:$C,2,0),"Não se Aplica")</f>
        <v>Sim</v>
      </c>
      <c r="AF569" s="42" t="str">
        <f>VLOOKUP(AD569,[34]Planilha1!$H:$J,3,0)</f>
        <v>Não</v>
      </c>
      <c r="AG569" s="43">
        <f t="shared" si="208"/>
        <v>8000</v>
      </c>
    </row>
    <row r="570" spans="1:33" x14ac:dyDescent="0.3">
      <c r="A570" s="1" t="s">
        <v>836</v>
      </c>
      <c r="B570" s="65" t="s">
        <v>20</v>
      </c>
      <c r="C570" s="78" t="s">
        <v>161</v>
      </c>
      <c r="D570" s="81" t="s">
        <v>609</v>
      </c>
      <c r="E570" s="86"/>
      <c r="F570" s="81" t="s">
        <v>60</v>
      </c>
      <c r="G570" s="65" t="s">
        <v>32</v>
      </c>
      <c r="H570" s="81" t="s">
        <v>61</v>
      </c>
      <c r="I570" s="27"/>
      <c r="J570" s="27"/>
      <c r="K570" s="27">
        <v>18000</v>
      </c>
      <c r="L570" s="27">
        <v>18000</v>
      </c>
      <c r="M570" s="27">
        <v>18000</v>
      </c>
      <c r="N570" s="27">
        <v>18000</v>
      </c>
      <c r="O570" s="27">
        <v>18000</v>
      </c>
      <c r="P570" s="27">
        <v>18000</v>
      </c>
      <c r="Q570" s="27">
        <v>18000</v>
      </c>
      <c r="R570" s="27">
        <v>18000</v>
      </c>
      <c r="S570" s="27">
        <v>18000</v>
      </c>
      <c r="T570" s="27">
        <v>18000</v>
      </c>
      <c r="U570" s="27">
        <f t="shared" si="206"/>
        <v>180000</v>
      </c>
      <c r="V570" s="82"/>
      <c r="W570"/>
      <c r="X570" s="87"/>
      <c r="Y570" s="8"/>
      <c r="Z570"/>
      <c r="AA570"/>
      <c r="AB570"/>
      <c r="AD570" s="42" t="str">
        <f>C570&amp;A570</f>
        <v>CONSERVACAO DE PREDIOSOper</v>
      </c>
      <c r="AE570" s="42" t="str">
        <f>IFERROR(VLOOKUP(C570,[34]Planilha1!$B:$C,2,0),"Não se Aplica")</f>
        <v>Sim</v>
      </c>
      <c r="AF570" s="42" t="str">
        <f>VLOOKUP(AD570,[34]Planilha1!$H:$J,3,0)</f>
        <v>Sim</v>
      </c>
      <c r="AG570" s="43">
        <f t="shared" si="208"/>
        <v>163350</v>
      </c>
    </row>
    <row r="571" spans="1:33" x14ac:dyDescent="0.3">
      <c r="A571" s="1" t="s">
        <v>836</v>
      </c>
      <c r="B571" s="65" t="s">
        <v>20</v>
      </c>
      <c r="C571" s="78" t="s">
        <v>161</v>
      </c>
      <c r="D571" s="81" t="s">
        <v>610</v>
      </c>
      <c r="E571" s="86"/>
      <c r="F571" s="81" t="s">
        <v>60</v>
      </c>
      <c r="G571" s="65" t="s">
        <v>22</v>
      </c>
      <c r="H571" s="81" t="s">
        <v>61</v>
      </c>
      <c r="I571" s="27"/>
      <c r="J571" s="27"/>
      <c r="K571" s="27">
        <v>3000</v>
      </c>
      <c r="L571" s="27"/>
      <c r="M571" s="27"/>
      <c r="N571" s="27"/>
      <c r="O571" s="27"/>
      <c r="P571" s="27">
        <v>3000</v>
      </c>
      <c r="Q571" s="27"/>
      <c r="R571" s="27"/>
      <c r="S571" s="27">
        <v>3000</v>
      </c>
      <c r="T571" s="27"/>
      <c r="U571" s="27">
        <f t="shared" si="206"/>
        <v>9000</v>
      </c>
      <c r="V571" s="82"/>
      <c r="W571"/>
      <c r="X571" s="87"/>
      <c r="Y571" s="8"/>
      <c r="Z571"/>
      <c r="AA571"/>
      <c r="AB571"/>
      <c r="AD571" s="42" t="str">
        <f>C571&amp;A571</f>
        <v>CONSERVACAO DE PREDIOSOper</v>
      </c>
      <c r="AE571" s="42" t="str">
        <f>IFERROR(VLOOKUP(C571,[34]Planilha1!$B:$C,2,0),"Não se Aplica")</f>
        <v>Sim</v>
      </c>
      <c r="AF571" s="42" t="str">
        <f>VLOOKUP(AD571,[34]Planilha1!$H:$J,3,0)</f>
        <v>Sim</v>
      </c>
      <c r="AG571" s="43">
        <f t="shared" si="208"/>
        <v>8167.5</v>
      </c>
    </row>
    <row r="572" spans="1:33" x14ac:dyDescent="0.3">
      <c r="A572" s="1" t="s">
        <v>836</v>
      </c>
      <c r="B572" s="65" t="s">
        <v>20</v>
      </c>
      <c r="C572" s="78" t="s">
        <v>161</v>
      </c>
      <c r="D572" s="86" t="s">
        <v>610</v>
      </c>
      <c r="E572" s="86"/>
      <c r="F572" s="81" t="s">
        <v>60</v>
      </c>
      <c r="G572" s="65" t="s">
        <v>27</v>
      </c>
      <c r="H572" s="81" t="s">
        <v>61</v>
      </c>
      <c r="I572" s="27"/>
      <c r="J572" s="27"/>
      <c r="K572" s="27"/>
      <c r="L572" s="27"/>
      <c r="M572" s="27"/>
      <c r="N572" s="27"/>
      <c r="O572" s="27">
        <v>5000</v>
      </c>
      <c r="P572" s="27"/>
      <c r="Q572" s="27"/>
      <c r="R572" s="27">
        <v>5000</v>
      </c>
      <c r="S572" s="27"/>
      <c r="T572" s="27"/>
      <c r="U572" s="27">
        <f t="shared" ref="U572:U635" si="209">SUM(I572:T572)</f>
        <v>10000</v>
      </c>
      <c r="V572" s="6"/>
      <c r="W572" s="6"/>
      <c r="X572" s="87"/>
      <c r="Y572" s="8"/>
      <c r="Z572"/>
      <c r="AA572"/>
      <c r="AB572"/>
      <c r="AD572" s="42" t="str">
        <f>C572&amp;A572</f>
        <v>CONSERVACAO DE PREDIOSOper</v>
      </c>
      <c r="AE572" s="42" t="str">
        <f>IFERROR(VLOOKUP(C572,[34]Planilha1!$B:$C,2,0),"Não se Aplica")</f>
        <v>Sim</v>
      </c>
      <c r="AF572" s="42" t="str">
        <f>VLOOKUP(AD572,[34]Planilha1!$H:$J,3,0)</f>
        <v>Sim</v>
      </c>
      <c r="AG572" s="43">
        <f t="shared" si="208"/>
        <v>9075</v>
      </c>
    </row>
    <row r="573" spans="1:33" x14ac:dyDescent="0.3">
      <c r="A573" s="1" t="s">
        <v>836</v>
      </c>
      <c r="B573" s="65" t="s">
        <v>20</v>
      </c>
      <c r="C573" s="78" t="s">
        <v>161</v>
      </c>
      <c r="D573" s="81" t="s">
        <v>610</v>
      </c>
      <c r="E573" s="86"/>
      <c r="F573" s="81" t="s">
        <v>60</v>
      </c>
      <c r="G573" s="65" t="s">
        <v>32</v>
      </c>
      <c r="H573" s="81" t="s">
        <v>61</v>
      </c>
      <c r="I573" s="27">
        <v>4500</v>
      </c>
      <c r="J573" s="27"/>
      <c r="K573" s="27"/>
      <c r="L573" s="27">
        <v>4500</v>
      </c>
      <c r="M573" s="27"/>
      <c r="N573" s="27"/>
      <c r="O573" s="27">
        <v>4500</v>
      </c>
      <c r="P573" s="27"/>
      <c r="Q573" s="27"/>
      <c r="R573" s="27">
        <v>4500</v>
      </c>
      <c r="S573" s="27"/>
      <c r="T573" s="27"/>
      <c r="U573" s="27">
        <f t="shared" si="209"/>
        <v>18000</v>
      </c>
      <c r="V573" s="82"/>
      <c r="W573"/>
      <c r="X573" s="87"/>
      <c r="Y573" s="8"/>
      <c r="Z573"/>
      <c r="AA573"/>
      <c r="AB573"/>
      <c r="AD573" s="42" t="str">
        <f>C573&amp;A573</f>
        <v>CONSERVACAO DE PREDIOSOper</v>
      </c>
      <c r="AE573" s="42" t="str">
        <f>IFERROR(VLOOKUP(C573,[34]Planilha1!$B:$C,2,0),"Não se Aplica")</f>
        <v>Sim</v>
      </c>
      <c r="AF573" s="42" t="str">
        <f>VLOOKUP(AD573,[34]Planilha1!$H:$J,3,0)</f>
        <v>Sim</v>
      </c>
      <c r="AG573" s="43">
        <f t="shared" si="208"/>
        <v>16335</v>
      </c>
    </row>
    <row r="574" spans="1:33" x14ac:dyDescent="0.3">
      <c r="A574" s="1" t="s">
        <v>836</v>
      </c>
      <c r="B574" s="65" t="s">
        <v>20</v>
      </c>
      <c r="C574" s="78" t="s">
        <v>161</v>
      </c>
      <c r="D574" s="81" t="s">
        <v>595</v>
      </c>
      <c r="E574" s="86"/>
      <c r="F574" s="81" t="s">
        <v>60</v>
      </c>
      <c r="G574" s="65" t="s">
        <v>32</v>
      </c>
      <c r="H574" s="81" t="s">
        <v>61</v>
      </c>
      <c r="I574" s="27"/>
      <c r="J574" s="27"/>
      <c r="K574" s="27">
        <v>1200</v>
      </c>
      <c r="L574" s="27">
        <v>1200</v>
      </c>
      <c r="M574" s="27">
        <v>1200</v>
      </c>
      <c r="N574" s="27">
        <v>1200</v>
      </c>
      <c r="O574" s="27">
        <v>1200</v>
      </c>
      <c r="P574" s="27">
        <v>1200</v>
      </c>
      <c r="Q574" s="27">
        <v>1200</v>
      </c>
      <c r="R574" s="27">
        <v>1200</v>
      </c>
      <c r="S574" s="27">
        <v>1200</v>
      </c>
      <c r="T574" s="27">
        <v>1200</v>
      </c>
      <c r="U574" s="27">
        <f t="shared" si="209"/>
        <v>12000</v>
      </c>
      <c r="V574" s="82"/>
      <c r="W574"/>
      <c r="X574" s="87"/>
      <c r="Y574" s="8"/>
      <c r="Z574"/>
      <c r="AA574"/>
      <c r="AB574"/>
      <c r="AD574" s="42" t="str">
        <f>C574&amp;A574</f>
        <v>CONSERVACAO DE PREDIOSOper</v>
      </c>
      <c r="AE574" s="42" t="str">
        <f>IFERROR(VLOOKUP(C574,[34]Planilha1!$B:$C,2,0),"Não se Aplica")</f>
        <v>Sim</v>
      </c>
      <c r="AF574" s="42" t="str">
        <f>VLOOKUP(AD574,[34]Planilha1!$H:$J,3,0)</f>
        <v>Sim</v>
      </c>
      <c r="AG574" s="43">
        <f t="shared" si="208"/>
        <v>10890</v>
      </c>
    </row>
    <row r="575" spans="1:33" x14ac:dyDescent="0.3">
      <c r="A575" s="1" t="s">
        <v>836</v>
      </c>
      <c r="B575" s="65" t="s">
        <v>20</v>
      </c>
      <c r="C575" s="78" t="s">
        <v>161</v>
      </c>
      <c r="D575" s="81" t="s">
        <v>611</v>
      </c>
      <c r="E575" s="86"/>
      <c r="F575" s="81" t="s">
        <v>60</v>
      </c>
      <c r="G575" s="65" t="s">
        <v>32</v>
      </c>
      <c r="H575" s="81" t="s">
        <v>61</v>
      </c>
      <c r="I575" s="27"/>
      <c r="J575" s="27"/>
      <c r="K575" s="27"/>
      <c r="L575" s="27"/>
      <c r="M575" s="27"/>
      <c r="N575" s="27">
        <v>25000</v>
      </c>
      <c r="O575" s="27"/>
      <c r="P575" s="27"/>
      <c r="Q575" s="27"/>
      <c r="R575" s="27"/>
      <c r="S575" s="27"/>
      <c r="T575" s="27">
        <v>25000</v>
      </c>
      <c r="U575" s="27">
        <f t="shared" si="209"/>
        <v>50000</v>
      </c>
      <c r="V575" s="82"/>
      <c r="W575"/>
      <c r="X575" s="87"/>
      <c r="Y575" s="8"/>
      <c r="Z575"/>
      <c r="AA575"/>
      <c r="AB575"/>
      <c r="AD575" s="42" t="str">
        <f>C575&amp;A575</f>
        <v>CONSERVACAO DE PREDIOSOper</v>
      </c>
      <c r="AE575" s="42" t="str">
        <f>IFERROR(VLOOKUP(C575,[34]Planilha1!$B:$C,2,0),"Não se Aplica")</f>
        <v>Sim</v>
      </c>
      <c r="AF575" s="42" t="str">
        <f>VLOOKUP(AD575,[34]Planilha1!$H:$J,3,0)</f>
        <v>Sim</v>
      </c>
      <c r="AG575" s="43">
        <f t="shared" si="208"/>
        <v>45375</v>
      </c>
    </row>
    <row r="576" spans="1:33" x14ac:dyDescent="0.3">
      <c r="A576" s="1" t="s">
        <v>836</v>
      </c>
      <c r="B576" s="65" t="s">
        <v>20</v>
      </c>
      <c r="C576" s="78" t="s">
        <v>161</v>
      </c>
      <c r="D576" s="81" t="s">
        <v>612</v>
      </c>
      <c r="E576" s="86"/>
      <c r="F576" s="81" t="s">
        <v>60</v>
      </c>
      <c r="G576" s="65" t="s">
        <v>32</v>
      </c>
      <c r="H576" s="81" t="s">
        <v>61</v>
      </c>
      <c r="I576" s="27"/>
      <c r="J576" s="27"/>
      <c r="K576" s="27">
        <v>1700</v>
      </c>
      <c r="L576" s="27"/>
      <c r="M576" s="27"/>
      <c r="N576" s="27"/>
      <c r="O576" s="27"/>
      <c r="P576" s="27"/>
      <c r="Q576" s="27">
        <v>1700</v>
      </c>
      <c r="R576" s="27"/>
      <c r="S576" s="27"/>
      <c r="T576" s="27"/>
      <c r="U576" s="27">
        <f t="shared" si="209"/>
        <v>3400</v>
      </c>
      <c r="V576" s="82"/>
      <c r="W576"/>
      <c r="X576" s="87"/>
      <c r="Y576" s="8"/>
      <c r="Z576"/>
      <c r="AA576"/>
      <c r="AB576"/>
      <c r="AD576" s="42" t="str">
        <f>C576&amp;A576</f>
        <v>CONSERVACAO DE PREDIOSOper</v>
      </c>
      <c r="AE576" s="42" t="str">
        <f>IFERROR(VLOOKUP(C576,[34]Planilha1!$B:$C,2,0),"Não se Aplica")</f>
        <v>Sim</v>
      </c>
      <c r="AF576" s="42" t="str">
        <f>VLOOKUP(AD576,[34]Planilha1!$H:$J,3,0)</f>
        <v>Sim</v>
      </c>
      <c r="AG576" s="43">
        <f t="shared" si="208"/>
        <v>3085.5</v>
      </c>
    </row>
    <row r="577" spans="1:33" x14ac:dyDescent="0.3">
      <c r="A577" s="1" t="s">
        <v>836</v>
      </c>
      <c r="B577" s="65" t="s">
        <v>20</v>
      </c>
      <c r="C577" s="78" t="s">
        <v>161</v>
      </c>
      <c r="D577" s="81" t="s">
        <v>613</v>
      </c>
      <c r="E577" s="86"/>
      <c r="F577" s="81" t="s">
        <v>60</v>
      </c>
      <c r="G577" s="65" t="s">
        <v>32</v>
      </c>
      <c r="H577" s="81" t="s">
        <v>61</v>
      </c>
      <c r="I577" s="27"/>
      <c r="J577" s="27"/>
      <c r="K577" s="27"/>
      <c r="L577" s="27"/>
      <c r="M577" s="27"/>
      <c r="N577" s="27"/>
      <c r="O577" s="27">
        <v>8000</v>
      </c>
      <c r="P577" s="27"/>
      <c r="Q577" s="27"/>
      <c r="R577" s="27"/>
      <c r="S577" s="27"/>
      <c r="T577" s="27"/>
      <c r="U577" s="27">
        <f t="shared" si="209"/>
        <v>8000</v>
      </c>
      <c r="V577" s="82"/>
      <c r="W577"/>
      <c r="X577" s="87"/>
      <c r="Y577" s="8"/>
      <c r="Z577"/>
      <c r="AA577"/>
      <c r="AB577"/>
      <c r="AD577" s="42" t="str">
        <f>C577&amp;A577</f>
        <v>CONSERVACAO DE PREDIOSOper</v>
      </c>
      <c r="AE577" s="42" t="str">
        <f>IFERROR(VLOOKUP(C577,[34]Planilha1!$B:$C,2,0),"Não se Aplica")</f>
        <v>Sim</v>
      </c>
      <c r="AF577" s="42" t="str">
        <f>VLOOKUP(AD577,[34]Planilha1!$H:$J,3,0)</f>
        <v>Sim</v>
      </c>
      <c r="AG577" s="43">
        <f t="shared" si="208"/>
        <v>7260</v>
      </c>
    </row>
    <row r="578" spans="1:33" x14ac:dyDescent="0.3">
      <c r="A578" s="1" t="s">
        <v>836</v>
      </c>
      <c r="B578" s="65" t="s">
        <v>20</v>
      </c>
      <c r="C578" s="78" t="s">
        <v>161</v>
      </c>
      <c r="D578" s="81" t="s">
        <v>614</v>
      </c>
      <c r="E578" s="86"/>
      <c r="F578" s="81" t="s">
        <v>60</v>
      </c>
      <c r="G578" s="65" t="s">
        <v>32</v>
      </c>
      <c r="H578" s="81" t="s">
        <v>61</v>
      </c>
      <c r="I578" s="27"/>
      <c r="J578" s="27"/>
      <c r="K578" s="27"/>
      <c r="L578" s="27"/>
      <c r="M578" s="27">
        <v>4100</v>
      </c>
      <c r="N578" s="27"/>
      <c r="O578" s="27"/>
      <c r="P578" s="27"/>
      <c r="Q578" s="27"/>
      <c r="R578" s="27"/>
      <c r="S578" s="27"/>
      <c r="T578" s="27"/>
      <c r="U578" s="27">
        <f t="shared" si="209"/>
        <v>4100</v>
      </c>
      <c r="V578" s="82"/>
      <c r="W578"/>
      <c r="X578" s="87"/>
      <c r="Y578" s="8"/>
      <c r="Z578"/>
      <c r="AA578"/>
      <c r="AB578"/>
      <c r="AD578" s="42" t="str">
        <f>C578&amp;A578</f>
        <v>CONSERVACAO DE PREDIOSOper</v>
      </c>
      <c r="AE578" s="42" t="str">
        <f>IFERROR(VLOOKUP(C578,[34]Planilha1!$B:$C,2,0),"Não se Aplica")</f>
        <v>Sim</v>
      </c>
      <c r="AF578" s="42" t="str">
        <f>VLOOKUP(AD578,[34]Planilha1!$H:$J,3,0)</f>
        <v>Sim</v>
      </c>
      <c r="AG578" s="43">
        <f t="shared" si="208"/>
        <v>3720.75</v>
      </c>
    </row>
    <row r="579" spans="1:33" x14ac:dyDescent="0.3">
      <c r="A579" s="1" t="s">
        <v>836</v>
      </c>
      <c r="B579" s="65" t="s">
        <v>20</v>
      </c>
      <c r="C579" s="78" t="s">
        <v>161</v>
      </c>
      <c r="D579" s="81" t="s">
        <v>614</v>
      </c>
      <c r="E579" s="86"/>
      <c r="F579" s="81" t="s">
        <v>60</v>
      </c>
      <c r="G579" s="65" t="s">
        <v>22</v>
      </c>
      <c r="H579" s="81" t="s">
        <v>61</v>
      </c>
      <c r="I579" s="27"/>
      <c r="J579" s="27"/>
      <c r="K579" s="27"/>
      <c r="L579" s="27"/>
      <c r="M579" s="27">
        <v>4100</v>
      </c>
      <c r="N579" s="27"/>
      <c r="O579" s="27"/>
      <c r="P579" s="27"/>
      <c r="Q579" s="27"/>
      <c r="R579" s="27"/>
      <c r="S579" s="27"/>
      <c r="T579" s="27"/>
      <c r="U579" s="27">
        <f t="shared" si="209"/>
        <v>4100</v>
      </c>
      <c r="V579" s="82"/>
      <c r="W579"/>
      <c r="X579" s="87"/>
      <c r="Y579" s="8"/>
      <c r="Z579"/>
      <c r="AA579"/>
      <c r="AB579"/>
      <c r="AD579" s="42" t="str">
        <f>C579&amp;A579</f>
        <v>CONSERVACAO DE PREDIOSOper</v>
      </c>
      <c r="AE579" s="42" t="str">
        <f>IFERROR(VLOOKUP(C579,[34]Planilha1!$B:$C,2,0),"Não se Aplica")</f>
        <v>Sim</v>
      </c>
      <c r="AF579" s="42" t="str">
        <f>VLOOKUP(AD579,[34]Planilha1!$H:$J,3,0)</f>
        <v>Sim</v>
      </c>
      <c r="AG579" s="43">
        <f t="shared" si="208"/>
        <v>3720.75</v>
      </c>
    </row>
    <row r="580" spans="1:33" x14ac:dyDescent="0.3">
      <c r="A580" s="1" t="s">
        <v>836</v>
      </c>
      <c r="B580" s="65" t="s">
        <v>20</v>
      </c>
      <c r="C580" s="78" t="s">
        <v>161</v>
      </c>
      <c r="D580" s="81" t="s">
        <v>615</v>
      </c>
      <c r="E580" s="86"/>
      <c r="F580" s="81" t="s">
        <v>60</v>
      </c>
      <c r="G580" s="65" t="s">
        <v>32</v>
      </c>
      <c r="H580" s="81" t="s">
        <v>61</v>
      </c>
      <c r="I580" s="27"/>
      <c r="J580" s="27">
        <v>11000</v>
      </c>
      <c r="K580" s="27">
        <v>11000</v>
      </c>
      <c r="L580" s="27"/>
      <c r="M580" s="27"/>
      <c r="N580" s="27"/>
      <c r="O580" s="27"/>
      <c r="P580" s="27"/>
      <c r="Q580" s="27"/>
      <c r="R580" s="27"/>
      <c r="S580" s="27"/>
      <c r="T580" s="27"/>
      <c r="U580" s="27">
        <f t="shared" si="209"/>
        <v>22000</v>
      </c>
      <c r="V580" s="82"/>
      <c r="W580"/>
      <c r="X580" s="87"/>
      <c r="Y580" s="8"/>
      <c r="Z580"/>
      <c r="AA580"/>
      <c r="AB580"/>
      <c r="AD580" s="42" t="str">
        <f>C580&amp;A580</f>
        <v>CONSERVACAO DE PREDIOSOper</v>
      </c>
      <c r="AE580" s="42" t="str">
        <f>IFERROR(VLOOKUP(C580,[34]Planilha1!$B:$C,2,0),"Não se Aplica")</f>
        <v>Sim</v>
      </c>
      <c r="AF580" s="42" t="str">
        <f>VLOOKUP(AD580,[34]Planilha1!$H:$J,3,0)</f>
        <v>Sim</v>
      </c>
      <c r="AG580" s="43">
        <f t="shared" si="208"/>
        <v>19965</v>
      </c>
    </row>
    <row r="581" spans="1:33" x14ac:dyDescent="0.3">
      <c r="A581" s="1" t="s">
        <v>836</v>
      </c>
      <c r="B581" s="65" t="s">
        <v>28</v>
      </c>
      <c r="C581" s="78" t="s">
        <v>161</v>
      </c>
      <c r="D581" s="81" t="s">
        <v>616</v>
      </c>
      <c r="E581" s="86"/>
      <c r="F581" s="81" t="s">
        <v>60</v>
      </c>
      <c r="G581" s="65" t="s">
        <v>32</v>
      </c>
      <c r="H581" s="81" t="s">
        <v>61</v>
      </c>
      <c r="I581" s="27"/>
      <c r="J581" s="27"/>
      <c r="K581" s="27">
        <v>8000</v>
      </c>
      <c r="L581" s="27">
        <v>8000</v>
      </c>
      <c r="M581" s="27">
        <v>8000</v>
      </c>
      <c r="N581" s="27"/>
      <c r="O581" s="27"/>
      <c r="P581" s="27"/>
      <c r="Q581" s="27"/>
      <c r="R581" s="27"/>
      <c r="S581" s="27"/>
      <c r="T581" s="27"/>
      <c r="U581" s="27">
        <f t="shared" si="209"/>
        <v>24000</v>
      </c>
      <c r="V581" s="82"/>
      <c r="W581"/>
      <c r="X581" s="87"/>
      <c r="Y581" s="8"/>
      <c r="Z581"/>
      <c r="AA581"/>
      <c r="AB581"/>
      <c r="AD581" s="42" t="str">
        <f>C581&amp;A581</f>
        <v>CONSERVACAO DE PREDIOSOper</v>
      </c>
      <c r="AE581" s="42" t="str">
        <f>IFERROR(VLOOKUP(C581,[34]Planilha1!$B:$C,2,0),"Não se Aplica")</f>
        <v>Sim</v>
      </c>
      <c r="AF581" s="42" t="str">
        <f>VLOOKUP(AD581,[34]Planilha1!$H:$J,3,0)</f>
        <v>Sim</v>
      </c>
      <c r="AG581" s="43">
        <f t="shared" si="208"/>
        <v>21780</v>
      </c>
    </row>
    <row r="582" spans="1:33" x14ac:dyDescent="0.3">
      <c r="A582" s="1" t="s">
        <v>836</v>
      </c>
      <c r="B582" s="65" t="s">
        <v>20</v>
      </c>
      <c r="C582" s="78" t="s">
        <v>161</v>
      </c>
      <c r="D582" s="81" t="s">
        <v>617</v>
      </c>
      <c r="E582" s="86"/>
      <c r="F582" s="81" t="s">
        <v>60</v>
      </c>
      <c r="G582" s="65" t="s">
        <v>32</v>
      </c>
      <c r="H582" s="81" t="s">
        <v>61</v>
      </c>
      <c r="I582" s="27"/>
      <c r="J582" s="27"/>
      <c r="K582" s="27"/>
      <c r="L582" s="27">
        <v>10000</v>
      </c>
      <c r="M582" s="27"/>
      <c r="N582" s="27"/>
      <c r="O582" s="27"/>
      <c r="P582" s="27"/>
      <c r="Q582" s="27"/>
      <c r="R582" s="27"/>
      <c r="S582" s="27"/>
      <c r="T582" s="27"/>
      <c r="U582" s="27">
        <f t="shared" si="209"/>
        <v>10000</v>
      </c>
      <c r="V582" s="82"/>
      <c r="W582"/>
      <c r="X582" s="87"/>
      <c r="Y582" s="8"/>
      <c r="Z582"/>
      <c r="AA582"/>
      <c r="AB582"/>
      <c r="AD582" s="42" t="str">
        <f>C582&amp;A582</f>
        <v>CONSERVACAO DE PREDIOSOper</v>
      </c>
      <c r="AE582" s="42" t="str">
        <f>IFERROR(VLOOKUP(C582,[34]Planilha1!$B:$C,2,0),"Não se Aplica")</f>
        <v>Sim</v>
      </c>
      <c r="AF582" s="42" t="str">
        <f>VLOOKUP(AD582,[34]Planilha1!$H:$J,3,0)</f>
        <v>Sim</v>
      </c>
      <c r="AG582" s="43">
        <f t="shared" si="208"/>
        <v>9075</v>
      </c>
    </row>
    <row r="583" spans="1:33" x14ac:dyDescent="0.3">
      <c r="A583" s="1" t="s">
        <v>836</v>
      </c>
      <c r="B583" s="65" t="s">
        <v>20</v>
      </c>
      <c r="C583" s="78" t="s">
        <v>161</v>
      </c>
      <c r="D583" s="81" t="s">
        <v>618</v>
      </c>
      <c r="E583" s="86"/>
      <c r="F583" s="81" t="s">
        <v>60</v>
      </c>
      <c r="G583" s="65" t="s">
        <v>32</v>
      </c>
      <c r="H583" s="81" t="s">
        <v>61</v>
      </c>
      <c r="I583" s="27"/>
      <c r="J583" s="27"/>
      <c r="K583" s="27"/>
      <c r="L583" s="27"/>
      <c r="M583" s="27"/>
      <c r="N583" s="27"/>
      <c r="O583" s="27"/>
      <c r="P583" s="27"/>
      <c r="Q583" s="27">
        <v>7500</v>
      </c>
      <c r="R583" s="27"/>
      <c r="S583" s="27"/>
      <c r="T583" s="27"/>
      <c r="U583" s="27">
        <f t="shared" si="209"/>
        <v>7500</v>
      </c>
      <c r="V583" s="82"/>
      <c r="W583"/>
      <c r="X583" s="87"/>
      <c r="Y583" s="8"/>
      <c r="Z583"/>
      <c r="AA583"/>
      <c r="AB583"/>
      <c r="AD583" s="42" t="str">
        <f>C583&amp;A583</f>
        <v>CONSERVACAO DE PREDIOSOper</v>
      </c>
      <c r="AE583" s="42" t="str">
        <f>IFERROR(VLOOKUP(C583,[34]Planilha1!$B:$C,2,0),"Não se Aplica")</f>
        <v>Sim</v>
      </c>
      <c r="AF583" s="42" t="str">
        <f>VLOOKUP(AD583,[34]Planilha1!$H:$J,3,0)</f>
        <v>Sim</v>
      </c>
      <c r="AG583" s="43">
        <f t="shared" si="208"/>
        <v>6806.25</v>
      </c>
    </row>
    <row r="584" spans="1:33" x14ac:dyDescent="0.3">
      <c r="A584" s="1" t="s">
        <v>836</v>
      </c>
      <c r="B584" s="65" t="s">
        <v>20</v>
      </c>
      <c r="C584" s="78" t="s">
        <v>161</v>
      </c>
      <c r="D584" s="81" t="s">
        <v>618</v>
      </c>
      <c r="E584" s="86"/>
      <c r="F584" s="81" t="s">
        <v>60</v>
      </c>
      <c r="G584" s="65" t="s">
        <v>22</v>
      </c>
      <c r="H584" s="81" t="s">
        <v>61</v>
      </c>
      <c r="I584" s="27"/>
      <c r="J584" s="27"/>
      <c r="K584" s="27"/>
      <c r="L584" s="27"/>
      <c r="M584" s="27"/>
      <c r="N584" s="27">
        <v>5000</v>
      </c>
      <c r="O584" s="27"/>
      <c r="P584" s="27"/>
      <c r="Q584" s="27"/>
      <c r="R584" s="27"/>
      <c r="S584" s="27"/>
      <c r="T584" s="27"/>
      <c r="U584" s="27">
        <f t="shared" si="209"/>
        <v>5000</v>
      </c>
      <c r="V584" s="82"/>
      <c r="W584"/>
      <c r="X584" s="87"/>
      <c r="Y584" s="8"/>
      <c r="Z584"/>
      <c r="AA584"/>
      <c r="AB584"/>
      <c r="AD584" s="42" t="str">
        <f>C584&amp;A584</f>
        <v>CONSERVACAO DE PREDIOSOper</v>
      </c>
      <c r="AE584" s="42" t="str">
        <f>IFERROR(VLOOKUP(C584,[34]Planilha1!$B:$C,2,0),"Não se Aplica")</f>
        <v>Sim</v>
      </c>
      <c r="AF584" s="42" t="str">
        <f>VLOOKUP(AD584,[34]Planilha1!$H:$J,3,0)</f>
        <v>Sim</v>
      </c>
      <c r="AG584" s="43">
        <f t="shared" si="208"/>
        <v>4537.5</v>
      </c>
    </row>
    <row r="585" spans="1:33" x14ac:dyDescent="0.3">
      <c r="A585" s="1" t="s">
        <v>836</v>
      </c>
      <c r="B585" s="65" t="s">
        <v>20</v>
      </c>
      <c r="C585" s="78" t="s">
        <v>161</v>
      </c>
      <c r="D585" s="81" t="s">
        <v>619</v>
      </c>
      <c r="E585" s="86"/>
      <c r="F585" s="81" t="s">
        <v>60</v>
      </c>
      <c r="G585" s="65" t="s">
        <v>32</v>
      </c>
      <c r="H585" s="81" t="s">
        <v>61</v>
      </c>
      <c r="I585" s="27">
        <v>2000</v>
      </c>
      <c r="J585" s="27">
        <v>2000</v>
      </c>
      <c r="K585" s="27">
        <v>2000</v>
      </c>
      <c r="L585" s="27">
        <v>2000</v>
      </c>
      <c r="M585" s="27">
        <v>2000</v>
      </c>
      <c r="N585" s="27">
        <v>2000</v>
      </c>
      <c r="O585" s="27">
        <v>2000</v>
      </c>
      <c r="P585" s="27">
        <v>2000</v>
      </c>
      <c r="Q585" s="27">
        <v>2000</v>
      </c>
      <c r="R585" s="27">
        <v>2000</v>
      </c>
      <c r="S585" s="27">
        <v>2000</v>
      </c>
      <c r="T585" s="27">
        <v>2000</v>
      </c>
      <c r="U585" s="27">
        <f t="shared" si="209"/>
        <v>24000</v>
      </c>
      <c r="V585" s="82"/>
      <c r="W585"/>
      <c r="X585" s="87"/>
      <c r="Y585" s="8"/>
      <c r="Z585"/>
      <c r="AA585"/>
      <c r="AB585"/>
      <c r="AD585" s="42" t="str">
        <f>C585&amp;A585</f>
        <v>CONSERVACAO DE PREDIOSOper</v>
      </c>
      <c r="AE585" s="42" t="str">
        <f>IFERROR(VLOOKUP(C585,[34]Planilha1!$B:$C,2,0),"Não se Aplica")</f>
        <v>Sim</v>
      </c>
      <c r="AF585" s="42" t="str">
        <f>VLOOKUP(AD585,[34]Planilha1!$H:$J,3,0)</f>
        <v>Sim</v>
      </c>
      <c r="AG585" s="43">
        <f t="shared" si="208"/>
        <v>21780</v>
      </c>
    </row>
    <row r="586" spans="1:33" x14ac:dyDescent="0.3">
      <c r="A586" s="1" t="s">
        <v>836</v>
      </c>
      <c r="B586" s="65" t="s">
        <v>20</v>
      </c>
      <c r="C586" s="78" t="s">
        <v>161</v>
      </c>
      <c r="D586" s="81" t="s">
        <v>619</v>
      </c>
      <c r="E586" s="86"/>
      <c r="F586" s="81" t="s">
        <v>60</v>
      </c>
      <c r="G586" s="65" t="s">
        <v>27</v>
      </c>
      <c r="H586" s="81" t="s">
        <v>61</v>
      </c>
      <c r="I586" s="27">
        <v>3000</v>
      </c>
      <c r="J586" s="27"/>
      <c r="K586" s="27"/>
      <c r="L586" s="27"/>
      <c r="M586" s="27">
        <v>3000</v>
      </c>
      <c r="N586" s="27"/>
      <c r="O586" s="27"/>
      <c r="P586" s="27"/>
      <c r="Q586" s="27">
        <v>3000</v>
      </c>
      <c r="R586" s="27"/>
      <c r="S586" s="27"/>
      <c r="T586" s="27">
        <v>3000</v>
      </c>
      <c r="U586" s="27">
        <f t="shared" si="209"/>
        <v>12000</v>
      </c>
      <c r="V586" s="82"/>
      <c r="W586"/>
      <c r="X586" s="87"/>
      <c r="Y586" s="8"/>
      <c r="Z586"/>
      <c r="AA586"/>
      <c r="AB586"/>
      <c r="AD586" s="42" t="str">
        <f>C586&amp;A586</f>
        <v>CONSERVACAO DE PREDIOSOper</v>
      </c>
      <c r="AE586" s="42" t="str">
        <f>IFERROR(VLOOKUP(C586,[34]Planilha1!$B:$C,2,0),"Não se Aplica")</f>
        <v>Sim</v>
      </c>
      <c r="AF586" s="42" t="str">
        <f>VLOOKUP(AD586,[34]Planilha1!$H:$J,3,0)</f>
        <v>Sim</v>
      </c>
      <c r="AG586" s="43">
        <f t="shared" si="208"/>
        <v>10890</v>
      </c>
    </row>
    <row r="587" spans="1:33" x14ac:dyDescent="0.3">
      <c r="A587" s="1" t="s">
        <v>836</v>
      </c>
      <c r="B587" s="65" t="s">
        <v>20</v>
      </c>
      <c r="C587" s="78" t="s">
        <v>161</v>
      </c>
      <c r="D587" s="81" t="s">
        <v>619</v>
      </c>
      <c r="E587" s="86"/>
      <c r="F587" s="81" t="s">
        <v>60</v>
      </c>
      <c r="G587" s="65" t="s">
        <v>22</v>
      </c>
      <c r="H587" s="81" t="s">
        <v>61</v>
      </c>
      <c r="I587" s="27"/>
      <c r="J587" s="27">
        <v>3000</v>
      </c>
      <c r="K587" s="27"/>
      <c r="L587" s="27">
        <v>3000</v>
      </c>
      <c r="M587" s="27"/>
      <c r="N587" s="27">
        <v>3000</v>
      </c>
      <c r="O587" s="27"/>
      <c r="P587" s="27">
        <v>3000</v>
      </c>
      <c r="Q587" s="27"/>
      <c r="R587" s="27">
        <v>3000</v>
      </c>
      <c r="S587" s="27"/>
      <c r="T587" s="27">
        <v>3000</v>
      </c>
      <c r="U587" s="27">
        <f t="shared" si="209"/>
        <v>18000</v>
      </c>
      <c r="V587" s="82"/>
      <c r="W587"/>
      <c r="X587" s="87"/>
      <c r="Y587" s="8"/>
      <c r="Z587"/>
      <c r="AA587"/>
      <c r="AB587"/>
      <c r="AD587" s="42" t="str">
        <f>C587&amp;A587</f>
        <v>CONSERVACAO DE PREDIOSOper</v>
      </c>
      <c r="AE587" s="42" t="str">
        <f>IFERROR(VLOOKUP(C587,[34]Planilha1!$B:$C,2,0),"Não se Aplica")</f>
        <v>Sim</v>
      </c>
      <c r="AF587" s="42" t="str">
        <f>VLOOKUP(AD587,[34]Planilha1!$H:$J,3,0)</f>
        <v>Sim</v>
      </c>
      <c r="AG587" s="43">
        <f t="shared" si="208"/>
        <v>16335</v>
      </c>
    </row>
    <row r="588" spans="1:33" x14ac:dyDescent="0.3">
      <c r="A588" s="1" t="s">
        <v>836</v>
      </c>
      <c r="B588" s="65" t="s">
        <v>20</v>
      </c>
      <c r="C588" s="78" t="s">
        <v>161</v>
      </c>
      <c r="D588" s="81" t="s">
        <v>620</v>
      </c>
      <c r="E588" s="86" t="s">
        <v>580</v>
      </c>
      <c r="F588" s="81" t="s">
        <v>60</v>
      </c>
      <c r="G588" s="65" t="s">
        <v>27</v>
      </c>
      <c r="H588" s="81" t="s">
        <v>61</v>
      </c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27">
        <f t="shared" si="209"/>
        <v>0</v>
      </c>
      <c r="V588" s="82"/>
      <c r="W588"/>
      <c r="X588" s="87"/>
      <c r="Y588" s="8"/>
      <c r="Z588"/>
      <c r="AA588"/>
      <c r="AB588"/>
      <c r="AD588" s="42" t="str">
        <f>C588&amp;A588</f>
        <v>CONSERVACAO DE PREDIOSOper</v>
      </c>
      <c r="AE588" s="42" t="str">
        <f>IFERROR(VLOOKUP(C588,[34]Planilha1!$B:$C,2,0),"Não se Aplica")</f>
        <v>Sim</v>
      </c>
      <c r="AF588" s="42" t="str">
        <f>VLOOKUP(AD588,[34]Planilha1!$H:$J,3,0)</f>
        <v>Sim</v>
      </c>
      <c r="AG588" s="43">
        <f t="shared" si="208"/>
        <v>0</v>
      </c>
    </row>
    <row r="589" spans="1:33" x14ac:dyDescent="0.3">
      <c r="A589" s="1" t="s">
        <v>836</v>
      </c>
      <c r="B589" s="65" t="s">
        <v>20</v>
      </c>
      <c r="C589" s="78" t="s">
        <v>161</v>
      </c>
      <c r="D589" s="81" t="s">
        <v>621</v>
      </c>
      <c r="E589" s="86"/>
      <c r="F589" s="81" t="s">
        <v>60</v>
      </c>
      <c r="G589" s="65" t="s">
        <v>32</v>
      </c>
      <c r="H589" s="81" t="s">
        <v>61</v>
      </c>
      <c r="I589" s="27">
        <v>42000</v>
      </c>
      <c r="J589" s="27">
        <v>42000</v>
      </c>
      <c r="K589" s="27">
        <v>42000</v>
      </c>
      <c r="L589" s="27">
        <v>42000</v>
      </c>
      <c r="M589" s="27">
        <v>42000</v>
      </c>
      <c r="N589" s="27">
        <v>42000</v>
      </c>
      <c r="O589" s="27">
        <v>42000</v>
      </c>
      <c r="P589" s="27">
        <v>42000</v>
      </c>
      <c r="Q589" s="27">
        <v>42000</v>
      </c>
      <c r="R589" s="27">
        <v>42000</v>
      </c>
      <c r="S589" s="27">
        <v>42000</v>
      </c>
      <c r="T589" s="27">
        <v>42000</v>
      </c>
      <c r="U589" s="27">
        <f t="shared" si="209"/>
        <v>504000</v>
      </c>
      <c r="V589" s="82"/>
      <c r="W589"/>
      <c r="X589" s="87"/>
      <c r="Y589" s="8"/>
      <c r="Z589"/>
      <c r="AA589"/>
      <c r="AB589"/>
      <c r="AD589" s="42" t="str">
        <f>C589&amp;A589</f>
        <v>CONSERVACAO DE PREDIOSOper</v>
      </c>
      <c r="AE589" s="42" t="str">
        <f>IFERROR(VLOOKUP(C589,[34]Planilha1!$B:$C,2,0),"Não se Aplica")</f>
        <v>Sim</v>
      </c>
      <c r="AF589" s="42" t="str">
        <f>VLOOKUP(AD589,[34]Planilha1!$H:$J,3,0)</f>
        <v>Sim</v>
      </c>
      <c r="AG589" s="43">
        <f t="shared" si="208"/>
        <v>457380</v>
      </c>
    </row>
    <row r="590" spans="1:33" x14ac:dyDescent="0.3">
      <c r="A590" s="1" t="s">
        <v>836</v>
      </c>
      <c r="B590" s="65" t="s">
        <v>20</v>
      </c>
      <c r="C590" s="78" t="s">
        <v>622</v>
      </c>
      <c r="D590" s="81" t="s">
        <v>623</v>
      </c>
      <c r="E590" s="86" t="s">
        <v>624</v>
      </c>
      <c r="F590" s="81" t="s">
        <v>60</v>
      </c>
      <c r="G590" s="65" t="s">
        <v>32</v>
      </c>
      <c r="H590" s="81" t="s">
        <v>61</v>
      </c>
      <c r="I590" s="27">
        <v>100</v>
      </c>
      <c r="J590" s="27">
        <v>100</v>
      </c>
      <c r="K590" s="27">
        <v>100</v>
      </c>
      <c r="L590" s="27">
        <v>100</v>
      </c>
      <c r="M590" s="27">
        <v>100</v>
      </c>
      <c r="N590" s="27">
        <v>100</v>
      </c>
      <c r="O590" s="27">
        <v>100</v>
      </c>
      <c r="P590" s="27">
        <v>100</v>
      </c>
      <c r="Q590" s="27">
        <v>100</v>
      </c>
      <c r="R590" s="27">
        <v>100</v>
      </c>
      <c r="S590" s="27">
        <v>100</v>
      </c>
      <c r="T590" s="27">
        <v>100</v>
      </c>
      <c r="U590" s="27">
        <f t="shared" si="209"/>
        <v>1200</v>
      </c>
      <c r="V590" s="82"/>
      <c r="W590"/>
      <c r="X590" s="87"/>
      <c r="Y590" s="8"/>
      <c r="Z590"/>
      <c r="AA590"/>
      <c r="AB590"/>
      <c r="AD590" s="42" t="str">
        <f>C590&amp;A590</f>
        <v>MATERIAL DE EXPEDIENTEOper</v>
      </c>
      <c r="AE590" s="42" t="str">
        <f>IFERROR(VLOOKUP(C590,[34]Planilha1!$B:$C,2,0),"Não se Aplica")</f>
        <v>Sim</v>
      </c>
      <c r="AF590" s="42" t="str">
        <f>VLOOKUP(AD590,[34]Planilha1!$H:$J,3,0)</f>
        <v>Não</v>
      </c>
      <c r="AG590" s="43">
        <f t="shared" si="208"/>
        <v>1200</v>
      </c>
    </row>
    <row r="591" spans="1:33" x14ac:dyDescent="0.3">
      <c r="A591" s="1" t="s">
        <v>836</v>
      </c>
      <c r="B591" s="65" t="s">
        <v>28</v>
      </c>
      <c r="C591" s="78" t="s">
        <v>622</v>
      </c>
      <c r="D591" s="81" t="s">
        <v>623</v>
      </c>
      <c r="E591" s="86" t="s">
        <v>624</v>
      </c>
      <c r="F591" s="81" t="s">
        <v>60</v>
      </c>
      <c r="G591" s="65" t="s">
        <v>32</v>
      </c>
      <c r="H591" s="81" t="s">
        <v>61</v>
      </c>
      <c r="I591" s="27">
        <v>50</v>
      </c>
      <c r="J591" s="27">
        <v>50</v>
      </c>
      <c r="K591" s="27">
        <v>50</v>
      </c>
      <c r="L591" s="27">
        <v>50</v>
      </c>
      <c r="M591" s="27">
        <v>50</v>
      </c>
      <c r="N591" s="27">
        <v>50</v>
      </c>
      <c r="O591" s="27">
        <v>50</v>
      </c>
      <c r="P591" s="27">
        <v>50</v>
      </c>
      <c r="Q591" s="27">
        <v>50</v>
      </c>
      <c r="R591" s="27">
        <v>50</v>
      </c>
      <c r="S591" s="27">
        <v>50</v>
      </c>
      <c r="T591" s="27">
        <v>50</v>
      </c>
      <c r="U591" s="27">
        <f t="shared" si="209"/>
        <v>600</v>
      </c>
      <c r="V591" s="82"/>
      <c r="W591"/>
      <c r="X591" s="87"/>
      <c r="Y591" s="8"/>
      <c r="Z591"/>
      <c r="AA591"/>
      <c r="AB591"/>
      <c r="AD591" s="42" t="str">
        <f>C591&amp;A591</f>
        <v>MATERIAL DE EXPEDIENTEOper</v>
      </c>
      <c r="AE591" s="42" t="str">
        <f>IFERROR(VLOOKUP(C591,[34]Planilha1!$B:$C,2,0),"Não se Aplica")</f>
        <v>Sim</v>
      </c>
      <c r="AF591" s="42" t="str">
        <f>VLOOKUP(AD591,[34]Planilha1!$H:$J,3,0)</f>
        <v>Não</v>
      </c>
      <c r="AG591" s="43">
        <f t="shared" si="208"/>
        <v>600</v>
      </c>
    </row>
    <row r="592" spans="1:33" x14ac:dyDescent="0.3">
      <c r="A592" s="1" t="s">
        <v>836</v>
      </c>
      <c r="B592" s="65" t="s">
        <v>20</v>
      </c>
      <c r="C592" s="78" t="s">
        <v>492</v>
      </c>
      <c r="D592" s="81" t="s">
        <v>625</v>
      </c>
      <c r="E592" s="86" t="s">
        <v>626</v>
      </c>
      <c r="F592" s="81" t="s">
        <v>60</v>
      </c>
      <c r="G592" s="65" t="s">
        <v>32</v>
      </c>
      <c r="H592" s="81" t="s">
        <v>61</v>
      </c>
      <c r="I592" s="27"/>
      <c r="J592" s="27"/>
      <c r="K592" s="27">
        <v>400</v>
      </c>
      <c r="L592" s="27"/>
      <c r="M592" s="27"/>
      <c r="N592" s="27">
        <v>400</v>
      </c>
      <c r="O592" s="27"/>
      <c r="P592" s="27"/>
      <c r="Q592" s="27">
        <v>400</v>
      </c>
      <c r="R592" s="27"/>
      <c r="S592" s="27"/>
      <c r="T592" s="27">
        <v>400</v>
      </c>
      <c r="U592" s="27">
        <f t="shared" si="209"/>
        <v>1600</v>
      </c>
      <c r="V592" s="82"/>
      <c r="W592"/>
      <c r="X592" s="87"/>
      <c r="Y592" s="8"/>
      <c r="Z592"/>
      <c r="AA592"/>
      <c r="AB592"/>
      <c r="AD592" s="42" t="str">
        <f>C592&amp;A592</f>
        <v>COPA E REFEICOES/ESTADIASOper</v>
      </c>
      <c r="AE592" s="42" t="str">
        <f>IFERROR(VLOOKUP(C592,[34]Planilha1!$B:$C,2,0),"Não se Aplica")</f>
        <v>Sim</v>
      </c>
      <c r="AF592" s="42" t="str">
        <f>VLOOKUP(AD592,[34]Planilha1!$H:$J,3,0)</f>
        <v>Não</v>
      </c>
      <c r="AG592" s="43">
        <f t="shared" si="208"/>
        <v>1600</v>
      </c>
    </row>
    <row r="593" spans="1:33" x14ac:dyDescent="0.3">
      <c r="A593" s="1" t="s">
        <v>836</v>
      </c>
      <c r="B593" s="65" t="s">
        <v>20</v>
      </c>
      <c r="C593" s="78" t="s">
        <v>496</v>
      </c>
      <c r="D593" s="81" t="s">
        <v>627</v>
      </c>
      <c r="E593" s="86" t="s">
        <v>578</v>
      </c>
      <c r="F593" s="81" t="s">
        <v>60</v>
      </c>
      <c r="G593" s="65" t="s">
        <v>32</v>
      </c>
      <c r="H593" s="81" t="s">
        <v>61</v>
      </c>
      <c r="I593" s="27">
        <v>1500</v>
      </c>
      <c r="J593" s="27">
        <v>1500</v>
      </c>
      <c r="K593" s="27">
        <v>1500</v>
      </c>
      <c r="L593" s="27">
        <v>1500</v>
      </c>
      <c r="M593" s="27">
        <v>1500</v>
      </c>
      <c r="N593" s="27">
        <v>1500</v>
      </c>
      <c r="O593" s="27">
        <v>1500</v>
      </c>
      <c r="P593" s="27">
        <v>1500</v>
      </c>
      <c r="Q593" s="27">
        <v>1500</v>
      </c>
      <c r="R593" s="27">
        <v>1500</v>
      </c>
      <c r="S593" s="27">
        <v>1500</v>
      </c>
      <c r="T593" s="27">
        <v>1500</v>
      </c>
      <c r="U593" s="27">
        <f t="shared" si="209"/>
        <v>18000</v>
      </c>
      <c r="V593" s="82"/>
      <c r="W593"/>
      <c r="X593" s="87"/>
      <c r="Y593" s="8"/>
      <c r="Z593"/>
      <c r="AA593"/>
      <c r="AB593"/>
      <c r="AD593" s="42" t="str">
        <f>C593&amp;A593</f>
        <v>VIAGENSOper</v>
      </c>
      <c r="AE593" s="42" t="str">
        <f>IFERROR(VLOOKUP(C593,[34]Planilha1!$B:$C,2,0),"Não se Aplica")</f>
        <v>Sim</v>
      </c>
      <c r="AF593" s="42" t="str">
        <f>VLOOKUP(AD593,[34]Planilha1!$H:$J,3,0)</f>
        <v>Não</v>
      </c>
      <c r="AG593" s="43">
        <f t="shared" si="208"/>
        <v>18000</v>
      </c>
    </row>
    <row r="594" spans="1:33" x14ac:dyDescent="0.3">
      <c r="A594" s="1" t="s">
        <v>836</v>
      </c>
      <c r="B594" s="65" t="s">
        <v>28</v>
      </c>
      <c r="C594" s="78" t="s">
        <v>548</v>
      </c>
      <c r="D594" s="81" t="s">
        <v>628</v>
      </c>
      <c r="E594" s="81" t="s">
        <v>628</v>
      </c>
      <c r="F594" s="29" t="s">
        <v>122</v>
      </c>
      <c r="G594" s="65" t="s">
        <v>32</v>
      </c>
      <c r="H594" s="81" t="s">
        <v>123</v>
      </c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27">
        <f t="shared" si="209"/>
        <v>0</v>
      </c>
      <c r="V594" s="82"/>
      <c r="W594"/>
      <c r="X594" s="87"/>
      <c r="Y594" s="8"/>
      <c r="Z594"/>
      <c r="AA594"/>
      <c r="AB594"/>
      <c r="AD594" s="42" t="str">
        <f>C594&amp;A594</f>
        <v>DESPESAS DIVERSASOper</v>
      </c>
      <c r="AE594" s="42" t="str">
        <f>IFERROR(VLOOKUP(C594,[34]Planilha1!$B:$C,2,0),"Não se Aplica")</f>
        <v>Sim</v>
      </c>
      <c r="AF594" s="42" t="str">
        <f>VLOOKUP(AD594,[34]Planilha1!$H:$J,3,0)</f>
        <v>Não</v>
      </c>
      <c r="AG594" s="43">
        <f t="shared" si="208"/>
        <v>0</v>
      </c>
    </row>
    <row r="595" spans="1:33" x14ac:dyDescent="0.3">
      <c r="A595" s="1" t="s">
        <v>836</v>
      </c>
      <c r="B595" s="65" t="s">
        <v>28</v>
      </c>
      <c r="C595" s="78" t="s">
        <v>548</v>
      </c>
      <c r="D595" s="81" t="s">
        <v>629</v>
      </c>
      <c r="E595" s="81" t="s">
        <v>629</v>
      </c>
      <c r="F595" s="29" t="s">
        <v>122</v>
      </c>
      <c r="G595" s="65" t="s">
        <v>32</v>
      </c>
      <c r="H595" s="81" t="s">
        <v>123</v>
      </c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27">
        <f t="shared" si="209"/>
        <v>0</v>
      </c>
      <c r="V595" s="82"/>
      <c r="W595"/>
      <c r="X595" s="87"/>
      <c r="Y595" s="8"/>
      <c r="Z595"/>
      <c r="AA595"/>
      <c r="AB595"/>
      <c r="AD595" s="42" t="str">
        <f>C595&amp;A595</f>
        <v>DESPESAS DIVERSASOper</v>
      </c>
      <c r="AE595" s="42" t="str">
        <f>IFERROR(VLOOKUP(C595,[34]Planilha1!$B:$C,2,0),"Não se Aplica")</f>
        <v>Sim</v>
      </c>
      <c r="AF595" s="42" t="str">
        <f>VLOOKUP(AD595,[34]Planilha1!$H:$J,3,0)</f>
        <v>Não</v>
      </c>
      <c r="AG595" s="43">
        <f t="shared" si="208"/>
        <v>0</v>
      </c>
    </row>
    <row r="596" spans="1:33" x14ac:dyDescent="0.3">
      <c r="A596" s="1" t="s">
        <v>836</v>
      </c>
      <c r="B596" s="65" t="s">
        <v>28</v>
      </c>
      <c r="C596" s="78" t="s">
        <v>490</v>
      </c>
      <c r="D596" s="81" t="s">
        <v>630</v>
      </c>
      <c r="E596" s="81" t="s">
        <v>630</v>
      </c>
      <c r="F596" s="29" t="s">
        <v>122</v>
      </c>
      <c r="G596" s="65" t="s">
        <v>32</v>
      </c>
      <c r="H596" s="81" t="s">
        <v>123</v>
      </c>
      <c r="I596" s="27">
        <v>2500</v>
      </c>
      <c r="J596" s="27">
        <v>2500</v>
      </c>
      <c r="K596" s="27">
        <v>2500</v>
      </c>
      <c r="L596" s="27">
        <v>2500</v>
      </c>
      <c r="M596" s="27">
        <v>2500</v>
      </c>
      <c r="N596" s="27">
        <v>2500</v>
      </c>
      <c r="O596" s="27">
        <v>2500</v>
      </c>
      <c r="P596" s="27">
        <v>2500</v>
      </c>
      <c r="Q596" s="27">
        <v>2500</v>
      </c>
      <c r="R596" s="27">
        <v>2500</v>
      </c>
      <c r="S596" s="27">
        <v>2500</v>
      </c>
      <c r="T596" s="27">
        <v>2500</v>
      </c>
      <c r="U596" s="27">
        <f t="shared" si="209"/>
        <v>30000</v>
      </c>
      <c r="V596" s="82"/>
      <c r="W596"/>
      <c r="X596" s="87"/>
      <c r="Y596" s="8"/>
      <c r="Z596"/>
      <c r="AA596"/>
      <c r="AB596"/>
      <c r="AD596" s="42" t="str">
        <f>C596&amp;A596</f>
        <v>CONDUCAO E TRANSPORTEOper</v>
      </c>
      <c r="AE596" s="42" t="str">
        <f>IFERROR(VLOOKUP(C596,[34]Planilha1!$B:$C,2,0),"Não se Aplica")</f>
        <v>Sim</v>
      </c>
      <c r="AF596" s="42" t="str">
        <f>VLOOKUP(AD596,[34]Planilha1!$H:$J,3,0)</f>
        <v>Não</v>
      </c>
      <c r="AG596" s="43">
        <f t="shared" si="208"/>
        <v>30000</v>
      </c>
    </row>
    <row r="597" spans="1:33" x14ac:dyDescent="0.3">
      <c r="A597" s="1" t="s">
        <v>836</v>
      </c>
      <c r="B597" s="65" t="s">
        <v>28</v>
      </c>
      <c r="C597" s="78" t="s">
        <v>492</v>
      </c>
      <c r="D597" s="81" t="s">
        <v>631</v>
      </c>
      <c r="E597" s="81" t="s">
        <v>632</v>
      </c>
      <c r="F597" s="29" t="s">
        <v>122</v>
      </c>
      <c r="G597" s="65" t="s">
        <v>32</v>
      </c>
      <c r="H597" s="81" t="s">
        <v>123</v>
      </c>
      <c r="I597" s="27">
        <v>450</v>
      </c>
      <c r="J597" s="27"/>
      <c r="K597" s="27">
        <v>450</v>
      </c>
      <c r="L597" s="27"/>
      <c r="M597" s="27">
        <v>450</v>
      </c>
      <c r="N597" s="27"/>
      <c r="O597" s="27">
        <v>450</v>
      </c>
      <c r="P597" s="27"/>
      <c r="Q597" s="27">
        <v>450</v>
      </c>
      <c r="R597" s="27">
        <v>450</v>
      </c>
      <c r="S597" s="27">
        <v>450</v>
      </c>
      <c r="T597" s="27">
        <v>450</v>
      </c>
      <c r="U597" s="27">
        <f t="shared" si="209"/>
        <v>3600</v>
      </c>
      <c r="V597" s="82"/>
      <c r="W597"/>
      <c r="X597" s="87"/>
      <c r="Y597" s="8"/>
      <c r="Z597"/>
      <c r="AA597"/>
      <c r="AB597"/>
      <c r="AD597" s="42" t="str">
        <f>C597&amp;A597</f>
        <v>COPA E REFEICOES/ESTADIASOper</v>
      </c>
      <c r="AE597" s="42" t="str">
        <f>IFERROR(VLOOKUP(C597,[34]Planilha1!$B:$C,2,0),"Não se Aplica")</f>
        <v>Sim</v>
      </c>
      <c r="AF597" s="42" t="str">
        <f>VLOOKUP(AD597,[34]Planilha1!$H:$J,3,0)</f>
        <v>Não</v>
      </c>
      <c r="AG597" s="43">
        <f t="shared" si="208"/>
        <v>3600</v>
      </c>
    </row>
    <row r="598" spans="1:33" x14ac:dyDescent="0.3">
      <c r="A598" s="1" t="s">
        <v>836</v>
      </c>
      <c r="B598" s="65" t="s">
        <v>28</v>
      </c>
      <c r="C598" s="78" t="s">
        <v>622</v>
      </c>
      <c r="D598" s="81" t="s">
        <v>633</v>
      </c>
      <c r="E598" s="81" t="s">
        <v>633</v>
      </c>
      <c r="F598" s="29" t="s">
        <v>122</v>
      </c>
      <c r="G598" s="65" t="s">
        <v>32</v>
      </c>
      <c r="H598" s="81" t="s">
        <v>123</v>
      </c>
      <c r="I598" s="27">
        <v>50</v>
      </c>
      <c r="J598" s="27">
        <v>50</v>
      </c>
      <c r="K598" s="27">
        <v>50</v>
      </c>
      <c r="L598" s="27">
        <v>50</v>
      </c>
      <c r="M598" s="27">
        <v>50</v>
      </c>
      <c r="N598" s="27">
        <v>50</v>
      </c>
      <c r="O598" s="27">
        <v>50</v>
      </c>
      <c r="P598" s="27">
        <v>50</v>
      </c>
      <c r="Q598" s="27">
        <v>50</v>
      </c>
      <c r="R598" s="27">
        <v>50</v>
      </c>
      <c r="S598" s="27">
        <v>50</v>
      </c>
      <c r="T598" s="27">
        <v>50</v>
      </c>
      <c r="U598" s="27">
        <f t="shared" si="209"/>
        <v>600</v>
      </c>
      <c r="V598" s="82"/>
      <c r="W598"/>
      <c r="X598" s="87"/>
      <c r="Y598" s="8"/>
      <c r="Z598"/>
      <c r="AA598"/>
      <c r="AB598"/>
      <c r="AD598" s="42" t="str">
        <f>C598&amp;A598</f>
        <v>MATERIAL DE EXPEDIENTEOper</v>
      </c>
      <c r="AE598" s="42" t="str">
        <f>IFERROR(VLOOKUP(C598,[34]Planilha1!$B:$C,2,0),"Não se Aplica")</f>
        <v>Sim</v>
      </c>
      <c r="AF598" s="42" t="str">
        <f>VLOOKUP(AD598,[34]Planilha1!$H:$J,3,0)</f>
        <v>Não</v>
      </c>
      <c r="AG598" s="43">
        <f t="shared" si="208"/>
        <v>600</v>
      </c>
    </row>
    <row r="599" spans="1:33" x14ac:dyDescent="0.3">
      <c r="A599" s="1" t="s">
        <v>836</v>
      </c>
      <c r="B599" s="65" t="s">
        <v>28</v>
      </c>
      <c r="C599" s="78" t="s">
        <v>496</v>
      </c>
      <c r="D599" s="81" t="s">
        <v>634</v>
      </c>
      <c r="E599" s="81" t="s">
        <v>634</v>
      </c>
      <c r="F599" s="29" t="s">
        <v>122</v>
      </c>
      <c r="G599" s="65" t="s">
        <v>32</v>
      </c>
      <c r="H599" s="81" t="s">
        <v>123</v>
      </c>
      <c r="I599" s="27">
        <v>1400</v>
      </c>
      <c r="J599" s="27">
        <v>1400</v>
      </c>
      <c r="K599" s="27">
        <v>1400</v>
      </c>
      <c r="L599" s="27">
        <v>1400</v>
      </c>
      <c r="M599" s="27">
        <v>1400</v>
      </c>
      <c r="N599" s="27">
        <v>1400</v>
      </c>
      <c r="O599" s="27">
        <v>1400</v>
      </c>
      <c r="P599" s="27">
        <v>1400</v>
      </c>
      <c r="Q599" s="27">
        <v>1400</v>
      </c>
      <c r="R599" s="27">
        <v>1400</v>
      </c>
      <c r="S599" s="27">
        <v>1400</v>
      </c>
      <c r="T599" s="27">
        <v>1400</v>
      </c>
      <c r="U599" s="27">
        <f t="shared" si="209"/>
        <v>16800</v>
      </c>
      <c r="V599" s="82"/>
      <c r="W599"/>
      <c r="X599" s="87"/>
      <c r="Y599" s="8"/>
      <c r="Z599"/>
      <c r="AA599"/>
      <c r="AB599"/>
      <c r="AD599" s="42" t="str">
        <f>C599&amp;A599</f>
        <v>VIAGENSOper</v>
      </c>
      <c r="AE599" s="42" t="str">
        <f>IFERROR(VLOOKUP(C599,[34]Planilha1!$B:$C,2,0),"Não se Aplica")</f>
        <v>Sim</v>
      </c>
      <c r="AF599" s="42" t="str">
        <f>VLOOKUP(AD599,[34]Planilha1!$H:$J,3,0)</f>
        <v>Não</v>
      </c>
      <c r="AG599" s="43">
        <f t="shared" si="208"/>
        <v>16800</v>
      </c>
    </row>
    <row r="600" spans="1:33" x14ac:dyDescent="0.3">
      <c r="A600" s="1" t="s">
        <v>836</v>
      </c>
      <c r="B600" s="65" t="s">
        <v>28</v>
      </c>
      <c r="C600" s="78" t="s">
        <v>46</v>
      </c>
      <c r="D600" s="81" t="s">
        <v>635</v>
      </c>
      <c r="E600" s="81" t="s">
        <v>635</v>
      </c>
      <c r="F600" s="29" t="s">
        <v>122</v>
      </c>
      <c r="G600" s="65" t="s">
        <v>32</v>
      </c>
      <c r="H600" s="81" t="s">
        <v>123</v>
      </c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27">
        <f t="shared" si="209"/>
        <v>0</v>
      </c>
      <c r="V600" s="82"/>
      <c r="W600"/>
      <c r="X600" s="87"/>
      <c r="Y600" s="8"/>
      <c r="Z600"/>
      <c r="AA600"/>
      <c r="AB600"/>
      <c r="AD600" s="42" t="str">
        <f>C600&amp;A600</f>
        <v>MANUTEN. SISTEMAS  INFORMATICAOper</v>
      </c>
      <c r="AE600" s="42" t="str">
        <f>IFERROR(VLOOKUP(C600,[34]Planilha1!$B:$C,2,0),"Não se Aplica")</f>
        <v>Sim</v>
      </c>
      <c r="AF600" s="42" t="str">
        <f>VLOOKUP(AD600,[34]Planilha1!$H:$J,3,0)</f>
        <v>Sim</v>
      </c>
      <c r="AG600" s="43">
        <f t="shared" si="208"/>
        <v>0</v>
      </c>
    </row>
    <row r="601" spans="1:33" x14ac:dyDescent="0.3">
      <c r="A601" s="1" t="s">
        <v>836</v>
      </c>
      <c r="B601" s="65" t="s">
        <v>28</v>
      </c>
      <c r="C601" s="78" t="s">
        <v>548</v>
      </c>
      <c r="D601" s="81" t="s">
        <v>636</v>
      </c>
      <c r="E601" s="81" t="s">
        <v>636</v>
      </c>
      <c r="F601" s="29" t="s">
        <v>122</v>
      </c>
      <c r="G601" s="65" t="s">
        <v>32</v>
      </c>
      <c r="H601" s="81" t="s">
        <v>123</v>
      </c>
      <c r="I601" s="27">
        <v>3500</v>
      </c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>
        <f t="shared" si="209"/>
        <v>3500</v>
      </c>
      <c r="V601" s="82"/>
      <c r="W601"/>
      <c r="X601" s="87"/>
      <c r="Y601" s="8"/>
      <c r="Z601"/>
      <c r="AA601"/>
      <c r="AB601"/>
      <c r="AD601" s="42" t="str">
        <f>C601&amp;A601</f>
        <v>DESPESAS DIVERSASOper</v>
      </c>
      <c r="AE601" s="42" t="str">
        <f>IFERROR(VLOOKUP(C601,[34]Planilha1!$B:$C,2,0),"Não se Aplica")</f>
        <v>Sim</v>
      </c>
      <c r="AF601" s="42" t="str">
        <f>VLOOKUP(AD601,[34]Planilha1!$H:$J,3,0)</f>
        <v>Não</v>
      </c>
      <c r="AG601" s="43">
        <f t="shared" si="208"/>
        <v>3500</v>
      </c>
    </row>
    <row r="602" spans="1:33" x14ac:dyDescent="0.3">
      <c r="A602" s="1" t="s">
        <v>836</v>
      </c>
      <c r="B602" s="65" t="s">
        <v>28</v>
      </c>
      <c r="C602" s="78" t="s">
        <v>548</v>
      </c>
      <c r="D602" s="81" t="s">
        <v>637</v>
      </c>
      <c r="E602" s="81" t="s">
        <v>637</v>
      </c>
      <c r="F602" s="29" t="s">
        <v>122</v>
      </c>
      <c r="G602" s="65" t="s">
        <v>32</v>
      </c>
      <c r="H602" s="81" t="s">
        <v>123</v>
      </c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27">
        <f t="shared" si="209"/>
        <v>0</v>
      </c>
      <c r="V602" s="82"/>
      <c r="W602"/>
      <c r="X602" s="87"/>
      <c r="Y602" s="8"/>
      <c r="Z602"/>
      <c r="AA602"/>
      <c r="AB602"/>
      <c r="AD602" s="42" t="str">
        <f>C602&amp;A602</f>
        <v>DESPESAS DIVERSASOper</v>
      </c>
      <c r="AE602" s="42" t="str">
        <f>IFERROR(VLOOKUP(C602,[34]Planilha1!$B:$C,2,0),"Não se Aplica")</f>
        <v>Sim</v>
      </c>
      <c r="AF602" s="42" t="str">
        <f>VLOOKUP(AD602,[34]Planilha1!$H:$J,3,0)</f>
        <v>Não</v>
      </c>
      <c r="AG602" s="43">
        <f t="shared" si="208"/>
        <v>0</v>
      </c>
    </row>
    <row r="603" spans="1:33" x14ac:dyDescent="0.3">
      <c r="A603" s="1" t="s">
        <v>836</v>
      </c>
      <c r="B603" s="65" t="s">
        <v>28</v>
      </c>
      <c r="C603" s="78" t="s">
        <v>408</v>
      </c>
      <c r="D603" s="81" t="s">
        <v>638</v>
      </c>
      <c r="E603" s="86" t="s">
        <v>639</v>
      </c>
      <c r="F603" s="28" t="s">
        <v>52</v>
      </c>
      <c r="G603" s="65" t="s">
        <v>32</v>
      </c>
      <c r="H603" s="81" t="s">
        <v>53</v>
      </c>
      <c r="I603" s="27">
        <v>3000</v>
      </c>
      <c r="J603" s="27">
        <v>3000</v>
      </c>
      <c r="K603" s="27">
        <v>3000</v>
      </c>
      <c r="L603" s="27">
        <v>3000</v>
      </c>
      <c r="M603" s="27">
        <v>3000</v>
      </c>
      <c r="N603" s="27">
        <v>3000</v>
      </c>
      <c r="O603" s="27">
        <v>3000</v>
      </c>
      <c r="P603" s="27">
        <v>3000</v>
      </c>
      <c r="Q603" s="27">
        <v>3000</v>
      </c>
      <c r="R603" s="27">
        <v>3000</v>
      </c>
      <c r="S603" s="27">
        <v>3000</v>
      </c>
      <c r="T603" s="27">
        <v>3000</v>
      </c>
      <c r="U603" s="27">
        <f t="shared" si="209"/>
        <v>36000</v>
      </c>
      <c r="V603" s="82"/>
      <c r="W603"/>
      <c r="X603" s="87"/>
      <c r="Y603" s="8"/>
      <c r="Z603"/>
      <c r="AA603"/>
      <c r="AB603"/>
      <c r="AD603" s="42" t="str">
        <f>C603&amp;A603</f>
        <v>PORTES/SELOS E TELEGRAMAS CORREIOSOper</v>
      </c>
      <c r="AE603" s="42" t="str">
        <f>IFERROR(VLOOKUP(C603,[34]Planilha1!$B:$C,2,0),"Não se Aplica")</f>
        <v>Sim</v>
      </c>
      <c r="AF603" s="42" t="str">
        <f>VLOOKUP(AD603,[34]Planilha1!$H:$J,3,0)</f>
        <v>Não</v>
      </c>
      <c r="AG603" s="43">
        <f t="shared" si="208"/>
        <v>36000</v>
      </c>
    </row>
    <row r="604" spans="1:33" x14ac:dyDescent="0.3">
      <c r="A604" s="1" t="s">
        <v>836</v>
      </c>
      <c r="B604" s="65" t="s">
        <v>28</v>
      </c>
      <c r="C604" s="78" t="s">
        <v>640</v>
      </c>
      <c r="D604" s="81" t="s">
        <v>641</v>
      </c>
      <c r="E604" s="86" t="s">
        <v>642</v>
      </c>
      <c r="F604" s="28" t="s">
        <v>52</v>
      </c>
      <c r="G604" s="65" t="s">
        <v>32</v>
      </c>
      <c r="H604" s="81" t="s">
        <v>53</v>
      </c>
      <c r="I604" s="27">
        <v>100</v>
      </c>
      <c r="J604" s="27">
        <v>100</v>
      </c>
      <c r="K604" s="27">
        <v>100</v>
      </c>
      <c r="L604" s="27">
        <v>100</v>
      </c>
      <c r="M604" s="27">
        <v>100</v>
      </c>
      <c r="N604" s="27">
        <v>100</v>
      </c>
      <c r="O604" s="27">
        <v>100</v>
      </c>
      <c r="P604" s="27">
        <v>100</v>
      </c>
      <c r="Q604" s="27">
        <v>100</v>
      </c>
      <c r="R604" s="27">
        <v>100</v>
      </c>
      <c r="S604" s="27">
        <v>100</v>
      </c>
      <c r="T604" s="27">
        <v>100</v>
      </c>
      <c r="U604" s="27">
        <f t="shared" si="209"/>
        <v>1200</v>
      </c>
      <c r="V604" s="82"/>
      <c r="W604"/>
      <c r="X604" s="87"/>
      <c r="Y604" s="8"/>
      <c r="Z604"/>
      <c r="AA604"/>
      <c r="AB604"/>
      <c r="AD604" s="42" t="str">
        <f>C604&amp;A604</f>
        <v>IMPRESSOS GRAFICOS/LOGOTIPOSOper</v>
      </c>
      <c r="AE604" s="42" t="str">
        <f>IFERROR(VLOOKUP(C604,[34]Planilha1!$B:$C,2,0),"Não se Aplica")</f>
        <v>Sim</v>
      </c>
      <c r="AF604" s="42" t="str">
        <f>VLOOKUP(AD604,[34]Planilha1!$H:$J,3,0)</f>
        <v>Não</v>
      </c>
      <c r="AG604" s="43">
        <f t="shared" si="208"/>
        <v>1200</v>
      </c>
    </row>
    <row r="605" spans="1:33" x14ac:dyDescent="0.3">
      <c r="A605" s="1" t="s">
        <v>836</v>
      </c>
      <c r="B605" s="65" t="s">
        <v>28</v>
      </c>
      <c r="C605" s="78" t="s">
        <v>490</v>
      </c>
      <c r="D605" s="81" t="s">
        <v>643</v>
      </c>
      <c r="E605" s="86" t="s">
        <v>644</v>
      </c>
      <c r="F605" s="28" t="s">
        <v>52</v>
      </c>
      <c r="G605" s="65" t="s">
        <v>32</v>
      </c>
      <c r="H605" s="81" t="s">
        <v>53</v>
      </c>
      <c r="I605" s="27">
        <v>250</v>
      </c>
      <c r="J605" s="27">
        <v>250</v>
      </c>
      <c r="K605" s="27">
        <v>250</v>
      </c>
      <c r="L605" s="27">
        <v>250</v>
      </c>
      <c r="M605" s="27">
        <v>250</v>
      </c>
      <c r="N605" s="27">
        <v>250</v>
      </c>
      <c r="O605" s="27">
        <v>250</v>
      </c>
      <c r="P605" s="27">
        <v>250</v>
      </c>
      <c r="Q605" s="27">
        <v>250</v>
      </c>
      <c r="R605" s="27">
        <v>250</v>
      </c>
      <c r="S605" s="27">
        <v>250</v>
      </c>
      <c r="T605" s="27">
        <v>250</v>
      </c>
      <c r="U605" s="27">
        <f t="shared" si="209"/>
        <v>3000</v>
      </c>
      <c r="V605" s="82"/>
      <c r="W605"/>
      <c r="X605" s="87"/>
      <c r="Y605" s="8"/>
      <c r="Z605"/>
      <c r="AA605"/>
      <c r="AB605"/>
      <c r="AD605" s="42" t="str">
        <f>C605&amp;A605</f>
        <v>CONDUCAO E TRANSPORTEOper</v>
      </c>
      <c r="AE605" s="42" t="str">
        <f>IFERROR(VLOOKUP(C605,[34]Planilha1!$B:$C,2,0),"Não se Aplica")</f>
        <v>Sim</v>
      </c>
      <c r="AF605" s="42" t="str">
        <f>VLOOKUP(AD605,[34]Planilha1!$H:$J,3,0)</f>
        <v>Não</v>
      </c>
      <c r="AG605" s="43">
        <f t="shared" si="208"/>
        <v>3000</v>
      </c>
    </row>
    <row r="606" spans="1:33" x14ac:dyDescent="0.3">
      <c r="A606" s="1" t="s">
        <v>836</v>
      </c>
      <c r="B606" s="65" t="s">
        <v>28</v>
      </c>
      <c r="C606" s="78" t="s">
        <v>496</v>
      </c>
      <c r="D606" s="81" t="s">
        <v>645</v>
      </c>
      <c r="E606" s="86" t="s">
        <v>645</v>
      </c>
      <c r="F606" s="28" t="s">
        <v>52</v>
      </c>
      <c r="G606" s="65" t="s">
        <v>32</v>
      </c>
      <c r="H606" s="81" t="s">
        <v>53</v>
      </c>
      <c r="I606" s="27">
        <v>1000</v>
      </c>
      <c r="J606" s="27">
        <v>1000</v>
      </c>
      <c r="K606" s="27">
        <v>1000</v>
      </c>
      <c r="L606" s="27">
        <v>1000</v>
      </c>
      <c r="M606" s="27">
        <v>1000</v>
      </c>
      <c r="N606" s="27">
        <v>1000</v>
      </c>
      <c r="O606" s="27">
        <v>1000</v>
      </c>
      <c r="P606" s="27">
        <v>1000</v>
      </c>
      <c r="Q606" s="27">
        <v>1000</v>
      </c>
      <c r="R606" s="27">
        <v>1000</v>
      </c>
      <c r="S606" s="27">
        <v>1000</v>
      </c>
      <c r="T606" s="27">
        <v>1000</v>
      </c>
      <c r="U606" s="27">
        <f t="shared" si="209"/>
        <v>12000</v>
      </c>
      <c r="V606" s="82"/>
      <c r="W606"/>
      <c r="X606" s="87"/>
      <c r="Y606" s="8"/>
      <c r="Z606"/>
      <c r="AA606"/>
      <c r="AB606"/>
      <c r="AD606" s="42" t="str">
        <f>C606&amp;A606</f>
        <v>VIAGENSOper</v>
      </c>
      <c r="AE606" s="42" t="str">
        <f>IFERROR(VLOOKUP(C606,[34]Planilha1!$B:$C,2,0),"Não se Aplica")</f>
        <v>Sim</v>
      </c>
      <c r="AF606" s="42" t="str">
        <f>VLOOKUP(AD606,[34]Planilha1!$H:$J,3,0)</f>
        <v>Não</v>
      </c>
      <c r="AG606" s="43">
        <f t="shared" si="208"/>
        <v>12000</v>
      </c>
    </row>
    <row r="607" spans="1:33" x14ac:dyDescent="0.3">
      <c r="A607" s="1" t="s">
        <v>836</v>
      </c>
      <c r="B607" s="65" t="s">
        <v>28</v>
      </c>
      <c r="C607" s="78" t="s">
        <v>496</v>
      </c>
      <c r="D607" s="81" t="s">
        <v>627</v>
      </c>
      <c r="E607" s="86" t="s">
        <v>646</v>
      </c>
      <c r="F607" s="28" t="s">
        <v>52</v>
      </c>
      <c r="G607" s="65" t="s">
        <v>32</v>
      </c>
      <c r="H607" s="81" t="s">
        <v>53</v>
      </c>
      <c r="I607" s="27">
        <v>1000</v>
      </c>
      <c r="J607" s="27">
        <v>1000</v>
      </c>
      <c r="K607" s="27">
        <v>1000</v>
      </c>
      <c r="L607" s="27">
        <v>1000</v>
      </c>
      <c r="M607" s="27">
        <v>1000</v>
      </c>
      <c r="N607" s="27">
        <v>1000</v>
      </c>
      <c r="O607" s="27">
        <v>1000</v>
      </c>
      <c r="P607" s="27">
        <v>1000</v>
      </c>
      <c r="Q607" s="27">
        <v>1000</v>
      </c>
      <c r="R607" s="27">
        <v>1000</v>
      </c>
      <c r="S607" s="27">
        <v>1000</v>
      </c>
      <c r="T607" s="27">
        <v>1000</v>
      </c>
      <c r="U607" s="27">
        <f t="shared" si="209"/>
        <v>12000</v>
      </c>
      <c r="V607" s="82"/>
      <c r="W607"/>
      <c r="X607" s="87"/>
      <c r="Y607" s="8"/>
      <c r="Z607"/>
      <c r="AA607"/>
      <c r="AB607"/>
      <c r="AD607" s="42" t="str">
        <f>C607&amp;A607</f>
        <v>VIAGENSOper</v>
      </c>
      <c r="AE607" s="42" t="str">
        <f>IFERROR(VLOOKUP(C607,[34]Planilha1!$B:$C,2,0),"Não se Aplica")</f>
        <v>Sim</v>
      </c>
      <c r="AF607" s="42" t="str">
        <f>VLOOKUP(AD607,[34]Planilha1!$H:$J,3,0)</f>
        <v>Não</v>
      </c>
      <c r="AG607" s="43">
        <f t="shared" si="208"/>
        <v>12000</v>
      </c>
    </row>
    <row r="608" spans="1:33" x14ac:dyDescent="0.3">
      <c r="A608" s="1" t="s">
        <v>837</v>
      </c>
      <c r="B608" s="65" t="s">
        <v>28</v>
      </c>
      <c r="C608" s="78" t="s">
        <v>490</v>
      </c>
      <c r="D608" s="81" t="s">
        <v>647</v>
      </c>
      <c r="E608" s="86" t="s">
        <v>648</v>
      </c>
      <c r="F608" s="81" t="s">
        <v>127</v>
      </c>
      <c r="G608" s="65" t="s">
        <v>32</v>
      </c>
      <c r="H608" s="81" t="s">
        <v>128</v>
      </c>
      <c r="I608" s="27">
        <v>180</v>
      </c>
      <c r="J608" s="27">
        <v>180</v>
      </c>
      <c r="K608" s="27">
        <v>180</v>
      </c>
      <c r="L608" s="27">
        <v>180</v>
      </c>
      <c r="M608" s="27">
        <v>180</v>
      </c>
      <c r="N608" s="27">
        <v>180</v>
      </c>
      <c r="O608" s="27">
        <v>180</v>
      </c>
      <c r="P608" s="27">
        <v>180</v>
      </c>
      <c r="Q608" s="27">
        <v>180</v>
      </c>
      <c r="R608" s="27">
        <v>180</v>
      </c>
      <c r="S608" s="27">
        <v>180</v>
      </c>
      <c r="T608" s="27">
        <v>180</v>
      </c>
      <c r="U608" s="27">
        <f t="shared" si="209"/>
        <v>2160</v>
      </c>
      <c r="V608" s="82"/>
      <c r="W608"/>
      <c r="X608" s="87"/>
      <c r="Y608" s="8"/>
      <c r="Z608"/>
      <c r="AA608"/>
      <c r="AB608"/>
      <c r="AD608" s="42" t="str">
        <f>C608&amp;A608</f>
        <v>CONDUCAO E TRANSPORTEAdm</v>
      </c>
      <c r="AE608" s="42" t="str">
        <f>IFERROR(VLOOKUP(C608,[34]Planilha1!$B:$C,2,0),"Não se Aplica")</f>
        <v>Sim</v>
      </c>
      <c r="AF608" s="42" t="str">
        <f>VLOOKUP(AD608,[34]Planilha1!$H:$J,3,0)</f>
        <v>Não</v>
      </c>
      <c r="AG608" s="43">
        <f t="shared" si="208"/>
        <v>2160</v>
      </c>
    </row>
    <row r="609" spans="1:33" x14ac:dyDescent="0.3">
      <c r="A609" s="1" t="s">
        <v>837</v>
      </c>
      <c r="B609" s="65" t="s">
        <v>20</v>
      </c>
      <c r="C609" s="78" t="s">
        <v>490</v>
      </c>
      <c r="D609" s="81" t="s">
        <v>649</v>
      </c>
      <c r="E609" s="86" t="s">
        <v>505</v>
      </c>
      <c r="F609" s="81" t="s">
        <v>127</v>
      </c>
      <c r="G609" s="65" t="s">
        <v>32</v>
      </c>
      <c r="H609" s="81" t="s">
        <v>128</v>
      </c>
      <c r="I609" s="27">
        <v>45</v>
      </c>
      <c r="J609" s="27">
        <v>45</v>
      </c>
      <c r="K609" s="27">
        <v>45</v>
      </c>
      <c r="L609" s="27">
        <v>45</v>
      </c>
      <c r="M609" s="27">
        <v>45</v>
      </c>
      <c r="N609" s="27">
        <v>45</v>
      </c>
      <c r="O609" s="27">
        <v>45</v>
      </c>
      <c r="P609" s="27">
        <v>45</v>
      </c>
      <c r="Q609" s="27">
        <v>45</v>
      </c>
      <c r="R609" s="27">
        <v>45</v>
      </c>
      <c r="S609" s="27">
        <v>45</v>
      </c>
      <c r="T609" s="27">
        <v>45</v>
      </c>
      <c r="U609" s="27">
        <f t="shared" si="209"/>
        <v>540</v>
      </c>
      <c r="V609" s="82"/>
      <c r="W609"/>
      <c r="X609" s="87"/>
      <c r="Y609" s="8"/>
      <c r="Z609"/>
      <c r="AA609"/>
      <c r="AB609"/>
      <c r="AD609" s="42" t="str">
        <f>C609&amp;A609</f>
        <v>CONDUCAO E TRANSPORTEAdm</v>
      </c>
      <c r="AE609" s="42" t="str">
        <f>IFERROR(VLOOKUP(C609,[34]Planilha1!$B:$C,2,0),"Não se Aplica")</f>
        <v>Sim</v>
      </c>
      <c r="AF609" s="42" t="str">
        <f>VLOOKUP(AD609,[34]Planilha1!$H:$J,3,0)</f>
        <v>Não</v>
      </c>
      <c r="AG609" s="43">
        <f t="shared" si="208"/>
        <v>540</v>
      </c>
    </row>
    <row r="610" spans="1:33" x14ac:dyDescent="0.3">
      <c r="A610" s="1" t="s">
        <v>837</v>
      </c>
      <c r="B610" s="65" t="s">
        <v>28</v>
      </c>
      <c r="C610" s="78" t="s">
        <v>492</v>
      </c>
      <c r="D610" s="81" t="s">
        <v>650</v>
      </c>
      <c r="E610" s="86"/>
      <c r="F610" s="81" t="s">
        <v>127</v>
      </c>
      <c r="G610" s="65" t="s">
        <v>32</v>
      </c>
      <c r="H610" s="81" t="s">
        <v>128</v>
      </c>
      <c r="I610" s="27">
        <v>45</v>
      </c>
      <c r="J610" s="27">
        <v>45</v>
      </c>
      <c r="K610" s="27">
        <v>45</v>
      </c>
      <c r="L610" s="27">
        <v>45</v>
      </c>
      <c r="M610" s="27">
        <v>45</v>
      </c>
      <c r="N610" s="27">
        <v>45</v>
      </c>
      <c r="O610" s="27">
        <v>45</v>
      </c>
      <c r="P610" s="27">
        <v>45</v>
      </c>
      <c r="Q610" s="27">
        <v>45</v>
      </c>
      <c r="R610" s="27">
        <v>45</v>
      </c>
      <c r="S610" s="27">
        <v>45</v>
      </c>
      <c r="T610" s="27">
        <v>45</v>
      </c>
      <c r="U610" s="27">
        <f t="shared" si="209"/>
        <v>540</v>
      </c>
      <c r="V610" s="82"/>
      <c r="W610"/>
      <c r="X610" s="87"/>
      <c r="Y610" s="8"/>
      <c r="Z610"/>
      <c r="AA610"/>
      <c r="AB610"/>
      <c r="AD610" s="42" t="str">
        <f>C610&amp;A610</f>
        <v>COPA E REFEICOES/ESTADIASAdm</v>
      </c>
      <c r="AE610" s="42" t="str">
        <f>IFERROR(VLOOKUP(C610,[34]Planilha1!$B:$C,2,0),"Não se Aplica")</f>
        <v>Sim</v>
      </c>
      <c r="AF610" s="42" t="str">
        <f>VLOOKUP(AD610,[34]Planilha1!$H:$J,3,0)</f>
        <v>Não</v>
      </c>
      <c r="AG610" s="43">
        <f t="shared" si="208"/>
        <v>540</v>
      </c>
    </row>
    <row r="611" spans="1:33" x14ac:dyDescent="0.3">
      <c r="A611" s="1" t="s">
        <v>837</v>
      </c>
      <c r="B611" s="65" t="s">
        <v>20</v>
      </c>
      <c r="C611" s="78" t="s">
        <v>551</v>
      </c>
      <c r="D611" s="81" t="s">
        <v>651</v>
      </c>
      <c r="E611" s="86"/>
      <c r="F611" s="81" t="s">
        <v>127</v>
      </c>
      <c r="G611" s="65" t="s">
        <v>32</v>
      </c>
      <c r="H611" s="81" t="s">
        <v>128</v>
      </c>
      <c r="I611" s="27">
        <v>90</v>
      </c>
      <c r="J611" s="27">
        <v>90</v>
      </c>
      <c r="K611" s="27">
        <v>90</v>
      </c>
      <c r="L611" s="27">
        <v>90</v>
      </c>
      <c r="M611" s="27">
        <v>90</v>
      </c>
      <c r="N611" s="27">
        <v>90</v>
      </c>
      <c r="O611" s="27">
        <v>90</v>
      </c>
      <c r="P611" s="27">
        <v>90</v>
      </c>
      <c r="Q611" s="27">
        <v>90</v>
      </c>
      <c r="R611" s="27">
        <v>90</v>
      </c>
      <c r="S611" s="27">
        <v>90</v>
      </c>
      <c r="T611" s="27">
        <v>90</v>
      </c>
      <c r="U611" s="27">
        <f t="shared" si="209"/>
        <v>1080</v>
      </c>
      <c r="V611" s="82"/>
      <c r="W611"/>
      <c r="X611" s="87"/>
      <c r="Y611" s="8"/>
      <c r="Z611"/>
      <c r="AA611"/>
      <c r="AB611"/>
      <c r="AD611" s="42" t="str">
        <f>C611&amp;A611</f>
        <v>TAXAS/CUSTAS/CARTORIOAdm</v>
      </c>
      <c r="AE611" s="42" t="str">
        <f>IFERROR(VLOOKUP(C611,[34]Planilha1!$B:$C,2,0),"Não se Aplica")</f>
        <v>Sim</v>
      </c>
      <c r="AF611" s="42" t="str">
        <f>VLOOKUP(AD611,[34]Planilha1!$H:$J,3,0)</f>
        <v>Não</v>
      </c>
      <c r="AG611" s="43">
        <f t="shared" si="208"/>
        <v>1080</v>
      </c>
    </row>
    <row r="612" spans="1:33" x14ac:dyDescent="0.3">
      <c r="A612" s="1" t="s">
        <v>837</v>
      </c>
      <c r="B612" s="65" t="s">
        <v>28</v>
      </c>
      <c r="C612" s="78" t="s">
        <v>551</v>
      </c>
      <c r="D612" s="81" t="s">
        <v>651</v>
      </c>
      <c r="E612" s="86"/>
      <c r="F612" s="81" t="s">
        <v>127</v>
      </c>
      <c r="G612" s="65" t="s">
        <v>32</v>
      </c>
      <c r="H612" s="81" t="s">
        <v>128</v>
      </c>
      <c r="I612" s="27">
        <v>90</v>
      </c>
      <c r="J612" s="27">
        <v>90</v>
      </c>
      <c r="K612" s="27">
        <v>90</v>
      </c>
      <c r="L612" s="27">
        <v>90</v>
      </c>
      <c r="M612" s="27">
        <v>90</v>
      </c>
      <c r="N612" s="27">
        <v>90</v>
      </c>
      <c r="O612" s="27">
        <v>90</v>
      </c>
      <c r="P612" s="27">
        <v>90</v>
      </c>
      <c r="Q612" s="27">
        <v>90</v>
      </c>
      <c r="R612" s="27">
        <v>90</v>
      </c>
      <c r="S612" s="27">
        <v>90</v>
      </c>
      <c r="T612" s="27">
        <v>90</v>
      </c>
      <c r="U612" s="27">
        <f t="shared" si="209"/>
        <v>1080</v>
      </c>
      <c r="V612" s="82"/>
      <c r="W612"/>
      <c r="X612" s="87"/>
      <c r="Y612" s="8"/>
      <c r="Z612"/>
      <c r="AA612"/>
      <c r="AB612"/>
      <c r="AD612" s="42" t="str">
        <f>C612&amp;A612</f>
        <v>TAXAS/CUSTAS/CARTORIOAdm</v>
      </c>
      <c r="AE612" s="42" t="str">
        <f>IFERROR(VLOOKUP(C612,[34]Planilha1!$B:$C,2,0),"Não se Aplica")</f>
        <v>Sim</v>
      </c>
      <c r="AF612" s="42" t="str">
        <f>VLOOKUP(AD612,[34]Planilha1!$H:$J,3,0)</f>
        <v>Não</v>
      </c>
      <c r="AG612" s="43">
        <f t="shared" si="208"/>
        <v>1080</v>
      </c>
    </row>
    <row r="613" spans="1:33" x14ac:dyDescent="0.3">
      <c r="A613" s="1" t="s">
        <v>837</v>
      </c>
      <c r="B613" s="65" t="s">
        <v>28</v>
      </c>
      <c r="C613" s="78" t="s">
        <v>652</v>
      </c>
      <c r="D613" s="81" t="s">
        <v>652</v>
      </c>
      <c r="E613" s="86"/>
      <c r="F613" s="81" t="s">
        <v>127</v>
      </c>
      <c r="G613" s="65" t="s">
        <v>32</v>
      </c>
      <c r="H613" s="81" t="s">
        <v>128</v>
      </c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27">
        <f t="shared" si="209"/>
        <v>0</v>
      </c>
      <c r="V613" s="82"/>
      <c r="W613"/>
      <c r="X613" s="87"/>
      <c r="Y613" s="8"/>
      <c r="Z613"/>
      <c r="AA613"/>
      <c r="AB613"/>
      <c r="AD613" s="42" t="str">
        <f>C613&amp;A613</f>
        <v>MULTAS DIVERSASAdm</v>
      </c>
      <c r="AE613" s="42" t="str">
        <f>IFERROR(VLOOKUP(C613,[34]Planilha1!$B:$C,2,0),"Não se Aplica")</f>
        <v>Não se Aplica</v>
      </c>
      <c r="AF613" s="42" t="str">
        <f>VLOOKUP(AD613,[34]Planilha1!$H:$J,3,0)</f>
        <v>Não</v>
      </c>
      <c r="AG613" s="43">
        <f t="shared" si="208"/>
        <v>0</v>
      </c>
    </row>
    <row r="614" spans="1:33" x14ac:dyDescent="0.3">
      <c r="A614" s="1" t="s">
        <v>837</v>
      </c>
      <c r="B614" s="65" t="s">
        <v>20</v>
      </c>
      <c r="C614" s="78" t="s">
        <v>652</v>
      </c>
      <c r="D614" s="81" t="s">
        <v>652</v>
      </c>
      <c r="E614" s="86"/>
      <c r="F614" s="81" t="s">
        <v>127</v>
      </c>
      <c r="G614" s="65" t="s">
        <v>32</v>
      </c>
      <c r="H614" s="81" t="s">
        <v>128</v>
      </c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27">
        <f t="shared" si="209"/>
        <v>0</v>
      </c>
      <c r="V614" s="82"/>
      <c r="W614"/>
      <c r="X614" s="87"/>
      <c r="Y614" s="8"/>
      <c r="Z614"/>
      <c r="AA614"/>
      <c r="AB614"/>
      <c r="AD614" s="42" t="str">
        <f>C614&amp;A614</f>
        <v>MULTAS DIVERSASAdm</v>
      </c>
      <c r="AE614" s="42" t="str">
        <f>IFERROR(VLOOKUP(C614,[34]Planilha1!$B:$C,2,0),"Não se Aplica")</f>
        <v>Não se Aplica</v>
      </c>
      <c r="AF614" s="42" t="str">
        <f>VLOOKUP(AD614,[34]Planilha1!$H:$J,3,0)</f>
        <v>Não</v>
      </c>
      <c r="AG614" s="43">
        <f t="shared" si="208"/>
        <v>0</v>
      </c>
    </row>
    <row r="615" spans="1:33" x14ac:dyDescent="0.3">
      <c r="A615" s="1" t="s">
        <v>837</v>
      </c>
      <c r="B615" s="65" t="s">
        <v>20</v>
      </c>
      <c r="C615" s="78" t="s">
        <v>496</v>
      </c>
      <c r="D615" s="81" t="s">
        <v>653</v>
      </c>
      <c r="E615" s="86"/>
      <c r="F615" s="81" t="s">
        <v>127</v>
      </c>
      <c r="G615" s="65" t="s">
        <v>32</v>
      </c>
      <c r="H615" s="81" t="s">
        <v>128</v>
      </c>
      <c r="I615" s="27">
        <v>450</v>
      </c>
      <c r="J615" s="27">
        <v>450</v>
      </c>
      <c r="K615" s="27">
        <v>450</v>
      </c>
      <c r="L615" s="27">
        <v>450</v>
      </c>
      <c r="M615" s="27">
        <v>450</v>
      </c>
      <c r="N615" s="27">
        <v>450</v>
      </c>
      <c r="O615" s="27">
        <v>450</v>
      </c>
      <c r="P615" s="27">
        <v>450</v>
      </c>
      <c r="Q615" s="27">
        <v>450</v>
      </c>
      <c r="R615" s="27">
        <v>450</v>
      </c>
      <c r="S615" s="27">
        <v>450</v>
      </c>
      <c r="T615" s="27">
        <v>450</v>
      </c>
      <c r="U615" s="27">
        <f t="shared" si="209"/>
        <v>5400</v>
      </c>
      <c r="V615" s="82"/>
      <c r="W615"/>
      <c r="X615" s="87"/>
      <c r="Y615" s="8"/>
      <c r="Z615"/>
      <c r="AA615"/>
      <c r="AB615"/>
      <c r="AD615" s="42" t="str">
        <f>C615&amp;A615</f>
        <v>VIAGENSAdm</v>
      </c>
      <c r="AE615" s="42" t="str">
        <f>IFERROR(VLOOKUP(C615,[34]Planilha1!$B:$C,2,0),"Não se Aplica")</f>
        <v>Sim</v>
      </c>
      <c r="AF615" s="42" t="str">
        <f>VLOOKUP(AD615,[34]Planilha1!$H:$J,3,0)</f>
        <v>Não</v>
      </c>
      <c r="AG615" s="43">
        <f t="shared" si="208"/>
        <v>5400</v>
      </c>
    </row>
    <row r="616" spans="1:33" x14ac:dyDescent="0.3">
      <c r="A616" s="1" t="s">
        <v>837</v>
      </c>
      <c r="B616" s="65" t="s">
        <v>28</v>
      </c>
      <c r="C616" s="78" t="s">
        <v>551</v>
      </c>
      <c r="D616" s="81" t="s">
        <v>654</v>
      </c>
      <c r="E616" s="86"/>
      <c r="F616" s="81" t="s">
        <v>127</v>
      </c>
      <c r="G616" s="65" t="s">
        <v>32</v>
      </c>
      <c r="H616" s="81" t="s">
        <v>128</v>
      </c>
      <c r="I616" s="27">
        <v>1350</v>
      </c>
      <c r="J616" s="27">
        <v>1350</v>
      </c>
      <c r="K616" s="27">
        <v>1350</v>
      </c>
      <c r="L616" s="27">
        <v>1350</v>
      </c>
      <c r="M616" s="27">
        <v>1350</v>
      </c>
      <c r="N616" s="27">
        <v>1350</v>
      </c>
      <c r="O616" s="27">
        <v>1350</v>
      </c>
      <c r="P616" s="27">
        <v>1350</v>
      </c>
      <c r="Q616" s="27">
        <v>1350</v>
      </c>
      <c r="R616" s="27">
        <v>1350</v>
      </c>
      <c r="S616" s="27">
        <v>1350</v>
      </c>
      <c r="T616" s="27">
        <v>1350</v>
      </c>
      <c r="U616" s="27">
        <f t="shared" si="209"/>
        <v>16200</v>
      </c>
      <c r="V616" s="82"/>
      <c r="W616"/>
      <c r="X616" s="87"/>
      <c r="Y616" s="8"/>
      <c r="Z616"/>
      <c r="AA616"/>
      <c r="AB616"/>
      <c r="AD616" s="42" t="str">
        <f>C616&amp;A616</f>
        <v>TAXAS/CUSTAS/CARTORIOAdm</v>
      </c>
      <c r="AE616" s="42" t="str">
        <f>IFERROR(VLOOKUP(C616,[34]Planilha1!$B:$C,2,0),"Não se Aplica")</f>
        <v>Sim</v>
      </c>
      <c r="AF616" s="42" t="str">
        <f>VLOOKUP(AD616,[34]Planilha1!$H:$J,3,0)</f>
        <v>Não</v>
      </c>
      <c r="AG616" s="43">
        <f t="shared" si="208"/>
        <v>16200</v>
      </c>
    </row>
    <row r="617" spans="1:33" x14ac:dyDescent="0.3">
      <c r="A617" s="1" t="s">
        <v>837</v>
      </c>
      <c r="B617" s="65" t="s">
        <v>20</v>
      </c>
      <c r="C617" s="78" t="s">
        <v>551</v>
      </c>
      <c r="D617" s="81" t="s">
        <v>654</v>
      </c>
      <c r="E617" s="86"/>
      <c r="F617" s="81" t="s">
        <v>127</v>
      </c>
      <c r="G617" s="65" t="s">
        <v>32</v>
      </c>
      <c r="H617" s="81" t="s">
        <v>128</v>
      </c>
      <c r="I617" s="27">
        <v>1800</v>
      </c>
      <c r="J617" s="27">
        <v>1800</v>
      </c>
      <c r="K617" s="27">
        <v>1800</v>
      </c>
      <c r="L617" s="27">
        <v>1800</v>
      </c>
      <c r="M617" s="27">
        <v>1800</v>
      </c>
      <c r="N617" s="27">
        <v>1800</v>
      </c>
      <c r="O617" s="27">
        <v>1800</v>
      </c>
      <c r="P617" s="27">
        <v>1800</v>
      </c>
      <c r="Q617" s="27">
        <v>1800</v>
      </c>
      <c r="R617" s="27">
        <v>1800</v>
      </c>
      <c r="S617" s="27">
        <v>1800</v>
      </c>
      <c r="T617" s="27">
        <v>1800</v>
      </c>
      <c r="U617" s="27">
        <f t="shared" si="209"/>
        <v>21600</v>
      </c>
      <c r="V617" s="82"/>
      <c r="W617"/>
      <c r="X617" s="87"/>
      <c r="Y617" s="8"/>
      <c r="Z617"/>
      <c r="AA617"/>
      <c r="AB617"/>
      <c r="AD617" s="42" t="str">
        <f>C617&amp;A617</f>
        <v>TAXAS/CUSTAS/CARTORIOAdm</v>
      </c>
      <c r="AE617" s="42" t="str">
        <f>IFERROR(VLOOKUP(C617,[34]Planilha1!$B:$C,2,0),"Não se Aplica")</f>
        <v>Sim</v>
      </c>
      <c r="AF617" s="42" t="str">
        <f>VLOOKUP(AD617,[34]Planilha1!$H:$J,3,0)</f>
        <v>Não</v>
      </c>
      <c r="AG617" s="43">
        <f t="shared" si="208"/>
        <v>21600</v>
      </c>
    </row>
    <row r="618" spans="1:33" x14ac:dyDescent="0.3">
      <c r="A618" s="1" t="s">
        <v>837</v>
      </c>
      <c r="B618" s="65" t="s">
        <v>20</v>
      </c>
      <c r="C618" s="78" t="s">
        <v>551</v>
      </c>
      <c r="D618" s="81" t="s">
        <v>654</v>
      </c>
      <c r="E618" s="86" t="s">
        <v>655</v>
      </c>
      <c r="F618" s="81" t="s">
        <v>127</v>
      </c>
      <c r="G618" s="65" t="s">
        <v>32</v>
      </c>
      <c r="H618" s="81" t="s">
        <v>128</v>
      </c>
      <c r="I618" s="27">
        <v>225</v>
      </c>
      <c r="J618" s="27">
        <v>225</v>
      </c>
      <c r="K618" s="27">
        <v>225</v>
      </c>
      <c r="L618" s="27">
        <v>225</v>
      </c>
      <c r="M618" s="27">
        <v>225</v>
      </c>
      <c r="N618" s="27">
        <v>225</v>
      </c>
      <c r="O618" s="27">
        <v>225</v>
      </c>
      <c r="P618" s="27">
        <v>225</v>
      </c>
      <c r="Q618" s="27">
        <v>225</v>
      </c>
      <c r="R618" s="27">
        <v>225</v>
      </c>
      <c r="S618" s="27">
        <v>225</v>
      </c>
      <c r="T618" s="27">
        <v>225</v>
      </c>
      <c r="U618" s="27">
        <f t="shared" si="209"/>
        <v>2700</v>
      </c>
      <c r="V618" s="82"/>
      <c r="W618"/>
      <c r="X618" s="87"/>
      <c r="Y618" s="8"/>
      <c r="Z618"/>
      <c r="AA618"/>
      <c r="AB618"/>
      <c r="AD618" s="42" t="str">
        <f>C618&amp;A618</f>
        <v>TAXAS/CUSTAS/CARTORIOAdm</v>
      </c>
      <c r="AE618" s="42" t="str">
        <f>IFERROR(VLOOKUP(C618,[34]Planilha1!$B:$C,2,0),"Não se Aplica")</f>
        <v>Sim</v>
      </c>
      <c r="AF618" s="42" t="str">
        <f>VLOOKUP(AD618,[34]Planilha1!$H:$J,3,0)</f>
        <v>Não</v>
      </c>
      <c r="AG618" s="43">
        <f t="shared" si="208"/>
        <v>2700</v>
      </c>
    </row>
    <row r="619" spans="1:33" x14ac:dyDescent="0.3">
      <c r="A619" s="1" t="s">
        <v>836</v>
      </c>
      <c r="B619" s="65" t="s">
        <v>20</v>
      </c>
      <c r="C619" s="78" t="s">
        <v>492</v>
      </c>
      <c r="D619" s="81"/>
      <c r="E619" s="86" t="s">
        <v>656</v>
      </c>
      <c r="F619" s="81" t="s">
        <v>36</v>
      </c>
      <c r="G619" s="65" t="s">
        <v>22</v>
      </c>
      <c r="H619" s="81" t="s">
        <v>156</v>
      </c>
      <c r="I619" s="27">
        <v>500</v>
      </c>
      <c r="J619" s="27">
        <v>500</v>
      </c>
      <c r="K619" s="27">
        <v>500</v>
      </c>
      <c r="L619" s="27">
        <v>500</v>
      </c>
      <c r="M619" s="27">
        <v>500</v>
      </c>
      <c r="N619" s="27">
        <v>500</v>
      </c>
      <c r="O619" s="27">
        <v>500</v>
      </c>
      <c r="P619" s="27">
        <v>500</v>
      </c>
      <c r="Q619" s="27">
        <v>500</v>
      </c>
      <c r="R619" s="27">
        <v>500</v>
      </c>
      <c r="S619" s="27">
        <v>500</v>
      </c>
      <c r="T619" s="27">
        <v>500</v>
      </c>
      <c r="U619" s="27">
        <f t="shared" si="209"/>
        <v>6000</v>
      </c>
      <c r="V619" s="82"/>
      <c r="W619"/>
      <c r="X619" s="87"/>
      <c r="Y619" s="8"/>
      <c r="Z619"/>
      <c r="AA619"/>
      <c r="AB619"/>
      <c r="AD619" s="42" t="str">
        <f>C619&amp;A619</f>
        <v>COPA E REFEICOES/ESTADIASOper</v>
      </c>
      <c r="AE619" s="42" t="str">
        <f>IFERROR(VLOOKUP(C619,[34]Planilha1!$B:$C,2,0),"Não se Aplica")</f>
        <v>Sim</v>
      </c>
      <c r="AF619" s="42" t="str">
        <f>VLOOKUP(AD619,[34]Planilha1!$H:$J,3,0)</f>
        <v>Não</v>
      </c>
      <c r="AG619" s="43">
        <f t="shared" si="208"/>
        <v>6000</v>
      </c>
    </row>
    <row r="620" spans="1:33" x14ac:dyDescent="0.3">
      <c r="A620" s="1" t="s">
        <v>836</v>
      </c>
      <c r="B620" s="65" t="s">
        <v>20</v>
      </c>
      <c r="C620" s="78" t="s">
        <v>492</v>
      </c>
      <c r="D620" s="81"/>
      <c r="E620" s="86" t="s">
        <v>657</v>
      </c>
      <c r="F620" s="81" t="s">
        <v>36</v>
      </c>
      <c r="G620" s="65" t="s">
        <v>22</v>
      </c>
      <c r="H620" s="81" t="s">
        <v>156</v>
      </c>
      <c r="I620" s="27">
        <v>2900</v>
      </c>
      <c r="J620" s="27">
        <v>2900</v>
      </c>
      <c r="K620" s="27">
        <v>2900</v>
      </c>
      <c r="L620" s="27">
        <v>2900</v>
      </c>
      <c r="M620" s="27">
        <v>2900</v>
      </c>
      <c r="N620" s="27">
        <v>2900</v>
      </c>
      <c r="O620" s="27">
        <v>2900</v>
      </c>
      <c r="P620" s="27">
        <v>2900</v>
      </c>
      <c r="Q620" s="27">
        <v>2900</v>
      </c>
      <c r="R620" s="27">
        <v>2900</v>
      </c>
      <c r="S620" s="27">
        <v>2900</v>
      </c>
      <c r="T620" s="27">
        <v>2900</v>
      </c>
      <c r="U620" s="27">
        <f t="shared" si="209"/>
        <v>34800</v>
      </c>
      <c r="V620" s="82"/>
      <c r="W620"/>
      <c r="X620" s="87"/>
      <c r="Y620" s="8"/>
      <c r="Z620"/>
      <c r="AA620"/>
      <c r="AB620"/>
      <c r="AD620" s="42" t="str">
        <f>C620&amp;A620</f>
        <v>COPA E REFEICOES/ESTADIASOper</v>
      </c>
      <c r="AE620" s="42" t="str">
        <f>IFERROR(VLOOKUP(C620,[34]Planilha1!$B:$C,2,0),"Não se Aplica")</f>
        <v>Sim</v>
      </c>
      <c r="AF620" s="42" t="str">
        <f>VLOOKUP(AD620,[34]Planilha1!$H:$J,3,0)</f>
        <v>Não</v>
      </c>
      <c r="AG620" s="43">
        <f t="shared" si="208"/>
        <v>34800</v>
      </c>
    </row>
    <row r="621" spans="1:33" x14ac:dyDescent="0.3">
      <c r="A621" s="1" t="s">
        <v>836</v>
      </c>
      <c r="B621" s="65" t="s">
        <v>20</v>
      </c>
      <c r="C621" s="78" t="s">
        <v>492</v>
      </c>
      <c r="D621" s="81"/>
      <c r="E621" s="86" t="s">
        <v>658</v>
      </c>
      <c r="F621" s="81" t="s">
        <v>36</v>
      </c>
      <c r="G621" s="65" t="s">
        <v>22</v>
      </c>
      <c r="H621" s="81" t="s">
        <v>156</v>
      </c>
      <c r="I621" s="27"/>
      <c r="J621" s="27">
        <v>18370</v>
      </c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>
        <f t="shared" si="209"/>
        <v>18370</v>
      </c>
      <c r="V621" s="82"/>
      <c r="W621"/>
      <c r="X621" s="87"/>
      <c r="Y621" s="8"/>
      <c r="Z621"/>
      <c r="AA621"/>
      <c r="AB621"/>
      <c r="AD621" s="42" t="str">
        <f>C621&amp;A621</f>
        <v>COPA E REFEICOES/ESTADIASOper</v>
      </c>
      <c r="AE621" s="42" t="str">
        <f>IFERROR(VLOOKUP(C621,[34]Planilha1!$B:$C,2,0),"Não se Aplica")</f>
        <v>Sim</v>
      </c>
      <c r="AF621" s="42" t="str">
        <f>VLOOKUP(AD621,[34]Planilha1!$H:$J,3,0)</f>
        <v>Não</v>
      </c>
      <c r="AG621" s="43">
        <f t="shared" si="208"/>
        <v>18370</v>
      </c>
    </row>
    <row r="622" spans="1:33" x14ac:dyDescent="0.3">
      <c r="A622" s="1" t="s">
        <v>836</v>
      </c>
      <c r="B622" s="65" t="s">
        <v>20</v>
      </c>
      <c r="C622" s="78" t="s">
        <v>490</v>
      </c>
      <c r="D622" s="81"/>
      <c r="E622" s="86" t="s">
        <v>659</v>
      </c>
      <c r="F622" s="81" t="s">
        <v>36</v>
      </c>
      <c r="G622" s="65" t="s">
        <v>22</v>
      </c>
      <c r="H622" s="81" t="s">
        <v>156</v>
      </c>
      <c r="I622" s="27">
        <v>2000</v>
      </c>
      <c r="J622" s="27">
        <v>2000</v>
      </c>
      <c r="K622" s="27">
        <v>7000</v>
      </c>
      <c r="L622" s="27">
        <v>5000</v>
      </c>
      <c r="M622" s="27">
        <v>5000</v>
      </c>
      <c r="N622" s="27">
        <v>5000</v>
      </c>
      <c r="O622" s="27">
        <v>5000</v>
      </c>
      <c r="P622" s="27">
        <v>5000</v>
      </c>
      <c r="Q622" s="27">
        <v>7000</v>
      </c>
      <c r="R622" s="27">
        <v>5000</v>
      </c>
      <c r="S622" s="27">
        <v>5000</v>
      </c>
      <c r="T622" s="27">
        <v>5000</v>
      </c>
      <c r="U622" s="27">
        <f t="shared" si="209"/>
        <v>58000</v>
      </c>
      <c r="V622" s="82"/>
      <c r="W622"/>
      <c r="X622" s="87"/>
      <c r="Y622" s="8"/>
      <c r="Z622"/>
      <c r="AA622"/>
      <c r="AB622"/>
      <c r="AD622" s="42" t="str">
        <f>C622&amp;A622</f>
        <v>CONDUCAO E TRANSPORTEOper</v>
      </c>
      <c r="AE622" s="42" t="str">
        <f>IFERROR(VLOOKUP(C622,[34]Planilha1!$B:$C,2,0),"Não se Aplica")</f>
        <v>Sim</v>
      </c>
      <c r="AF622" s="42" t="str">
        <f>VLOOKUP(AD622,[34]Planilha1!$H:$J,3,0)</f>
        <v>Não</v>
      </c>
      <c r="AG622" s="43">
        <f t="shared" si="208"/>
        <v>58000</v>
      </c>
    </row>
    <row r="623" spans="1:33" x14ac:dyDescent="0.3">
      <c r="A623" s="1" t="s">
        <v>836</v>
      </c>
      <c r="B623" s="65" t="s">
        <v>20</v>
      </c>
      <c r="C623" s="78" t="s">
        <v>496</v>
      </c>
      <c r="D623" s="81"/>
      <c r="E623" s="86" t="s">
        <v>660</v>
      </c>
      <c r="F623" s="81" t="s">
        <v>36</v>
      </c>
      <c r="G623" s="65" t="s">
        <v>22</v>
      </c>
      <c r="H623" s="81" t="s">
        <v>156</v>
      </c>
      <c r="I623" s="27">
        <v>3000</v>
      </c>
      <c r="J623" s="27">
        <v>3000</v>
      </c>
      <c r="K623" s="27">
        <v>3000</v>
      </c>
      <c r="L623" s="27">
        <v>3000</v>
      </c>
      <c r="M623" s="27">
        <v>3000</v>
      </c>
      <c r="N623" s="27">
        <v>3000</v>
      </c>
      <c r="O623" s="27">
        <v>3000</v>
      </c>
      <c r="P623" s="27">
        <v>3000</v>
      </c>
      <c r="Q623" s="27">
        <v>3000</v>
      </c>
      <c r="R623" s="27">
        <v>3000</v>
      </c>
      <c r="S623" s="27">
        <v>3000</v>
      </c>
      <c r="T623" s="27">
        <v>3000</v>
      </c>
      <c r="U623" s="27">
        <f t="shared" si="209"/>
        <v>36000</v>
      </c>
      <c r="V623" s="82"/>
      <c r="W623"/>
      <c r="X623" s="87"/>
      <c r="Y623" s="8"/>
      <c r="Z623"/>
      <c r="AA623"/>
      <c r="AB623"/>
      <c r="AD623" s="42" t="str">
        <f>C623&amp;A623</f>
        <v>VIAGENSOper</v>
      </c>
      <c r="AE623" s="42" t="str">
        <f>IFERROR(VLOOKUP(C623,[34]Planilha1!$B:$C,2,0),"Não se Aplica")</f>
        <v>Sim</v>
      </c>
      <c r="AF623" s="42" t="str">
        <f>VLOOKUP(AD623,[34]Planilha1!$H:$J,3,0)</f>
        <v>Não</v>
      </c>
      <c r="AG623" s="43">
        <f t="shared" si="208"/>
        <v>36000</v>
      </c>
    </row>
    <row r="624" spans="1:33" x14ac:dyDescent="0.3">
      <c r="A624" s="1" t="s">
        <v>836</v>
      </c>
      <c r="B624" s="65" t="s">
        <v>20</v>
      </c>
      <c r="C624" s="78" t="s">
        <v>38</v>
      </c>
      <c r="D624" s="81" t="s">
        <v>661</v>
      </c>
      <c r="E624" s="86" t="s">
        <v>662</v>
      </c>
      <c r="F624" s="81" t="s">
        <v>36</v>
      </c>
      <c r="G624" s="65" t="s">
        <v>22</v>
      </c>
      <c r="H624" s="81" t="s">
        <v>156</v>
      </c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>
        <f t="shared" si="209"/>
        <v>0</v>
      </c>
      <c r="V624" s="82"/>
      <c r="W624"/>
      <c r="X624" s="87"/>
      <c r="Y624" s="8"/>
      <c r="Z624"/>
      <c r="AA624"/>
      <c r="AB624"/>
      <c r="AD624" s="42" t="str">
        <f>C624&amp;A624</f>
        <v>ALUGUEIS DE EQUIPAMENTOSOper</v>
      </c>
      <c r="AE624" s="42" t="str">
        <f>IFERROR(VLOOKUP(C624,[34]Planilha1!$B:$C,2,0),"Não se Aplica")</f>
        <v>Sim</v>
      </c>
      <c r="AF624" s="42" t="str">
        <f>VLOOKUP(AD624,[34]Planilha1!$H:$J,3,0)</f>
        <v>Sim</v>
      </c>
      <c r="AG624" s="43">
        <f t="shared" si="208"/>
        <v>0</v>
      </c>
    </row>
    <row r="625" spans="1:33" x14ac:dyDescent="0.3">
      <c r="A625" s="1" t="s">
        <v>836</v>
      </c>
      <c r="B625" s="65" t="s">
        <v>20</v>
      </c>
      <c r="C625" s="78" t="s">
        <v>490</v>
      </c>
      <c r="D625" s="81"/>
      <c r="E625" s="86" t="s">
        <v>659</v>
      </c>
      <c r="F625" s="81" t="s">
        <v>36</v>
      </c>
      <c r="G625" s="65" t="s">
        <v>32</v>
      </c>
      <c r="H625" s="81" t="s">
        <v>156</v>
      </c>
      <c r="I625" s="27">
        <v>2000</v>
      </c>
      <c r="J625" s="27">
        <v>2000</v>
      </c>
      <c r="K625" s="27">
        <v>7000</v>
      </c>
      <c r="L625" s="27">
        <v>5000</v>
      </c>
      <c r="M625" s="27">
        <v>5000</v>
      </c>
      <c r="N625" s="27">
        <v>5000</v>
      </c>
      <c r="O625" s="27">
        <v>5000</v>
      </c>
      <c r="P625" s="27">
        <v>5000</v>
      </c>
      <c r="Q625" s="27">
        <v>7000</v>
      </c>
      <c r="R625" s="27">
        <v>5000</v>
      </c>
      <c r="S625" s="27">
        <v>5000</v>
      </c>
      <c r="T625" s="27">
        <v>5000</v>
      </c>
      <c r="U625" s="27">
        <f t="shared" si="209"/>
        <v>58000</v>
      </c>
      <c r="V625" s="82"/>
      <c r="W625"/>
      <c r="X625" s="87"/>
      <c r="Y625" s="8"/>
      <c r="Z625"/>
      <c r="AA625"/>
      <c r="AB625"/>
      <c r="AD625" s="42" t="str">
        <f>C625&amp;A625</f>
        <v>CONDUCAO E TRANSPORTEOper</v>
      </c>
      <c r="AE625" s="42" t="str">
        <f>IFERROR(VLOOKUP(C625,[34]Planilha1!$B:$C,2,0),"Não se Aplica")</f>
        <v>Sim</v>
      </c>
      <c r="AF625" s="42" t="str">
        <f>VLOOKUP(AD625,[34]Planilha1!$H:$J,3,0)</f>
        <v>Não</v>
      </c>
      <c r="AG625" s="43">
        <f t="shared" si="208"/>
        <v>58000</v>
      </c>
    </row>
    <row r="626" spans="1:33" x14ac:dyDescent="0.3">
      <c r="A626" s="1" t="s">
        <v>836</v>
      </c>
      <c r="B626" s="65" t="s">
        <v>20</v>
      </c>
      <c r="C626" s="78" t="s">
        <v>496</v>
      </c>
      <c r="D626" s="81"/>
      <c r="E626" s="86" t="s">
        <v>660</v>
      </c>
      <c r="F626" s="81" t="s">
        <v>36</v>
      </c>
      <c r="G626" s="65" t="s">
        <v>32</v>
      </c>
      <c r="H626" s="81" t="s">
        <v>156</v>
      </c>
      <c r="I626" s="27">
        <v>3000</v>
      </c>
      <c r="J626" s="27">
        <v>3000</v>
      </c>
      <c r="K626" s="27">
        <v>3000</v>
      </c>
      <c r="L626" s="27">
        <v>3000</v>
      </c>
      <c r="M626" s="27">
        <v>3000</v>
      </c>
      <c r="N626" s="27">
        <v>3000</v>
      </c>
      <c r="O626" s="27">
        <v>3000</v>
      </c>
      <c r="P626" s="27">
        <v>3000</v>
      </c>
      <c r="Q626" s="27">
        <v>3000</v>
      </c>
      <c r="R626" s="27">
        <v>3000</v>
      </c>
      <c r="S626" s="27">
        <v>3000</v>
      </c>
      <c r="T626" s="27">
        <v>3000</v>
      </c>
      <c r="U626" s="27">
        <f t="shared" si="209"/>
        <v>36000</v>
      </c>
      <c r="V626" s="82"/>
      <c r="W626"/>
      <c r="X626" s="87"/>
      <c r="Y626" s="8"/>
      <c r="Z626"/>
      <c r="AA626"/>
      <c r="AB626"/>
      <c r="AD626" s="42" t="str">
        <f>C626&amp;A626</f>
        <v>VIAGENSOper</v>
      </c>
      <c r="AE626" s="42" t="str">
        <f>IFERROR(VLOOKUP(C626,[34]Planilha1!$B:$C,2,0),"Não se Aplica")</f>
        <v>Sim</v>
      </c>
      <c r="AF626" s="42" t="str">
        <f>VLOOKUP(AD626,[34]Planilha1!$H:$J,3,0)</f>
        <v>Não</v>
      </c>
      <c r="AG626" s="43">
        <f t="shared" si="208"/>
        <v>36000</v>
      </c>
    </row>
    <row r="627" spans="1:33" x14ac:dyDescent="0.3">
      <c r="A627" s="1" t="s">
        <v>836</v>
      </c>
      <c r="B627" s="65" t="s">
        <v>20</v>
      </c>
      <c r="C627" s="78" t="s">
        <v>38</v>
      </c>
      <c r="D627" s="81" t="s">
        <v>661</v>
      </c>
      <c r="E627" s="86" t="s">
        <v>662</v>
      </c>
      <c r="F627" s="81" t="s">
        <v>36</v>
      </c>
      <c r="G627" s="65" t="s">
        <v>32</v>
      </c>
      <c r="H627" s="81" t="s">
        <v>156</v>
      </c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>
        <f t="shared" si="209"/>
        <v>0</v>
      </c>
      <c r="V627" s="82"/>
      <c r="W627"/>
      <c r="X627" s="87"/>
      <c r="Y627" s="8"/>
      <c r="Z627"/>
      <c r="AA627"/>
      <c r="AB627"/>
      <c r="AD627" s="42" t="str">
        <f>C627&amp;A627</f>
        <v>ALUGUEIS DE EQUIPAMENTOSOper</v>
      </c>
      <c r="AE627" s="42" t="str">
        <f>IFERROR(VLOOKUP(C627,[34]Planilha1!$B:$C,2,0),"Não se Aplica")</f>
        <v>Sim</v>
      </c>
      <c r="AF627" s="42" t="str">
        <f>VLOOKUP(AD627,[34]Planilha1!$H:$J,3,0)</f>
        <v>Sim</v>
      </c>
      <c r="AG627" s="43">
        <f t="shared" si="208"/>
        <v>0</v>
      </c>
    </row>
    <row r="628" spans="1:33" x14ac:dyDescent="0.3">
      <c r="A628" s="1" t="s">
        <v>836</v>
      </c>
      <c r="B628" s="65" t="s">
        <v>20</v>
      </c>
      <c r="C628" s="78" t="s">
        <v>622</v>
      </c>
      <c r="D628" s="81" t="s">
        <v>663</v>
      </c>
      <c r="E628" s="86" t="s">
        <v>663</v>
      </c>
      <c r="F628" s="81" t="s">
        <v>36</v>
      </c>
      <c r="G628" s="65" t="s">
        <v>32</v>
      </c>
      <c r="H628" s="81" t="s">
        <v>156</v>
      </c>
      <c r="I628" s="27">
        <v>5500</v>
      </c>
      <c r="J628" s="27">
        <v>5500</v>
      </c>
      <c r="K628" s="27">
        <v>5500</v>
      </c>
      <c r="L628" s="27">
        <v>5500</v>
      </c>
      <c r="M628" s="27">
        <v>5500</v>
      </c>
      <c r="N628" s="27">
        <v>5500</v>
      </c>
      <c r="O628" s="27">
        <v>5500</v>
      </c>
      <c r="P628" s="27">
        <v>5500</v>
      </c>
      <c r="Q628" s="27">
        <v>5500</v>
      </c>
      <c r="R628" s="27">
        <v>5500</v>
      </c>
      <c r="S628" s="27">
        <v>5500</v>
      </c>
      <c r="T628" s="27">
        <v>5500</v>
      </c>
      <c r="U628" s="27">
        <f t="shared" si="209"/>
        <v>66000</v>
      </c>
      <c r="V628" s="82"/>
      <c r="W628"/>
      <c r="X628" s="87"/>
      <c r="Y628" s="8"/>
      <c r="Z628"/>
      <c r="AA628"/>
      <c r="AB628"/>
      <c r="AD628" s="42" t="str">
        <f>C628&amp;A628</f>
        <v>MATERIAL DE EXPEDIENTEOper</v>
      </c>
      <c r="AE628" s="42" t="str">
        <f>IFERROR(VLOOKUP(C628,[34]Planilha1!$B:$C,2,0),"Não se Aplica")</f>
        <v>Sim</v>
      </c>
      <c r="AF628" s="42" t="str">
        <f>VLOOKUP(AD628,[34]Planilha1!$H:$J,3,0)</f>
        <v>Não</v>
      </c>
      <c r="AG628" s="43">
        <f t="shared" si="208"/>
        <v>66000</v>
      </c>
    </row>
    <row r="629" spans="1:33" x14ac:dyDescent="0.3">
      <c r="A629" s="1" t="s">
        <v>836</v>
      </c>
      <c r="B629" s="65" t="s">
        <v>20</v>
      </c>
      <c r="C629" s="78" t="s">
        <v>490</v>
      </c>
      <c r="D629" s="81"/>
      <c r="E629" s="86" t="s">
        <v>659</v>
      </c>
      <c r="F629" s="81" t="s">
        <v>36</v>
      </c>
      <c r="G629" s="65" t="s">
        <v>27</v>
      </c>
      <c r="H629" s="81" t="s">
        <v>156</v>
      </c>
      <c r="I629" s="27">
        <v>1000</v>
      </c>
      <c r="J629" s="27">
        <v>1000</v>
      </c>
      <c r="K629" s="27">
        <v>3500</v>
      </c>
      <c r="L629" s="27">
        <v>1000</v>
      </c>
      <c r="M629" s="27">
        <v>1000</v>
      </c>
      <c r="N629" s="27">
        <v>1000</v>
      </c>
      <c r="O629" s="27">
        <v>1000</v>
      </c>
      <c r="P629" s="27">
        <v>1000</v>
      </c>
      <c r="Q629" s="27">
        <v>3500</v>
      </c>
      <c r="R629" s="27">
        <v>1000</v>
      </c>
      <c r="S629" s="27">
        <v>1000</v>
      </c>
      <c r="T629" s="27">
        <v>1000</v>
      </c>
      <c r="U629" s="27">
        <f t="shared" si="209"/>
        <v>17000</v>
      </c>
      <c r="V629" s="82"/>
      <c r="W629"/>
      <c r="X629" s="87"/>
      <c r="Y629" s="8"/>
      <c r="Z629"/>
      <c r="AA629"/>
      <c r="AB629"/>
      <c r="AD629" s="42" t="str">
        <f>C629&amp;A629</f>
        <v>CONDUCAO E TRANSPORTEOper</v>
      </c>
      <c r="AE629" s="42" t="str">
        <f>IFERROR(VLOOKUP(C629,[34]Planilha1!$B:$C,2,0),"Não se Aplica")</f>
        <v>Sim</v>
      </c>
      <c r="AF629" s="42" t="str">
        <f>VLOOKUP(AD629,[34]Planilha1!$H:$J,3,0)</f>
        <v>Não</v>
      </c>
      <c r="AG629" s="43">
        <f t="shared" si="208"/>
        <v>17000</v>
      </c>
    </row>
    <row r="630" spans="1:33" x14ac:dyDescent="0.3">
      <c r="A630" s="1" t="s">
        <v>836</v>
      </c>
      <c r="B630" s="65" t="s">
        <v>20</v>
      </c>
      <c r="C630" s="78" t="s">
        <v>496</v>
      </c>
      <c r="D630" s="81"/>
      <c r="E630" s="86" t="s">
        <v>660</v>
      </c>
      <c r="F630" s="81" t="s">
        <v>36</v>
      </c>
      <c r="G630" s="65" t="s">
        <v>27</v>
      </c>
      <c r="H630" s="81" t="s">
        <v>156</v>
      </c>
      <c r="I630" s="27">
        <v>1000</v>
      </c>
      <c r="J630" s="27">
        <v>3000</v>
      </c>
      <c r="K630" s="27">
        <v>1000</v>
      </c>
      <c r="L630" s="27">
        <v>1000</v>
      </c>
      <c r="M630" s="27">
        <v>1000</v>
      </c>
      <c r="N630" s="27">
        <v>1000</v>
      </c>
      <c r="O630" s="27">
        <v>1000</v>
      </c>
      <c r="P630" s="27">
        <v>1000</v>
      </c>
      <c r="Q630" s="27">
        <v>1000</v>
      </c>
      <c r="R630" s="27">
        <v>1000</v>
      </c>
      <c r="S630" s="27">
        <v>1000</v>
      </c>
      <c r="T630" s="27">
        <v>1000</v>
      </c>
      <c r="U630" s="27">
        <f t="shared" si="209"/>
        <v>14000</v>
      </c>
      <c r="V630" s="82"/>
      <c r="W630"/>
      <c r="X630" s="87"/>
      <c r="Y630" s="8"/>
      <c r="Z630"/>
      <c r="AA630"/>
      <c r="AB630"/>
      <c r="AD630" s="42" t="str">
        <f>C630&amp;A630</f>
        <v>VIAGENSOper</v>
      </c>
      <c r="AE630" s="42" t="str">
        <f>IFERROR(VLOOKUP(C630,[34]Planilha1!$B:$C,2,0),"Não se Aplica")</f>
        <v>Sim</v>
      </c>
      <c r="AF630" s="42" t="str">
        <f>VLOOKUP(AD630,[34]Planilha1!$H:$J,3,0)</f>
        <v>Não</v>
      </c>
      <c r="AG630" s="43">
        <f t="shared" si="208"/>
        <v>14000</v>
      </c>
    </row>
    <row r="631" spans="1:33" x14ac:dyDescent="0.3">
      <c r="A631" s="1" t="s">
        <v>836</v>
      </c>
      <c r="B631" s="65" t="s">
        <v>20</v>
      </c>
      <c r="C631" s="78" t="s">
        <v>622</v>
      </c>
      <c r="D631" s="81" t="s">
        <v>663</v>
      </c>
      <c r="E631" s="86" t="s">
        <v>663</v>
      </c>
      <c r="F631" s="81" t="s">
        <v>36</v>
      </c>
      <c r="G631" s="65" t="s">
        <v>22</v>
      </c>
      <c r="H631" s="81" t="s">
        <v>156</v>
      </c>
      <c r="I631" s="27">
        <v>4500</v>
      </c>
      <c r="J631" s="27">
        <v>3500</v>
      </c>
      <c r="K631" s="27">
        <v>3500</v>
      </c>
      <c r="L631" s="27">
        <v>3500</v>
      </c>
      <c r="M631" s="27">
        <v>3500</v>
      </c>
      <c r="N631" s="27">
        <v>3500</v>
      </c>
      <c r="O631" s="27">
        <v>3500</v>
      </c>
      <c r="P631" s="27">
        <v>3500</v>
      </c>
      <c r="Q631" s="27">
        <v>3500</v>
      </c>
      <c r="R631" s="27">
        <v>3500</v>
      </c>
      <c r="S631" s="27">
        <v>3500</v>
      </c>
      <c r="T631" s="27">
        <v>3500</v>
      </c>
      <c r="U631" s="27">
        <f t="shared" si="209"/>
        <v>43000</v>
      </c>
      <c r="V631" s="82"/>
      <c r="W631"/>
      <c r="X631" s="87"/>
      <c r="Y631" s="8"/>
      <c r="Z631"/>
      <c r="AA631"/>
      <c r="AB631"/>
      <c r="AD631" s="42" t="str">
        <f>C631&amp;A631</f>
        <v>MATERIAL DE EXPEDIENTEOper</v>
      </c>
      <c r="AE631" s="42" t="str">
        <f>IFERROR(VLOOKUP(C631,[34]Planilha1!$B:$C,2,0),"Não se Aplica")</f>
        <v>Sim</v>
      </c>
      <c r="AF631" s="42" t="str">
        <f>VLOOKUP(AD631,[34]Planilha1!$H:$J,3,0)</f>
        <v>Não</v>
      </c>
      <c r="AG631" s="43">
        <f t="shared" ref="AG631:AG694" si="210">IF(AF631="Sim", U631 * 0.9075, U631)</f>
        <v>43000</v>
      </c>
    </row>
    <row r="632" spans="1:33" x14ac:dyDescent="0.3">
      <c r="A632" s="1" t="s">
        <v>836</v>
      </c>
      <c r="B632" s="65" t="s">
        <v>20</v>
      </c>
      <c r="C632" s="78" t="s">
        <v>622</v>
      </c>
      <c r="D632" s="81" t="s">
        <v>663</v>
      </c>
      <c r="E632" s="86" t="s">
        <v>663</v>
      </c>
      <c r="F632" s="81" t="s">
        <v>36</v>
      </c>
      <c r="G632" s="65" t="s">
        <v>27</v>
      </c>
      <c r="H632" s="81" t="s">
        <v>156</v>
      </c>
      <c r="I632" s="27">
        <v>1000</v>
      </c>
      <c r="J632" s="27">
        <v>1000</v>
      </c>
      <c r="K632" s="27">
        <v>1000</v>
      </c>
      <c r="L632" s="27">
        <v>1000</v>
      </c>
      <c r="M632" s="27">
        <v>1000</v>
      </c>
      <c r="N632" s="27">
        <v>1000</v>
      </c>
      <c r="O632" s="27">
        <v>1000</v>
      </c>
      <c r="P632" s="27">
        <v>1000</v>
      </c>
      <c r="Q632" s="27">
        <v>1000</v>
      </c>
      <c r="R632" s="27">
        <v>1000</v>
      </c>
      <c r="S632" s="27">
        <v>1000</v>
      </c>
      <c r="T632" s="27">
        <v>1000</v>
      </c>
      <c r="U632" s="27">
        <f t="shared" si="209"/>
        <v>12000</v>
      </c>
      <c r="V632" s="82"/>
      <c r="W632"/>
      <c r="X632" s="87"/>
      <c r="Y632" s="8"/>
      <c r="Z632"/>
      <c r="AA632"/>
      <c r="AB632"/>
      <c r="AD632" s="42" t="str">
        <f>C632&amp;A632</f>
        <v>MATERIAL DE EXPEDIENTEOper</v>
      </c>
      <c r="AE632" s="42" t="str">
        <f>IFERROR(VLOOKUP(C632,[34]Planilha1!$B:$C,2,0),"Não se Aplica")</f>
        <v>Sim</v>
      </c>
      <c r="AF632" s="42" t="str">
        <f>VLOOKUP(AD632,[34]Planilha1!$H:$J,3,0)</f>
        <v>Não</v>
      </c>
      <c r="AG632" s="43">
        <f t="shared" si="210"/>
        <v>12000</v>
      </c>
    </row>
    <row r="633" spans="1:33" x14ac:dyDescent="0.3">
      <c r="A633" s="1" t="s">
        <v>836</v>
      </c>
      <c r="B633" s="65" t="s">
        <v>20</v>
      </c>
      <c r="C633" s="78" t="s">
        <v>548</v>
      </c>
      <c r="D633" s="81" t="s">
        <v>664</v>
      </c>
      <c r="E633" s="81" t="s">
        <v>664</v>
      </c>
      <c r="F633" s="81" t="s">
        <v>36</v>
      </c>
      <c r="G633" s="65" t="s">
        <v>32</v>
      </c>
      <c r="H633" s="81" t="s">
        <v>156</v>
      </c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27">
        <f t="shared" si="209"/>
        <v>0</v>
      </c>
      <c r="V633" s="82"/>
      <c r="W633"/>
      <c r="X633" s="87"/>
      <c r="Y633" s="8"/>
      <c r="Z633"/>
      <c r="AA633"/>
      <c r="AB633"/>
      <c r="AD633" s="42" t="str">
        <f>C633&amp;A633</f>
        <v>DESPESAS DIVERSASOper</v>
      </c>
      <c r="AE633" s="42" t="str">
        <f>IFERROR(VLOOKUP(C633,[34]Planilha1!$B:$C,2,0),"Não se Aplica")</f>
        <v>Sim</v>
      </c>
      <c r="AF633" s="42" t="str">
        <f>VLOOKUP(AD633,[34]Planilha1!$H:$J,3,0)</f>
        <v>Não</v>
      </c>
      <c r="AG633" s="43">
        <f t="shared" si="210"/>
        <v>0</v>
      </c>
    </row>
    <row r="634" spans="1:33" x14ac:dyDescent="0.3">
      <c r="A634" s="1" t="s">
        <v>836</v>
      </c>
      <c r="B634" s="65" t="s">
        <v>20</v>
      </c>
      <c r="C634" s="78" t="s">
        <v>548</v>
      </c>
      <c r="D634" s="81" t="s">
        <v>664</v>
      </c>
      <c r="E634" s="81" t="s">
        <v>664</v>
      </c>
      <c r="F634" s="81" t="s">
        <v>36</v>
      </c>
      <c r="G634" s="65" t="s">
        <v>22</v>
      </c>
      <c r="H634" s="81" t="s">
        <v>156</v>
      </c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27">
        <f t="shared" si="209"/>
        <v>0</v>
      </c>
      <c r="V634" s="82"/>
      <c r="W634"/>
      <c r="X634" s="87"/>
      <c r="Y634" s="8"/>
      <c r="Z634"/>
      <c r="AA634"/>
      <c r="AB634"/>
      <c r="AD634" s="42" t="str">
        <f>C634&amp;A634</f>
        <v>DESPESAS DIVERSASOper</v>
      </c>
      <c r="AE634" s="42" t="str">
        <f>IFERROR(VLOOKUP(C634,[34]Planilha1!$B:$C,2,0),"Não se Aplica")</f>
        <v>Sim</v>
      </c>
      <c r="AF634" s="42" t="str">
        <f>VLOOKUP(AD634,[34]Planilha1!$H:$J,3,0)</f>
        <v>Não</v>
      </c>
      <c r="AG634" s="43">
        <f t="shared" si="210"/>
        <v>0</v>
      </c>
    </row>
    <row r="635" spans="1:33" x14ac:dyDescent="0.3">
      <c r="A635" s="1" t="s">
        <v>836</v>
      </c>
      <c r="B635" s="65" t="s">
        <v>20</v>
      </c>
      <c r="C635" s="78" t="s">
        <v>548</v>
      </c>
      <c r="D635" s="81" t="s">
        <v>664</v>
      </c>
      <c r="E635" s="81" t="s">
        <v>664</v>
      </c>
      <c r="F635" s="81" t="s">
        <v>36</v>
      </c>
      <c r="G635" s="65" t="s">
        <v>27</v>
      </c>
      <c r="H635" s="81" t="s">
        <v>156</v>
      </c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27">
        <f t="shared" si="209"/>
        <v>0</v>
      </c>
      <c r="V635" s="82"/>
      <c r="W635"/>
      <c r="X635" s="87"/>
      <c r="Y635" s="8"/>
      <c r="Z635"/>
      <c r="AA635"/>
      <c r="AB635"/>
      <c r="AD635" s="42" t="str">
        <f>C635&amp;A635</f>
        <v>DESPESAS DIVERSASOper</v>
      </c>
      <c r="AE635" s="42" t="str">
        <f>IFERROR(VLOOKUP(C635,[34]Planilha1!$B:$C,2,0),"Não se Aplica")</f>
        <v>Sim</v>
      </c>
      <c r="AF635" s="42" t="str">
        <f>VLOOKUP(AD635,[34]Planilha1!$H:$J,3,0)</f>
        <v>Não</v>
      </c>
      <c r="AG635" s="43">
        <f t="shared" si="210"/>
        <v>0</v>
      </c>
    </row>
    <row r="636" spans="1:33" x14ac:dyDescent="0.3">
      <c r="A636" s="1" t="s">
        <v>836</v>
      </c>
      <c r="B636" s="65" t="s">
        <v>28</v>
      </c>
      <c r="C636" s="78" t="s">
        <v>496</v>
      </c>
      <c r="D636" s="81" t="s">
        <v>665</v>
      </c>
      <c r="E636" s="86"/>
      <c r="F636" s="81" t="s">
        <v>37</v>
      </c>
      <c r="G636" s="65" t="s">
        <v>32</v>
      </c>
      <c r="H636" s="81" t="s">
        <v>184</v>
      </c>
      <c r="I636" s="27">
        <v>5000</v>
      </c>
      <c r="J636" s="27">
        <v>5000</v>
      </c>
      <c r="K636" s="27">
        <v>5000</v>
      </c>
      <c r="L636" s="27">
        <v>5000</v>
      </c>
      <c r="M636" s="27">
        <v>5000</v>
      </c>
      <c r="N636" s="27">
        <v>5000</v>
      </c>
      <c r="O636" s="27">
        <v>5000</v>
      </c>
      <c r="P636" s="27">
        <v>5000</v>
      </c>
      <c r="Q636" s="27">
        <v>5000</v>
      </c>
      <c r="R636" s="27">
        <v>5000</v>
      </c>
      <c r="S636" s="27">
        <v>5000</v>
      </c>
      <c r="T636" s="27">
        <v>5000</v>
      </c>
      <c r="U636" s="27">
        <f t="shared" ref="U636:U699" si="211">SUM(I636:T636)</f>
        <v>60000</v>
      </c>
      <c r="V636" s="82"/>
      <c r="W636"/>
      <c r="X636" s="87"/>
      <c r="Y636" s="8"/>
      <c r="Z636"/>
      <c r="AA636"/>
      <c r="AB636"/>
      <c r="AD636" s="42" t="str">
        <f>C636&amp;A636</f>
        <v>VIAGENSOper</v>
      </c>
      <c r="AE636" s="42" t="str">
        <f>IFERROR(VLOOKUP(C636,[34]Planilha1!$B:$C,2,0),"Não se Aplica")</f>
        <v>Sim</v>
      </c>
      <c r="AF636" s="42" t="str">
        <f>VLOOKUP(AD636,[34]Planilha1!$H:$J,3,0)</f>
        <v>Não</v>
      </c>
      <c r="AG636" s="43">
        <f t="shared" si="210"/>
        <v>60000</v>
      </c>
    </row>
    <row r="637" spans="1:33" x14ac:dyDescent="0.3">
      <c r="A637" s="1" t="s">
        <v>836</v>
      </c>
      <c r="B637" s="65" t="s">
        <v>28</v>
      </c>
      <c r="C637" s="78" t="s">
        <v>161</v>
      </c>
      <c r="D637" s="81" t="s">
        <v>666</v>
      </c>
      <c r="E637" s="86"/>
      <c r="F637" s="81" t="s">
        <v>37</v>
      </c>
      <c r="G637" s="65" t="s">
        <v>32</v>
      </c>
      <c r="H637" s="81" t="s">
        <v>184</v>
      </c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27">
        <f t="shared" si="211"/>
        <v>0</v>
      </c>
      <c r="V637" s="82"/>
      <c r="W637"/>
      <c r="X637" s="87"/>
      <c r="Y637" s="8"/>
      <c r="Z637"/>
      <c r="AA637"/>
      <c r="AB637"/>
      <c r="AD637" s="42" t="str">
        <f>C637&amp;A637</f>
        <v>CONSERVACAO DE PREDIOSOper</v>
      </c>
      <c r="AE637" s="42" t="str">
        <f>IFERROR(VLOOKUP(C637,[34]Planilha1!$B:$C,2,0),"Não se Aplica")</f>
        <v>Sim</v>
      </c>
      <c r="AF637" s="42" t="str">
        <f>VLOOKUP(AD637,[34]Planilha1!$H:$J,3,0)</f>
        <v>Sim</v>
      </c>
      <c r="AG637" s="43">
        <f t="shared" si="210"/>
        <v>0</v>
      </c>
    </row>
    <row r="638" spans="1:33" x14ac:dyDescent="0.3">
      <c r="A638" s="1" t="s">
        <v>836</v>
      </c>
      <c r="B638" s="65" t="s">
        <v>28</v>
      </c>
      <c r="C638" s="78" t="s">
        <v>161</v>
      </c>
      <c r="D638" s="81" t="s">
        <v>667</v>
      </c>
      <c r="E638" s="86"/>
      <c r="F638" s="81" t="s">
        <v>37</v>
      </c>
      <c r="G638" s="65" t="s">
        <v>32</v>
      </c>
      <c r="H638" s="81" t="s">
        <v>184</v>
      </c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27">
        <f t="shared" si="211"/>
        <v>0</v>
      </c>
      <c r="V638" s="82"/>
      <c r="W638"/>
      <c r="X638" s="87"/>
      <c r="Y638" s="8"/>
      <c r="Z638"/>
      <c r="AA638"/>
      <c r="AB638"/>
      <c r="AD638" s="42" t="str">
        <f>C638&amp;A638</f>
        <v>CONSERVACAO DE PREDIOSOper</v>
      </c>
      <c r="AE638" s="42" t="str">
        <f>IFERROR(VLOOKUP(C638,[34]Planilha1!$B:$C,2,0),"Não se Aplica")</f>
        <v>Sim</v>
      </c>
      <c r="AF638" s="42" t="str">
        <f>VLOOKUP(AD638,[34]Planilha1!$H:$J,3,0)</f>
        <v>Sim</v>
      </c>
      <c r="AG638" s="43">
        <f t="shared" si="210"/>
        <v>0</v>
      </c>
    </row>
    <row r="639" spans="1:33" x14ac:dyDescent="0.3">
      <c r="A639" s="1" t="s">
        <v>836</v>
      </c>
      <c r="B639" s="65" t="s">
        <v>28</v>
      </c>
      <c r="C639" s="78" t="s">
        <v>161</v>
      </c>
      <c r="D639" s="81" t="s">
        <v>668</v>
      </c>
      <c r="E639" s="86"/>
      <c r="F639" s="81" t="s">
        <v>37</v>
      </c>
      <c r="G639" s="65" t="s">
        <v>31</v>
      </c>
      <c r="H639" s="81" t="s">
        <v>184</v>
      </c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27">
        <f t="shared" si="211"/>
        <v>0</v>
      </c>
      <c r="V639" s="82"/>
      <c r="W639"/>
      <c r="X639" s="87"/>
      <c r="Y639" s="8"/>
      <c r="Z639"/>
      <c r="AA639"/>
      <c r="AB639"/>
      <c r="AD639" s="42" t="str">
        <f>C639&amp;A639</f>
        <v>CONSERVACAO DE PREDIOSOper</v>
      </c>
      <c r="AE639" s="42" t="str">
        <f>IFERROR(VLOOKUP(C639,[34]Planilha1!$B:$C,2,0),"Não se Aplica")</f>
        <v>Sim</v>
      </c>
      <c r="AF639" s="42" t="str">
        <f>VLOOKUP(AD639,[34]Planilha1!$H:$J,3,0)</f>
        <v>Sim</v>
      </c>
      <c r="AG639" s="43">
        <f t="shared" si="210"/>
        <v>0</v>
      </c>
    </row>
    <row r="640" spans="1:33" x14ac:dyDescent="0.3">
      <c r="A640" s="1" t="s">
        <v>836</v>
      </c>
      <c r="B640" s="65" t="s">
        <v>28</v>
      </c>
      <c r="C640" s="78" t="s">
        <v>161</v>
      </c>
      <c r="D640" s="81" t="s">
        <v>669</v>
      </c>
      <c r="E640" s="81"/>
      <c r="F640" s="81" t="s">
        <v>37</v>
      </c>
      <c r="G640" s="65" t="s">
        <v>33</v>
      </c>
      <c r="H640" s="81" t="s">
        <v>184</v>
      </c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27">
        <f t="shared" si="211"/>
        <v>0</v>
      </c>
      <c r="V640" s="82"/>
      <c r="W640"/>
      <c r="X640" s="87"/>
      <c r="Y640" s="8"/>
      <c r="Z640"/>
      <c r="AA640"/>
      <c r="AB640"/>
      <c r="AD640" s="42" t="str">
        <f>C640&amp;A640</f>
        <v>CONSERVACAO DE PREDIOSOper</v>
      </c>
      <c r="AE640" s="42" t="str">
        <f>IFERROR(VLOOKUP(C640,[34]Planilha1!$B:$C,2,0),"Não se Aplica")</f>
        <v>Sim</v>
      </c>
      <c r="AF640" s="42" t="str">
        <f>VLOOKUP(AD640,[34]Planilha1!$H:$J,3,0)</f>
        <v>Sim</v>
      </c>
      <c r="AG640" s="43">
        <f t="shared" si="210"/>
        <v>0</v>
      </c>
    </row>
    <row r="641" spans="1:33" x14ac:dyDescent="0.3">
      <c r="A641" s="1" t="s">
        <v>836</v>
      </c>
      <c r="B641" s="65" t="s">
        <v>28</v>
      </c>
      <c r="C641" s="78" t="s">
        <v>161</v>
      </c>
      <c r="D641" s="81" t="s">
        <v>670</v>
      </c>
      <c r="E641" s="81"/>
      <c r="F641" s="81" t="s">
        <v>37</v>
      </c>
      <c r="G641" s="65" t="s">
        <v>33</v>
      </c>
      <c r="H641" s="81" t="s">
        <v>184</v>
      </c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27">
        <f t="shared" si="211"/>
        <v>0</v>
      </c>
      <c r="V641" s="82"/>
      <c r="W641"/>
      <c r="X641" s="87"/>
      <c r="Y641" s="8"/>
      <c r="Z641"/>
      <c r="AA641"/>
      <c r="AB641"/>
      <c r="AD641" s="42" t="str">
        <f>C641&amp;A641</f>
        <v>CONSERVACAO DE PREDIOSOper</v>
      </c>
      <c r="AE641" s="42" t="str">
        <f>IFERROR(VLOOKUP(C641,[34]Planilha1!$B:$C,2,0),"Não se Aplica")</f>
        <v>Sim</v>
      </c>
      <c r="AF641" s="42" t="str">
        <f>VLOOKUP(AD641,[34]Planilha1!$H:$J,3,0)</f>
        <v>Sim</v>
      </c>
      <c r="AG641" s="43">
        <f t="shared" si="210"/>
        <v>0</v>
      </c>
    </row>
    <row r="642" spans="1:33" x14ac:dyDescent="0.3">
      <c r="A642" s="1" t="s">
        <v>836</v>
      </c>
      <c r="B642" s="65" t="s">
        <v>28</v>
      </c>
      <c r="C642" s="78" t="s">
        <v>161</v>
      </c>
      <c r="D642" s="81" t="s">
        <v>671</v>
      </c>
      <c r="E642" s="86"/>
      <c r="F642" s="81" t="s">
        <v>37</v>
      </c>
      <c r="G642" s="65" t="s">
        <v>32</v>
      </c>
      <c r="H642" s="81" t="s">
        <v>184</v>
      </c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27">
        <f t="shared" si="211"/>
        <v>0</v>
      </c>
      <c r="V642" s="82"/>
      <c r="W642"/>
      <c r="X642" s="87"/>
      <c r="Y642" s="8"/>
      <c r="Z642"/>
      <c r="AA642"/>
      <c r="AB642"/>
      <c r="AD642" s="42" t="str">
        <f>C642&amp;A642</f>
        <v>CONSERVACAO DE PREDIOSOper</v>
      </c>
      <c r="AE642" s="42" t="str">
        <f>IFERROR(VLOOKUP(C642,[34]Planilha1!$B:$C,2,0),"Não se Aplica")</f>
        <v>Sim</v>
      </c>
      <c r="AF642" s="42" t="str">
        <f>VLOOKUP(AD642,[34]Planilha1!$H:$J,3,0)</f>
        <v>Sim</v>
      </c>
      <c r="AG642" s="43">
        <f t="shared" si="210"/>
        <v>0</v>
      </c>
    </row>
    <row r="643" spans="1:33" x14ac:dyDescent="0.3">
      <c r="A643" s="1" t="s">
        <v>836</v>
      </c>
      <c r="B643" s="65" t="s">
        <v>28</v>
      </c>
      <c r="C643" s="78" t="s">
        <v>622</v>
      </c>
      <c r="D643" s="81" t="s">
        <v>623</v>
      </c>
      <c r="E643" s="86" t="s">
        <v>624</v>
      </c>
      <c r="F643" s="81" t="s">
        <v>41</v>
      </c>
      <c r="G643" s="65" t="s">
        <v>32</v>
      </c>
      <c r="H643" s="81" t="s">
        <v>42</v>
      </c>
      <c r="I643" s="27"/>
      <c r="J643" s="27">
        <v>100</v>
      </c>
      <c r="K643" s="27"/>
      <c r="L643" s="27">
        <v>100</v>
      </c>
      <c r="M643" s="27"/>
      <c r="N643" s="27">
        <v>100</v>
      </c>
      <c r="O643" s="27"/>
      <c r="P643" s="27">
        <v>100</v>
      </c>
      <c r="Q643" s="27"/>
      <c r="R643" s="27">
        <v>100</v>
      </c>
      <c r="S643" s="27"/>
      <c r="T643" s="27">
        <v>100</v>
      </c>
      <c r="U643" s="27">
        <f t="shared" si="211"/>
        <v>600</v>
      </c>
      <c r="V643" s="82"/>
      <c r="W643"/>
      <c r="X643" s="87"/>
      <c r="Y643" s="8"/>
      <c r="Z643"/>
      <c r="AA643"/>
      <c r="AB643"/>
      <c r="AD643" s="42" t="str">
        <f>C643&amp;A643</f>
        <v>MATERIAL DE EXPEDIENTEOper</v>
      </c>
      <c r="AE643" s="42" t="str">
        <f>IFERROR(VLOOKUP(C643,[34]Planilha1!$B:$C,2,0),"Não se Aplica")</f>
        <v>Sim</v>
      </c>
      <c r="AF643" s="42" t="str">
        <f>VLOOKUP(AD643,[34]Planilha1!$H:$J,3,0)</f>
        <v>Não</v>
      </c>
      <c r="AG643" s="43">
        <f t="shared" si="210"/>
        <v>600</v>
      </c>
    </row>
    <row r="644" spans="1:33" x14ac:dyDescent="0.3">
      <c r="A644" s="1" t="s">
        <v>836</v>
      </c>
      <c r="B644" s="65" t="s">
        <v>28</v>
      </c>
      <c r="C644" s="78" t="s">
        <v>210</v>
      </c>
      <c r="D644" s="81" t="s">
        <v>672</v>
      </c>
      <c r="E644" s="86" t="s">
        <v>673</v>
      </c>
      <c r="F644" s="81" t="s">
        <v>41</v>
      </c>
      <c r="G644" s="65" t="s">
        <v>29</v>
      </c>
      <c r="H644" s="81" t="s">
        <v>42</v>
      </c>
      <c r="I644" s="27"/>
      <c r="J644" s="27"/>
      <c r="K644" s="27"/>
      <c r="L644" s="27"/>
      <c r="M644" s="27"/>
      <c r="N644" s="27"/>
      <c r="O644" s="27">
        <v>722.25</v>
      </c>
      <c r="P644" s="27"/>
      <c r="Q644" s="27"/>
      <c r="R644" s="27"/>
      <c r="S644" s="27"/>
      <c r="T644" s="27"/>
      <c r="U644" s="27">
        <f t="shared" si="211"/>
        <v>722.25</v>
      </c>
      <c r="V644" s="82"/>
      <c r="W644"/>
      <c r="X644" s="87"/>
      <c r="Y644" s="8"/>
      <c r="Z644"/>
      <c r="AA644"/>
      <c r="AB644"/>
      <c r="AD644" s="42" t="str">
        <f>C644&amp;A644</f>
        <v>CERTIFICACAO/QUALIDADEOper</v>
      </c>
      <c r="AE644" s="42" t="str">
        <f>IFERROR(VLOOKUP(C644,[34]Planilha1!$B:$C,2,0),"Não se Aplica")</f>
        <v>Sim</v>
      </c>
      <c r="AF644" s="42" t="str">
        <f>VLOOKUP(AD644,[34]Planilha1!$H:$J,3,0)</f>
        <v>Não</v>
      </c>
      <c r="AG644" s="43">
        <f t="shared" si="210"/>
        <v>722.25</v>
      </c>
    </row>
    <row r="645" spans="1:33" x14ac:dyDescent="0.3">
      <c r="A645" s="1" t="s">
        <v>836</v>
      </c>
      <c r="B645" s="65" t="s">
        <v>20</v>
      </c>
      <c r="C645" s="78" t="s">
        <v>210</v>
      </c>
      <c r="D645" s="81" t="s">
        <v>672</v>
      </c>
      <c r="E645" s="86" t="s">
        <v>674</v>
      </c>
      <c r="F645" s="81" t="s">
        <v>41</v>
      </c>
      <c r="G645" s="65" t="s">
        <v>32</v>
      </c>
      <c r="H645" s="81" t="s">
        <v>42</v>
      </c>
      <c r="I645" s="27"/>
      <c r="J645" s="27"/>
      <c r="K645" s="27">
        <v>1267.95</v>
      </c>
      <c r="L645" s="27"/>
      <c r="M645" s="27"/>
      <c r="N645" s="27"/>
      <c r="O645" s="27"/>
      <c r="P645" s="27"/>
      <c r="Q645" s="27"/>
      <c r="R645" s="27"/>
      <c r="S645" s="27"/>
      <c r="T645" s="27"/>
      <c r="U645" s="27">
        <f t="shared" si="211"/>
        <v>1267.95</v>
      </c>
      <c r="V645" s="82"/>
      <c r="W645"/>
      <c r="X645" s="87"/>
      <c r="Y645" s="8"/>
      <c r="Z645"/>
      <c r="AA645"/>
      <c r="AB645"/>
      <c r="AD645" s="42" t="str">
        <f>C645&amp;A645</f>
        <v>CERTIFICACAO/QUALIDADEOper</v>
      </c>
      <c r="AE645" s="42" t="str">
        <f>IFERROR(VLOOKUP(C645,[34]Planilha1!$B:$C,2,0),"Não se Aplica")</f>
        <v>Sim</v>
      </c>
      <c r="AF645" s="42" t="str">
        <f>VLOOKUP(AD645,[34]Planilha1!$H:$J,3,0)</f>
        <v>Não</v>
      </c>
      <c r="AG645" s="43">
        <f t="shared" si="210"/>
        <v>1267.95</v>
      </c>
    </row>
    <row r="646" spans="1:33" x14ac:dyDescent="0.3">
      <c r="A646" s="1" t="s">
        <v>836</v>
      </c>
      <c r="B646" s="65" t="s">
        <v>28</v>
      </c>
      <c r="C646" s="78" t="s">
        <v>210</v>
      </c>
      <c r="D646" s="81" t="s">
        <v>672</v>
      </c>
      <c r="E646" s="86" t="s">
        <v>674</v>
      </c>
      <c r="F646" s="81" t="s">
        <v>41</v>
      </c>
      <c r="G646" s="65" t="s">
        <v>32</v>
      </c>
      <c r="H646" s="81" t="s">
        <v>42</v>
      </c>
      <c r="I646" s="27"/>
      <c r="J646" s="27"/>
      <c r="K646" s="27">
        <v>631.29999999999995</v>
      </c>
      <c r="L646" s="27"/>
      <c r="M646" s="27"/>
      <c r="N646" s="27"/>
      <c r="O646" s="27"/>
      <c r="P646" s="27"/>
      <c r="Q646" s="27"/>
      <c r="R646" s="27"/>
      <c r="S646" s="27"/>
      <c r="T646" s="27"/>
      <c r="U646" s="27">
        <f t="shared" si="211"/>
        <v>631.29999999999995</v>
      </c>
      <c r="W646"/>
      <c r="X646" s="87"/>
      <c r="Y646" s="8"/>
      <c r="Z646"/>
      <c r="AA646"/>
      <c r="AB646"/>
      <c r="AD646" s="42" t="str">
        <f>C646&amp;A646</f>
        <v>CERTIFICACAO/QUALIDADEOper</v>
      </c>
      <c r="AE646" s="42" t="str">
        <f>IFERROR(VLOOKUP(C646,[34]Planilha1!$B:$C,2,0),"Não se Aplica")</f>
        <v>Sim</v>
      </c>
      <c r="AF646" s="42" t="str">
        <f>VLOOKUP(AD646,[34]Planilha1!$H:$J,3,0)</f>
        <v>Não</v>
      </c>
      <c r="AG646" s="43">
        <f t="shared" si="210"/>
        <v>631.29999999999995</v>
      </c>
    </row>
    <row r="647" spans="1:33" x14ac:dyDescent="0.3">
      <c r="A647" s="1" t="s">
        <v>836</v>
      </c>
      <c r="B647" s="65" t="s">
        <v>28</v>
      </c>
      <c r="C647" s="78" t="s">
        <v>210</v>
      </c>
      <c r="D647" s="81" t="s">
        <v>672</v>
      </c>
      <c r="E647" s="86" t="s">
        <v>675</v>
      </c>
      <c r="F647" s="81" t="s">
        <v>41</v>
      </c>
      <c r="G647" s="65" t="s">
        <v>31</v>
      </c>
      <c r="H647" s="81" t="s">
        <v>42</v>
      </c>
      <c r="I647" s="27"/>
      <c r="J647" s="27"/>
      <c r="K647" s="27"/>
      <c r="L647" s="27">
        <v>670</v>
      </c>
      <c r="M647" s="27"/>
      <c r="N647" s="27"/>
      <c r="O647" s="27"/>
      <c r="P647" s="27"/>
      <c r="Q647" s="27"/>
      <c r="R647" s="27"/>
      <c r="S647" s="27"/>
      <c r="T647" s="27"/>
      <c r="U647" s="27">
        <f t="shared" si="211"/>
        <v>670</v>
      </c>
      <c r="V647" s="82"/>
      <c r="W647"/>
      <c r="X647" s="87"/>
      <c r="Y647" s="8"/>
      <c r="Z647"/>
      <c r="AA647"/>
      <c r="AB647"/>
      <c r="AD647" s="42" t="str">
        <f>C647&amp;A647</f>
        <v>CERTIFICACAO/QUALIDADEOper</v>
      </c>
      <c r="AE647" s="42" t="str">
        <f>IFERROR(VLOOKUP(C647,[34]Planilha1!$B:$C,2,0),"Não se Aplica")</f>
        <v>Sim</v>
      </c>
      <c r="AF647" s="42" t="str">
        <f>VLOOKUP(AD647,[34]Planilha1!$H:$J,3,0)</f>
        <v>Não</v>
      </c>
      <c r="AG647" s="43">
        <f t="shared" si="210"/>
        <v>670</v>
      </c>
    </row>
    <row r="648" spans="1:33" x14ac:dyDescent="0.3">
      <c r="A648" s="1" t="s">
        <v>836</v>
      </c>
      <c r="B648" s="65" t="s">
        <v>28</v>
      </c>
      <c r="C648" s="78" t="s">
        <v>210</v>
      </c>
      <c r="D648" s="81" t="s">
        <v>676</v>
      </c>
      <c r="E648" s="86" t="s">
        <v>674</v>
      </c>
      <c r="F648" s="81" t="s">
        <v>41</v>
      </c>
      <c r="G648" s="65" t="s">
        <v>32</v>
      </c>
      <c r="H648" s="81" t="s">
        <v>42</v>
      </c>
      <c r="I648" s="27"/>
      <c r="J648" s="27"/>
      <c r="K648" s="27">
        <v>96.3</v>
      </c>
      <c r="L648" s="27"/>
      <c r="M648" s="27"/>
      <c r="N648" s="27"/>
      <c r="O648" s="27"/>
      <c r="P648" s="27"/>
      <c r="Q648" s="27"/>
      <c r="R648" s="27"/>
      <c r="S648" s="27"/>
      <c r="T648" s="27"/>
      <c r="U648" s="27">
        <f t="shared" si="211"/>
        <v>96.3</v>
      </c>
      <c r="V648" s="82"/>
      <c r="W648"/>
      <c r="X648" s="87"/>
      <c r="Y648" s="8"/>
      <c r="Z648"/>
      <c r="AA648"/>
      <c r="AB648"/>
      <c r="AD648" s="42" t="str">
        <f>C648&amp;A648</f>
        <v>CERTIFICACAO/QUALIDADEOper</v>
      </c>
      <c r="AE648" s="42" t="str">
        <f>IFERROR(VLOOKUP(C648,[34]Planilha1!$B:$C,2,0),"Não se Aplica")</f>
        <v>Sim</v>
      </c>
      <c r="AF648" s="42" t="str">
        <f>VLOOKUP(AD648,[34]Planilha1!$H:$J,3,0)</f>
        <v>Não</v>
      </c>
      <c r="AG648" s="43">
        <f t="shared" si="210"/>
        <v>96.3</v>
      </c>
    </row>
    <row r="649" spans="1:33" x14ac:dyDescent="0.3">
      <c r="A649" s="1" t="s">
        <v>836</v>
      </c>
      <c r="B649" s="65" t="s">
        <v>28</v>
      </c>
      <c r="C649" s="78" t="s">
        <v>210</v>
      </c>
      <c r="D649" s="81" t="s">
        <v>677</v>
      </c>
      <c r="E649" s="86" t="s">
        <v>678</v>
      </c>
      <c r="F649" s="81" t="s">
        <v>41</v>
      </c>
      <c r="G649" s="65" t="s">
        <v>27</v>
      </c>
      <c r="H649" s="81" t="s">
        <v>42</v>
      </c>
      <c r="I649" s="27"/>
      <c r="J649" s="27"/>
      <c r="K649" s="27"/>
      <c r="L649" s="27"/>
      <c r="M649" s="27"/>
      <c r="N649" s="27"/>
      <c r="O649" s="27"/>
      <c r="P649" s="27">
        <v>326.47840000000002</v>
      </c>
      <c r="Q649" s="27"/>
      <c r="R649" s="27"/>
      <c r="S649" s="27"/>
      <c r="T649" s="27"/>
      <c r="U649" s="27">
        <f t="shared" si="211"/>
        <v>326.47840000000002</v>
      </c>
      <c r="V649" s="82"/>
      <c r="W649"/>
      <c r="X649" s="87"/>
      <c r="Y649" s="8"/>
      <c r="Z649"/>
      <c r="AA649"/>
      <c r="AB649"/>
      <c r="AD649" s="42" t="str">
        <f>C649&amp;A649</f>
        <v>CERTIFICACAO/QUALIDADEOper</v>
      </c>
      <c r="AE649" s="42" t="str">
        <f>IFERROR(VLOOKUP(C649,[34]Planilha1!$B:$C,2,0),"Não se Aplica")</f>
        <v>Sim</v>
      </c>
      <c r="AF649" s="42" t="str">
        <f>VLOOKUP(AD649,[34]Planilha1!$H:$J,3,0)</f>
        <v>Não</v>
      </c>
      <c r="AG649" s="43">
        <f t="shared" si="210"/>
        <v>326.47840000000002</v>
      </c>
    </row>
    <row r="650" spans="1:33" x14ac:dyDescent="0.3">
      <c r="A650" s="1" t="s">
        <v>836</v>
      </c>
      <c r="B650" s="65" t="s">
        <v>20</v>
      </c>
      <c r="C650" s="78" t="s">
        <v>210</v>
      </c>
      <c r="D650" s="81" t="s">
        <v>679</v>
      </c>
      <c r="E650" s="86" t="s">
        <v>214</v>
      </c>
      <c r="F650" s="81" t="s">
        <v>41</v>
      </c>
      <c r="G650" s="65" t="s">
        <v>32</v>
      </c>
      <c r="H650" s="81" t="s">
        <v>42</v>
      </c>
      <c r="I650" s="27"/>
      <c r="J650" s="27"/>
      <c r="K650" s="27">
        <v>468.66</v>
      </c>
      <c r="L650" s="27">
        <v>959.1694</v>
      </c>
      <c r="M650" s="27"/>
      <c r="N650" s="27"/>
      <c r="O650" s="27"/>
      <c r="P650" s="27"/>
      <c r="Q650" s="27"/>
      <c r="R650" s="27"/>
      <c r="S650" s="27"/>
      <c r="T650" s="27"/>
      <c r="U650" s="27">
        <f t="shared" si="211"/>
        <v>1427.8294000000001</v>
      </c>
      <c r="V650" s="82"/>
      <c r="W650"/>
      <c r="X650" s="87"/>
      <c r="Y650" s="8"/>
      <c r="Z650"/>
      <c r="AA650"/>
      <c r="AB650"/>
      <c r="AD650" s="42" t="str">
        <f>C650&amp;A650</f>
        <v>CERTIFICACAO/QUALIDADEOper</v>
      </c>
      <c r="AE650" s="42" t="str">
        <f>IFERROR(VLOOKUP(C650,[34]Planilha1!$B:$C,2,0),"Não se Aplica")</f>
        <v>Sim</v>
      </c>
      <c r="AF650" s="42" t="str">
        <f>VLOOKUP(AD650,[34]Planilha1!$H:$J,3,0)</f>
        <v>Não</v>
      </c>
      <c r="AG650" s="43">
        <f t="shared" si="210"/>
        <v>1427.8294000000001</v>
      </c>
    </row>
    <row r="651" spans="1:33" x14ac:dyDescent="0.3">
      <c r="A651" s="1" t="s">
        <v>836</v>
      </c>
      <c r="B651" s="65" t="s">
        <v>28</v>
      </c>
      <c r="C651" s="78" t="s">
        <v>210</v>
      </c>
      <c r="D651" s="81" t="s">
        <v>680</v>
      </c>
      <c r="E651" s="86" t="s">
        <v>674</v>
      </c>
      <c r="F651" s="81" t="s">
        <v>41</v>
      </c>
      <c r="G651" s="65" t="s">
        <v>33</v>
      </c>
      <c r="H651" s="81" t="s">
        <v>42</v>
      </c>
      <c r="I651" s="27"/>
      <c r="J651" s="27"/>
      <c r="K651" s="27"/>
      <c r="L651" s="27"/>
      <c r="M651" s="27"/>
      <c r="N651" s="27"/>
      <c r="O651" s="27"/>
      <c r="P651" s="27"/>
      <c r="Q651" s="27"/>
      <c r="R651" s="27">
        <v>500</v>
      </c>
      <c r="S651" s="27"/>
      <c r="T651" s="27"/>
      <c r="U651" s="27">
        <f t="shared" si="211"/>
        <v>500</v>
      </c>
      <c r="V651" s="82"/>
      <c r="W651"/>
      <c r="X651" s="87"/>
      <c r="Y651" s="8"/>
      <c r="Z651"/>
      <c r="AA651"/>
      <c r="AB651"/>
      <c r="AD651" s="42" t="str">
        <f>C651&amp;A651</f>
        <v>CERTIFICACAO/QUALIDADEOper</v>
      </c>
      <c r="AE651" s="42" t="str">
        <f>IFERROR(VLOOKUP(C651,[34]Planilha1!$B:$C,2,0),"Não se Aplica")</f>
        <v>Sim</v>
      </c>
      <c r="AF651" s="42" t="str">
        <f>VLOOKUP(AD651,[34]Planilha1!$H:$J,3,0)</f>
        <v>Não</v>
      </c>
      <c r="AG651" s="43">
        <f t="shared" si="210"/>
        <v>500</v>
      </c>
    </row>
    <row r="652" spans="1:33" x14ac:dyDescent="0.3">
      <c r="A652" s="1" t="s">
        <v>836</v>
      </c>
      <c r="B652" s="65" t="s">
        <v>28</v>
      </c>
      <c r="C652" s="78" t="s">
        <v>210</v>
      </c>
      <c r="D652" s="81" t="s">
        <v>681</v>
      </c>
      <c r="E652" s="86" t="s">
        <v>674</v>
      </c>
      <c r="F652" s="81" t="s">
        <v>41</v>
      </c>
      <c r="G652" s="65" t="s">
        <v>27</v>
      </c>
      <c r="H652" s="81" t="s">
        <v>42</v>
      </c>
      <c r="I652" s="27"/>
      <c r="J652" s="27"/>
      <c r="K652" s="27"/>
      <c r="L652" s="27"/>
      <c r="M652" s="27"/>
      <c r="N652" s="27"/>
      <c r="O652" s="27">
        <v>770</v>
      </c>
      <c r="P652" s="27"/>
      <c r="Q652" s="27"/>
      <c r="R652" s="27"/>
      <c r="S652" s="27"/>
      <c r="T652" s="27"/>
      <c r="U652" s="27">
        <f t="shared" si="211"/>
        <v>770</v>
      </c>
      <c r="V652" s="82"/>
      <c r="W652"/>
      <c r="X652" s="87"/>
      <c r="Y652" s="8"/>
      <c r="Z652"/>
      <c r="AA652"/>
      <c r="AB652"/>
      <c r="AD652" s="42" t="str">
        <f>C652&amp;A652</f>
        <v>CERTIFICACAO/QUALIDADEOper</v>
      </c>
      <c r="AE652" s="42" t="str">
        <f>IFERROR(VLOOKUP(C652,[34]Planilha1!$B:$C,2,0),"Não se Aplica")</f>
        <v>Sim</v>
      </c>
      <c r="AF652" s="42" t="str">
        <f>VLOOKUP(AD652,[34]Planilha1!$H:$J,3,0)</f>
        <v>Não</v>
      </c>
      <c r="AG652" s="43">
        <f t="shared" si="210"/>
        <v>770</v>
      </c>
    </row>
    <row r="653" spans="1:33" x14ac:dyDescent="0.3">
      <c r="A653" s="1" t="s">
        <v>836</v>
      </c>
      <c r="B653" s="65" t="s">
        <v>28</v>
      </c>
      <c r="C653" s="78" t="s">
        <v>210</v>
      </c>
      <c r="D653" s="81" t="s">
        <v>681</v>
      </c>
      <c r="E653" s="86" t="s">
        <v>674</v>
      </c>
      <c r="F653" s="81" t="s">
        <v>41</v>
      </c>
      <c r="G653" s="65" t="s">
        <v>31</v>
      </c>
      <c r="H653" s="81" t="s">
        <v>42</v>
      </c>
      <c r="I653" s="27"/>
      <c r="J653" s="27"/>
      <c r="K653" s="27"/>
      <c r="L653" s="27"/>
      <c r="M653" s="27"/>
      <c r="N653" s="27"/>
      <c r="O653" s="27"/>
      <c r="P653" s="27"/>
      <c r="Q653" s="27">
        <v>318.86</v>
      </c>
      <c r="R653" s="27"/>
      <c r="S653" s="27"/>
      <c r="T653" s="27"/>
      <c r="U653" s="27">
        <f t="shared" si="211"/>
        <v>318.86</v>
      </c>
      <c r="V653" s="82"/>
      <c r="W653"/>
      <c r="X653" s="87"/>
      <c r="Y653" s="8"/>
      <c r="Z653"/>
      <c r="AA653"/>
      <c r="AB653"/>
      <c r="AD653" s="42" t="str">
        <f>C653&amp;A653</f>
        <v>CERTIFICACAO/QUALIDADEOper</v>
      </c>
      <c r="AE653" s="42" t="str">
        <f>IFERROR(VLOOKUP(C653,[34]Planilha1!$B:$C,2,0),"Não se Aplica")</f>
        <v>Sim</v>
      </c>
      <c r="AF653" s="42" t="str">
        <f>VLOOKUP(AD653,[34]Planilha1!$H:$J,3,0)</f>
        <v>Não</v>
      </c>
      <c r="AG653" s="43">
        <f t="shared" si="210"/>
        <v>318.86</v>
      </c>
    </row>
    <row r="654" spans="1:33" x14ac:dyDescent="0.3">
      <c r="A654" s="1" t="s">
        <v>836</v>
      </c>
      <c r="B654" s="65" t="s">
        <v>20</v>
      </c>
      <c r="C654" s="78" t="s">
        <v>210</v>
      </c>
      <c r="D654" s="81" t="s">
        <v>682</v>
      </c>
      <c r="E654" s="86" t="s">
        <v>674</v>
      </c>
      <c r="F654" s="81" t="s">
        <v>41</v>
      </c>
      <c r="G654" s="65" t="s">
        <v>27</v>
      </c>
      <c r="H654" s="81" t="s">
        <v>42</v>
      </c>
      <c r="I654" s="27"/>
      <c r="J654" s="27">
        <v>135.88999999999999</v>
      </c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>
        <f t="shared" si="211"/>
        <v>135.88999999999999</v>
      </c>
      <c r="V654" s="82"/>
      <c r="W654"/>
      <c r="X654" s="87"/>
      <c r="Y654" s="8"/>
      <c r="Z654"/>
      <c r="AA654"/>
      <c r="AB654"/>
      <c r="AD654" s="42" t="str">
        <f>C654&amp;A654</f>
        <v>CERTIFICACAO/QUALIDADEOper</v>
      </c>
      <c r="AE654" s="42" t="str">
        <f>IFERROR(VLOOKUP(C654,[34]Planilha1!$B:$C,2,0),"Não se Aplica")</f>
        <v>Sim</v>
      </c>
      <c r="AF654" s="42" t="str">
        <f>VLOOKUP(AD654,[34]Planilha1!$H:$J,3,0)</f>
        <v>Não</v>
      </c>
      <c r="AG654" s="43">
        <f t="shared" si="210"/>
        <v>135.88999999999999</v>
      </c>
    </row>
    <row r="655" spans="1:33" x14ac:dyDescent="0.3">
      <c r="A655" s="1" t="s">
        <v>836</v>
      </c>
      <c r="B655" s="65" t="s">
        <v>28</v>
      </c>
      <c r="C655" s="78" t="s">
        <v>210</v>
      </c>
      <c r="D655" s="81" t="s">
        <v>683</v>
      </c>
      <c r="E655" s="86" t="s">
        <v>674</v>
      </c>
      <c r="F655" s="81" t="s">
        <v>41</v>
      </c>
      <c r="G655" s="65" t="s">
        <v>90</v>
      </c>
      <c r="H655" s="81" t="s">
        <v>42</v>
      </c>
      <c r="I655" s="27"/>
      <c r="J655" s="27">
        <v>321</v>
      </c>
      <c r="K655" s="27"/>
      <c r="L655" s="27"/>
      <c r="M655" s="27"/>
      <c r="N655" s="27"/>
      <c r="O655" s="27"/>
      <c r="P655" s="27">
        <v>321</v>
      </c>
      <c r="Q655" s="27"/>
      <c r="R655" s="27"/>
      <c r="S655" s="27"/>
      <c r="T655" s="27"/>
      <c r="U655" s="27">
        <f t="shared" si="211"/>
        <v>642</v>
      </c>
      <c r="V655" s="82"/>
      <c r="W655"/>
      <c r="X655" s="87"/>
      <c r="Y655" s="8"/>
      <c r="Z655"/>
      <c r="AA655"/>
      <c r="AB655"/>
      <c r="AD655" s="42" t="str">
        <f>C655&amp;A655</f>
        <v>CERTIFICACAO/QUALIDADEOper</v>
      </c>
      <c r="AE655" s="42" t="str">
        <f>IFERROR(VLOOKUP(C655,[34]Planilha1!$B:$C,2,0),"Não se Aplica")</f>
        <v>Sim</v>
      </c>
      <c r="AF655" s="42" t="str">
        <f>VLOOKUP(AD655,[34]Planilha1!$H:$J,3,0)</f>
        <v>Não</v>
      </c>
      <c r="AG655" s="43">
        <f t="shared" si="210"/>
        <v>642</v>
      </c>
    </row>
    <row r="656" spans="1:33" x14ac:dyDescent="0.3">
      <c r="A656" s="1" t="s">
        <v>836</v>
      </c>
      <c r="B656" s="65" t="s">
        <v>28</v>
      </c>
      <c r="C656" s="78" t="s">
        <v>210</v>
      </c>
      <c r="D656" s="81" t="s">
        <v>684</v>
      </c>
      <c r="E656" s="86" t="s">
        <v>674</v>
      </c>
      <c r="F656" s="81" t="s">
        <v>41</v>
      </c>
      <c r="G656" s="65" t="s">
        <v>32</v>
      </c>
      <c r="H656" s="81" t="s">
        <v>42</v>
      </c>
      <c r="I656" s="27">
        <v>511.995</v>
      </c>
      <c r="J656" s="27"/>
      <c r="K656" s="27"/>
      <c r="L656" s="27"/>
      <c r="M656" s="27"/>
      <c r="N656" s="27"/>
      <c r="O656" s="27"/>
      <c r="P656" s="27">
        <v>363.8</v>
      </c>
      <c r="Q656" s="27">
        <v>181.9</v>
      </c>
      <c r="R656" s="27"/>
      <c r="S656" s="27"/>
      <c r="T656" s="27"/>
      <c r="U656" s="27">
        <f t="shared" si="211"/>
        <v>1057.6950000000002</v>
      </c>
      <c r="V656" s="82"/>
      <c r="W656"/>
      <c r="X656" s="87"/>
      <c r="Y656" s="8"/>
      <c r="Z656"/>
      <c r="AA656"/>
      <c r="AB656"/>
      <c r="AD656" s="42" t="str">
        <f>C656&amp;A656</f>
        <v>CERTIFICACAO/QUALIDADEOper</v>
      </c>
      <c r="AE656" s="42" t="str">
        <f>IFERROR(VLOOKUP(C656,[34]Planilha1!$B:$C,2,0),"Não se Aplica")</f>
        <v>Sim</v>
      </c>
      <c r="AF656" s="42" t="str">
        <f>VLOOKUP(AD656,[34]Planilha1!$H:$J,3,0)</f>
        <v>Não</v>
      </c>
      <c r="AG656" s="43">
        <f t="shared" si="210"/>
        <v>1057.6950000000002</v>
      </c>
    </row>
    <row r="657" spans="1:33" x14ac:dyDescent="0.3">
      <c r="A657" s="1" t="s">
        <v>836</v>
      </c>
      <c r="B657" s="65" t="s">
        <v>20</v>
      </c>
      <c r="C657" s="78" t="s">
        <v>685</v>
      </c>
      <c r="D657" s="81" t="s">
        <v>686</v>
      </c>
      <c r="E657" s="86" t="s">
        <v>687</v>
      </c>
      <c r="F657" s="81" t="s">
        <v>41</v>
      </c>
      <c r="G657" s="65" t="s">
        <v>31</v>
      </c>
      <c r="H657" s="81" t="s">
        <v>42</v>
      </c>
      <c r="I657" s="27">
        <v>6456.8186999999998</v>
      </c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>
        <f t="shared" si="211"/>
        <v>6456.8186999999998</v>
      </c>
      <c r="V657" s="82"/>
      <c r="W657"/>
      <c r="X657" s="87"/>
      <c r="Y657" s="8"/>
      <c r="Z657"/>
      <c r="AA657"/>
      <c r="AB657"/>
      <c r="AD657" s="42" t="str">
        <f>C657&amp;A657</f>
        <v>IMPOSTOS/TAXAS FEDERAISOper</v>
      </c>
      <c r="AE657" s="42" t="str">
        <f>IFERROR(VLOOKUP(C657,[34]Planilha1!$B:$C,2,0),"Não se Aplica")</f>
        <v>Sim</v>
      </c>
      <c r="AF657" s="42" t="str">
        <f>VLOOKUP(AD657,[34]Planilha1!$H:$J,3,0)</f>
        <v>Não</v>
      </c>
      <c r="AG657" s="43">
        <f t="shared" si="210"/>
        <v>6456.8186999999998</v>
      </c>
    </row>
    <row r="658" spans="1:33" x14ac:dyDescent="0.3">
      <c r="A658" s="1" t="s">
        <v>836</v>
      </c>
      <c r="B658" s="65" t="s">
        <v>20</v>
      </c>
      <c r="C658" s="78" t="s">
        <v>685</v>
      </c>
      <c r="D658" s="81" t="s">
        <v>686</v>
      </c>
      <c r="E658" s="86" t="s">
        <v>687</v>
      </c>
      <c r="F658" s="81" t="s">
        <v>41</v>
      </c>
      <c r="G658" s="65" t="s">
        <v>27</v>
      </c>
      <c r="H658" s="81" t="s">
        <v>42</v>
      </c>
      <c r="I658" s="27">
        <v>4035.5371000000005</v>
      </c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>
        <f t="shared" si="211"/>
        <v>4035.5371000000005</v>
      </c>
      <c r="V658" s="82"/>
      <c r="W658"/>
      <c r="X658" s="87"/>
      <c r="Y658" s="8"/>
      <c r="Z658"/>
      <c r="AA658"/>
      <c r="AB658"/>
      <c r="AD658" s="42" t="str">
        <f>C658&amp;A658</f>
        <v>IMPOSTOS/TAXAS FEDERAISOper</v>
      </c>
      <c r="AE658" s="42" t="str">
        <f>IFERROR(VLOOKUP(C658,[34]Planilha1!$B:$C,2,0),"Não se Aplica")</f>
        <v>Sim</v>
      </c>
      <c r="AF658" s="42" t="str">
        <f>VLOOKUP(AD658,[34]Planilha1!$H:$J,3,0)</f>
        <v>Não</v>
      </c>
      <c r="AG658" s="43">
        <f t="shared" si="210"/>
        <v>4035.5371000000005</v>
      </c>
    </row>
    <row r="659" spans="1:33" x14ac:dyDescent="0.3">
      <c r="A659" s="1" t="s">
        <v>836</v>
      </c>
      <c r="B659" s="65" t="s">
        <v>20</v>
      </c>
      <c r="C659" s="78" t="s">
        <v>685</v>
      </c>
      <c r="D659" s="81" t="s">
        <v>686</v>
      </c>
      <c r="E659" s="86" t="s">
        <v>687</v>
      </c>
      <c r="F659" s="81" t="s">
        <v>41</v>
      </c>
      <c r="G659" s="65" t="s">
        <v>32</v>
      </c>
      <c r="H659" s="81" t="s">
        <v>42</v>
      </c>
      <c r="I659" s="27">
        <v>6456.8186999999998</v>
      </c>
      <c r="J659" s="27"/>
      <c r="K659" s="27"/>
      <c r="L659" s="27"/>
      <c r="M659" s="27"/>
      <c r="N659" s="27">
        <v>158.95920000000001</v>
      </c>
      <c r="O659" s="27"/>
      <c r="P659" s="27"/>
      <c r="Q659" s="27"/>
      <c r="R659" s="27"/>
      <c r="S659" s="27"/>
      <c r="T659" s="27"/>
      <c r="U659" s="27">
        <f t="shared" si="211"/>
        <v>6615.7779</v>
      </c>
      <c r="V659" s="82"/>
      <c r="W659"/>
      <c r="X659" s="87"/>
      <c r="Y659" s="8"/>
      <c r="Z659"/>
      <c r="AA659"/>
      <c r="AB659"/>
      <c r="AD659" s="42" t="str">
        <f>C659&amp;A659</f>
        <v>IMPOSTOS/TAXAS FEDERAISOper</v>
      </c>
      <c r="AE659" s="42" t="str">
        <f>IFERROR(VLOOKUP(C659,[34]Planilha1!$B:$C,2,0),"Não se Aplica")</f>
        <v>Sim</v>
      </c>
      <c r="AF659" s="42" t="str">
        <f>VLOOKUP(AD659,[34]Planilha1!$H:$J,3,0)</f>
        <v>Não</v>
      </c>
      <c r="AG659" s="43">
        <f t="shared" si="210"/>
        <v>6615.7779</v>
      </c>
    </row>
    <row r="660" spans="1:33" x14ac:dyDescent="0.3">
      <c r="A660" s="1" t="s">
        <v>836</v>
      </c>
      <c r="B660" s="65" t="s">
        <v>20</v>
      </c>
      <c r="C660" s="78" t="s">
        <v>685</v>
      </c>
      <c r="D660" s="81" t="s">
        <v>686</v>
      </c>
      <c r="E660" s="86" t="s">
        <v>687</v>
      </c>
      <c r="F660" s="81" t="s">
        <v>41</v>
      </c>
      <c r="G660" s="65" t="s">
        <v>32</v>
      </c>
      <c r="H660" s="81" t="s">
        <v>42</v>
      </c>
      <c r="I660" s="27">
        <v>6456.8186999999998</v>
      </c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>
        <f t="shared" si="211"/>
        <v>6456.8186999999998</v>
      </c>
      <c r="V660" s="82"/>
      <c r="W660"/>
      <c r="X660" s="87"/>
      <c r="Y660" s="8"/>
      <c r="Z660"/>
      <c r="AA660"/>
      <c r="AB660"/>
      <c r="AD660" s="42" t="str">
        <f>C660&amp;A660</f>
        <v>IMPOSTOS/TAXAS FEDERAISOper</v>
      </c>
      <c r="AE660" s="42" t="str">
        <f>IFERROR(VLOOKUP(C660,[34]Planilha1!$B:$C,2,0),"Não se Aplica")</f>
        <v>Sim</v>
      </c>
      <c r="AF660" s="42" t="str">
        <f>VLOOKUP(AD660,[34]Planilha1!$H:$J,3,0)</f>
        <v>Não</v>
      </c>
      <c r="AG660" s="43">
        <f t="shared" si="210"/>
        <v>6456.8186999999998</v>
      </c>
    </row>
    <row r="661" spans="1:33" x14ac:dyDescent="0.3">
      <c r="A661" s="1" t="s">
        <v>836</v>
      </c>
      <c r="B661" s="65" t="s">
        <v>20</v>
      </c>
      <c r="C661" s="78" t="s">
        <v>685</v>
      </c>
      <c r="D661" s="81" t="s">
        <v>686</v>
      </c>
      <c r="E661" s="86" t="s">
        <v>687</v>
      </c>
      <c r="F661" s="81" t="s">
        <v>41</v>
      </c>
      <c r="G661" s="65" t="s">
        <v>32</v>
      </c>
      <c r="H661" s="81" t="s">
        <v>42</v>
      </c>
      <c r="I661" s="27">
        <v>807.09029999999996</v>
      </c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>
        <f t="shared" si="211"/>
        <v>807.09029999999996</v>
      </c>
      <c r="V661" s="82"/>
      <c r="W661"/>
      <c r="X661" s="87"/>
      <c r="Y661" s="8"/>
      <c r="Z661"/>
      <c r="AA661"/>
      <c r="AB661"/>
      <c r="AD661" s="42" t="str">
        <f>C661&amp;A661</f>
        <v>IMPOSTOS/TAXAS FEDERAISOper</v>
      </c>
      <c r="AE661" s="42" t="str">
        <f>IFERROR(VLOOKUP(C661,[34]Planilha1!$B:$C,2,0),"Não se Aplica")</f>
        <v>Sim</v>
      </c>
      <c r="AF661" s="42" t="str">
        <f>VLOOKUP(AD661,[34]Planilha1!$H:$J,3,0)</f>
        <v>Não</v>
      </c>
      <c r="AG661" s="43">
        <f t="shared" si="210"/>
        <v>807.09029999999996</v>
      </c>
    </row>
    <row r="662" spans="1:33" x14ac:dyDescent="0.3">
      <c r="A662" s="1" t="s">
        <v>836</v>
      </c>
      <c r="B662" s="65" t="s">
        <v>28</v>
      </c>
      <c r="C662" s="78" t="s">
        <v>685</v>
      </c>
      <c r="D662" s="81" t="s">
        <v>686</v>
      </c>
      <c r="E662" s="86" t="s">
        <v>687</v>
      </c>
      <c r="F662" s="81" t="s">
        <v>41</v>
      </c>
      <c r="G662" s="65" t="s">
        <v>32</v>
      </c>
      <c r="H662" s="81" t="s">
        <v>42</v>
      </c>
      <c r="I662" s="27">
        <v>6456.8186999999998</v>
      </c>
      <c r="J662" s="27"/>
      <c r="K662" s="27"/>
      <c r="L662" s="27"/>
      <c r="M662" s="27"/>
      <c r="N662" s="27"/>
      <c r="O662" s="27">
        <v>52.986400000000003</v>
      </c>
      <c r="P662" s="27"/>
      <c r="Q662" s="27"/>
      <c r="R662" s="27"/>
      <c r="S662" s="27"/>
      <c r="T662" s="27"/>
      <c r="U662" s="27">
        <f t="shared" si="211"/>
        <v>6509.8050999999996</v>
      </c>
      <c r="V662" s="82"/>
      <c r="W662"/>
      <c r="X662" s="87"/>
      <c r="Y662" s="8"/>
      <c r="Z662"/>
      <c r="AA662"/>
      <c r="AB662"/>
      <c r="AD662" s="42" t="str">
        <f>C662&amp;A662</f>
        <v>IMPOSTOS/TAXAS FEDERAISOper</v>
      </c>
      <c r="AE662" s="42" t="str">
        <f>IFERROR(VLOOKUP(C662,[34]Planilha1!$B:$C,2,0),"Não se Aplica")</f>
        <v>Sim</v>
      </c>
      <c r="AF662" s="42" t="str">
        <f>VLOOKUP(AD662,[34]Planilha1!$H:$J,3,0)</f>
        <v>Não</v>
      </c>
      <c r="AG662" s="43">
        <f t="shared" si="210"/>
        <v>6509.8050999999996</v>
      </c>
    </row>
    <row r="663" spans="1:33" x14ac:dyDescent="0.3">
      <c r="A663" s="1" t="s">
        <v>836</v>
      </c>
      <c r="B663" s="65" t="s">
        <v>28</v>
      </c>
      <c r="C663" s="78" t="s">
        <v>685</v>
      </c>
      <c r="D663" s="81" t="s">
        <v>686</v>
      </c>
      <c r="E663" s="86" t="s">
        <v>687</v>
      </c>
      <c r="F663" s="81" t="s">
        <v>41</v>
      </c>
      <c r="G663" s="65" t="s">
        <v>32</v>
      </c>
      <c r="H663" s="81" t="s">
        <v>42</v>
      </c>
      <c r="I663" s="27">
        <v>860.07669999999996</v>
      </c>
      <c r="J663" s="27"/>
      <c r="K663" s="27"/>
      <c r="L663" s="27"/>
      <c r="M663" s="27"/>
      <c r="N663" s="27">
        <v>26.493200000000002</v>
      </c>
      <c r="O663" s="27">
        <v>52.986400000000003</v>
      </c>
      <c r="P663" s="27"/>
      <c r="Q663" s="27"/>
      <c r="R663" s="27"/>
      <c r="S663" s="27"/>
      <c r="T663" s="27"/>
      <c r="U663" s="27">
        <f t="shared" si="211"/>
        <v>939.55629999999996</v>
      </c>
      <c r="V663" s="82"/>
      <c r="W663"/>
      <c r="X663" s="87"/>
      <c r="Y663" s="8"/>
      <c r="Z663"/>
      <c r="AA663"/>
      <c r="AB663"/>
      <c r="AD663" s="42" t="str">
        <f>C663&amp;A663</f>
        <v>IMPOSTOS/TAXAS FEDERAISOper</v>
      </c>
      <c r="AE663" s="42" t="str">
        <f>IFERROR(VLOOKUP(C663,[34]Planilha1!$B:$C,2,0),"Não se Aplica")</f>
        <v>Sim</v>
      </c>
      <c r="AF663" s="42" t="str">
        <f>VLOOKUP(AD663,[34]Planilha1!$H:$J,3,0)</f>
        <v>Não</v>
      </c>
      <c r="AG663" s="43">
        <f t="shared" si="210"/>
        <v>939.55629999999996</v>
      </c>
    </row>
    <row r="664" spans="1:33" x14ac:dyDescent="0.3">
      <c r="A664" s="1" t="s">
        <v>836</v>
      </c>
      <c r="B664" s="65" t="s">
        <v>28</v>
      </c>
      <c r="C664" s="78" t="s">
        <v>685</v>
      </c>
      <c r="D664" s="81" t="s">
        <v>686</v>
      </c>
      <c r="E664" s="86" t="s">
        <v>687</v>
      </c>
      <c r="F664" s="81" t="s">
        <v>41</v>
      </c>
      <c r="G664" s="65" t="s">
        <v>29</v>
      </c>
      <c r="H664" s="81" t="s">
        <v>42</v>
      </c>
      <c r="I664" s="27">
        <v>1614.2126999999998</v>
      </c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>
        <f t="shared" si="211"/>
        <v>1614.2126999999998</v>
      </c>
      <c r="V664" s="82"/>
      <c r="W664"/>
      <c r="X664" s="87"/>
      <c r="Y664" s="8"/>
      <c r="Z664"/>
      <c r="AA664"/>
      <c r="AB664"/>
      <c r="AD664" s="42" t="str">
        <f>C664&amp;A664</f>
        <v>IMPOSTOS/TAXAS FEDERAISOper</v>
      </c>
      <c r="AE664" s="42" t="str">
        <f>IFERROR(VLOOKUP(C664,[34]Planilha1!$B:$C,2,0),"Não se Aplica")</f>
        <v>Sim</v>
      </c>
      <c r="AF664" s="42" t="str">
        <f>VLOOKUP(AD664,[34]Planilha1!$H:$J,3,0)</f>
        <v>Não</v>
      </c>
      <c r="AG664" s="43">
        <f t="shared" si="210"/>
        <v>1614.2126999999998</v>
      </c>
    </row>
    <row r="665" spans="1:33" x14ac:dyDescent="0.3">
      <c r="A665" s="1" t="s">
        <v>836</v>
      </c>
      <c r="B665" s="65" t="s">
        <v>28</v>
      </c>
      <c r="C665" s="78" t="s">
        <v>685</v>
      </c>
      <c r="D665" s="81" t="s">
        <v>686</v>
      </c>
      <c r="E665" s="86" t="s">
        <v>687</v>
      </c>
      <c r="F665" s="81" t="s">
        <v>41</v>
      </c>
      <c r="G665" s="65" t="s">
        <v>30</v>
      </c>
      <c r="H665" s="81" t="s">
        <v>42</v>
      </c>
      <c r="I665" s="27">
        <v>807.09029999999996</v>
      </c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>
        <f t="shared" si="211"/>
        <v>807.09029999999996</v>
      </c>
      <c r="V665" s="82"/>
      <c r="W665"/>
      <c r="X665" s="87"/>
      <c r="Y665" s="8"/>
      <c r="Z665"/>
      <c r="AA665"/>
      <c r="AB665"/>
      <c r="AD665" s="42" t="str">
        <f>C665&amp;A665</f>
        <v>IMPOSTOS/TAXAS FEDERAISOper</v>
      </c>
      <c r="AE665" s="42" t="str">
        <f>IFERROR(VLOOKUP(C665,[34]Planilha1!$B:$C,2,0),"Não se Aplica")</f>
        <v>Sim</v>
      </c>
      <c r="AF665" s="42" t="str">
        <f>VLOOKUP(AD665,[34]Planilha1!$H:$J,3,0)</f>
        <v>Não</v>
      </c>
      <c r="AG665" s="43">
        <f t="shared" si="210"/>
        <v>807.09029999999996</v>
      </c>
    </row>
    <row r="666" spans="1:33" x14ac:dyDescent="0.3">
      <c r="A666" s="1" t="s">
        <v>836</v>
      </c>
      <c r="B666" s="65" t="s">
        <v>28</v>
      </c>
      <c r="C666" s="78" t="s">
        <v>685</v>
      </c>
      <c r="D666" s="81" t="s">
        <v>686</v>
      </c>
      <c r="E666" s="86" t="s">
        <v>687</v>
      </c>
      <c r="F666" s="81" t="s">
        <v>41</v>
      </c>
      <c r="G666" s="65" t="s">
        <v>100</v>
      </c>
      <c r="H666" s="81" t="s">
        <v>42</v>
      </c>
      <c r="I666" s="27">
        <v>807.09029999999996</v>
      </c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>
        <f t="shared" si="211"/>
        <v>807.09029999999996</v>
      </c>
      <c r="V666" s="82"/>
      <c r="W666"/>
      <c r="X666" s="87"/>
      <c r="Y666" s="8"/>
      <c r="Z666"/>
      <c r="AA666"/>
      <c r="AB666"/>
      <c r="AD666" s="42" t="str">
        <f>C666&amp;A666</f>
        <v>IMPOSTOS/TAXAS FEDERAISOper</v>
      </c>
      <c r="AE666" s="42" t="str">
        <f>IFERROR(VLOOKUP(C666,[34]Planilha1!$B:$C,2,0),"Não se Aplica")</f>
        <v>Sim</v>
      </c>
      <c r="AF666" s="42" t="str">
        <f>VLOOKUP(AD666,[34]Planilha1!$H:$J,3,0)</f>
        <v>Não</v>
      </c>
      <c r="AG666" s="43">
        <f t="shared" si="210"/>
        <v>807.09029999999996</v>
      </c>
    </row>
    <row r="667" spans="1:33" x14ac:dyDescent="0.3">
      <c r="A667" s="1" t="s">
        <v>836</v>
      </c>
      <c r="B667" s="65" t="s">
        <v>28</v>
      </c>
      <c r="C667" s="78" t="s">
        <v>685</v>
      </c>
      <c r="D667" s="81" t="s">
        <v>686</v>
      </c>
      <c r="E667" s="86" t="s">
        <v>687</v>
      </c>
      <c r="F667" s="81" t="s">
        <v>41</v>
      </c>
      <c r="G667" s="65" t="s">
        <v>31</v>
      </c>
      <c r="H667" s="81" t="s">
        <v>42</v>
      </c>
      <c r="I667" s="27">
        <v>6456.8186999999998</v>
      </c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>
        <f t="shared" si="211"/>
        <v>6456.8186999999998</v>
      </c>
      <c r="V667" s="82"/>
      <c r="W667"/>
      <c r="X667" s="87"/>
      <c r="Y667" s="8"/>
      <c r="Z667"/>
      <c r="AA667"/>
      <c r="AB667"/>
      <c r="AD667" s="42" t="str">
        <f>C667&amp;A667</f>
        <v>IMPOSTOS/TAXAS FEDERAISOper</v>
      </c>
      <c r="AE667" s="42" t="str">
        <f>IFERROR(VLOOKUP(C667,[34]Planilha1!$B:$C,2,0),"Não se Aplica")</f>
        <v>Sim</v>
      </c>
      <c r="AF667" s="42" t="str">
        <f>VLOOKUP(AD667,[34]Planilha1!$H:$J,3,0)</f>
        <v>Não</v>
      </c>
      <c r="AG667" s="43">
        <f t="shared" si="210"/>
        <v>6456.8186999999998</v>
      </c>
    </row>
    <row r="668" spans="1:33" x14ac:dyDescent="0.3">
      <c r="A668" s="1" t="s">
        <v>836</v>
      </c>
      <c r="B668" s="65" t="s">
        <v>28</v>
      </c>
      <c r="C668" s="78" t="s">
        <v>685</v>
      </c>
      <c r="D668" s="81" t="s">
        <v>686</v>
      </c>
      <c r="E668" s="86" t="s">
        <v>687</v>
      </c>
      <c r="F668" s="81" t="s">
        <v>41</v>
      </c>
      <c r="G668" s="65" t="s">
        <v>90</v>
      </c>
      <c r="H668" s="81" t="s">
        <v>42</v>
      </c>
      <c r="I668" s="27">
        <v>807.09029999999996</v>
      </c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>
        <f t="shared" si="211"/>
        <v>807.09029999999996</v>
      </c>
      <c r="V668" s="82"/>
      <c r="W668"/>
      <c r="X668" s="87"/>
      <c r="Y668" s="8"/>
      <c r="Z668"/>
      <c r="AA668"/>
      <c r="AB668"/>
      <c r="AD668" s="42" t="str">
        <f>C668&amp;A668</f>
        <v>IMPOSTOS/TAXAS FEDERAISOper</v>
      </c>
      <c r="AE668" s="42" t="str">
        <f>IFERROR(VLOOKUP(C668,[34]Planilha1!$B:$C,2,0),"Não se Aplica")</f>
        <v>Sim</v>
      </c>
      <c r="AF668" s="42" t="str">
        <f>VLOOKUP(AD668,[34]Planilha1!$H:$J,3,0)</f>
        <v>Não</v>
      </c>
      <c r="AG668" s="43">
        <f t="shared" si="210"/>
        <v>807.09029999999996</v>
      </c>
    </row>
    <row r="669" spans="1:33" x14ac:dyDescent="0.3">
      <c r="A669" s="1" t="s">
        <v>836</v>
      </c>
      <c r="B669" s="65" t="s">
        <v>28</v>
      </c>
      <c r="C669" s="78" t="s">
        <v>685</v>
      </c>
      <c r="D669" s="81" t="s">
        <v>686</v>
      </c>
      <c r="E669" s="86" t="s">
        <v>687</v>
      </c>
      <c r="F669" s="81" t="s">
        <v>41</v>
      </c>
      <c r="G669" s="65" t="s">
        <v>27</v>
      </c>
      <c r="H669" s="81" t="s">
        <v>42</v>
      </c>
      <c r="I669" s="27">
        <v>6456.8186999999998</v>
      </c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>
        <f t="shared" si="211"/>
        <v>6456.8186999999998</v>
      </c>
      <c r="V669" s="82"/>
      <c r="W669"/>
      <c r="X669" s="87"/>
      <c r="Y669" s="8"/>
      <c r="Z669"/>
      <c r="AA669"/>
      <c r="AB669"/>
      <c r="AD669" s="42" t="str">
        <f>C669&amp;A669</f>
        <v>IMPOSTOS/TAXAS FEDERAISOper</v>
      </c>
      <c r="AE669" s="42" t="str">
        <f>IFERROR(VLOOKUP(C669,[34]Planilha1!$B:$C,2,0),"Não se Aplica")</f>
        <v>Sim</v>
      </c>
      <c r="AF669" s="42" t="str">
        <f>VLOOKUP(AD669,[34]Planilha1!$H:$J,3,0)</f>
        <v>Não</v>
      </c>
      <c r="AG669" s="43">
        <f t="shared" si="210"/>
        <v>6456.8186999999998</v>
      </c>
    </row>
    <row r="670" spans="1:33" x14ac:dyDescent="0.3">
      <c r="A670" s="1" t="s">
        <v>836</v>
      </c>
      <c r="B670" s="65" t="s">
        <v>28</v>
      </c>
      <c r="C670" s="78" t="s">
        <v>685</v>
      </c>
      <c r="D670" s="81" t="s">
        <v>686</v>
      </c>
      <c r="E670" s="86" t="s">
        <v>687</v>
      </c>
      <c r="F670" s="81" t="s">
        <v>41</v>
      </c>
      <c r="G670" s="65" t="s">
        <v>33</v>
      </c>
      <c r="H670" s="81" t="s">
        <v>42</v>
      </c>
      <c r="I670" s="27">
        <v>807.09029999999996</v>
      </c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>
        <f t="shared" si="211"/>
        <v>807.09029999999996</v>
      </c>
      <c r="V670" s="82"/>
      <c r="W670"/>
      <c r="X670" s="87"/>
      <c r="Y670" s="8"/>
      <c r="Z670"/>
      <c r="AA670"/>
      <c r="AB670"/>
      <c r="AD670" s="42" t="str">
        <f>C670&amp;A670</f>
        <v>IMPOSTOS/TAXAS FEDERAISOper</v>
      </c>
      <c r="AE670" s="42" t="str">
        <f>IFERROR(VLOOKUP(C670,[34]Planilha1!$B:$C,2,0),"Não se Aplica")</f>
        <v>Sim</v>
      </c>
      <c r="AF670" s="42" t="str">
        <f>VLOOKUP(AD670,[34]Planilha1!$H:$J,3,0)</f>
        <v>Não</v>
      </c>
      <c r="AG670" s="43">
        <f t="shared" si="210"/>
        <v>807.09029999999996</v>
      </c>
    </row>
    <row r="671" spans="1:33" x14ac:dyDescent="0.3">
      <c r="A671" s="1" t="s">
        <v>836</v>
      </c>
      <c r="B671" s="65" t="s">
        <v>20</v>
      </c>
      <c r="C671" s="78" t="s">
        <v>685</v>
      </c>
      <c r="D671" s="81" t="s">
        <v>688</v>
      </c>
      <c r="E671" s="86" t="s">
        <v>689</v>
      </c>
      <c r="F671" s="81" t="s">
        <v>41</v>
      </c>
      <c r="G671" s="65" t="s">
        <v>32</v>
      </c>
      <c r="H671" s="81" t="s">
        <v>42</v>
      </c>
      <c r="I671" s="27">
        <v>2008.1759999999999</v>
      </c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>
        <f t="shared" si="211"/>
        <v>2008.1759999999999</v>
      </c>
      <c r="V671" s="82"/>
      <c r="W671"/>
      <c r="X671" s="87"/>
      <c r="Y671" s="8"/>
      <c r="Z671"/>
      <c r="AA671"/>
      <c r="AB671"/>
      <c r="AD671" s="42" t="str">
        <f>C671&amp;A671</f>
        <v>IMPOSTOS/TAXAS FEDERAISOper</v>
      </c>
      <c r="AE671" s="42" t="str">
        <f>IFERROR(VLOOKUP(C671,[34]Planilha1!$B:$C,2,0),"Não se Aplica")</f>
        <v>Sim</v>
      </c>
      <c r="AF671" s="42" t="str">
        <f>VLOOKUP(AD671,[34]Planilha1!$H:$J,3,0)</f>
        <v>Não</v>
      </c>
      <c r="AG671" s="43">
        <f t="shared" si="210"/>
        <v>2008.1759999999999</v>
      </c>
    </row>
    <row r="672" spans="1:33" x14ac:dyDescent="0.3">
      <c r="A672" s="1" t="s">
        <v>836</v>
      </c>
      <c r="B672" s="65" t="s">
        <v>20</v>
      </c>
      <c r="C672" s="78" t="s">
        <v>496</v>
      </c>
      <c r="D672" s="81" t="s">
        <v>690</v>
      </c>
      <c r="E672" s="86" t="s">
        <v>674</v>
      </c>
      <c r="F672" s="81" t="s">
        <v>41</v>
      </c>
      <c r="G672" s="65" t="s">
        <v>32</v>
      </c>
      <c r="H672" s="81" t="s">
        <v>42</v>
      </c>
      <c r="I672" s="27">
        <v>3119.05</v>
      </c>
      <c r="J672" s="27"/>
      <c r="K672" s="27">
        <v>4586.0200000000004</v>
      </c>
      <c r="L672" s="27"/>
      <c r="M672" s="27"/>
      <c r="N672" s="27"/>
      <c r="O672" s="27"/>
      <c r="P672" s="27"/>
      <c r="Q672" s="27"/>
      <c r="R672" s="27"/>
      <c r="S672" s="27">
        <v>1070</v>
      </c>
      <c r="T672" s="27">
        <v>1070</v>
      </c>
      <c r="U672" s="27">
        <f t="shared" si="211"/>
        <v>9845.07</v>
      </c>
      <c r="V672" s="82"/>
      <c r="W672"/>
      <c r="X672" s="87"/>
      <c r="Y672" s="8"/>
      <c r="Z672"/>
      <c r="AA672"/>
      <c r="AB672"/>
      <c r="AD672" s="42" t="str">
        <f>C672&amp;A672</f>
        <v>VIAGENSOper</v>
      </c>
      <c r="AE672" s="42" t="str">
        <f>IFERROR(VLOOKUP(C672,[34]Planilha1!$B:$C,2,0),"Não se Aplica")</f>
        <v>Sim</v>
      </c>
      <c r="AF672" s="42" t="str">
        <f>VLOOKUP(AD672,[34]Planilha1!$H:$J,3,0)</f>
        <v>Não</v>
      </c>
      <c r="AG672" s="43">
        <f t="shared" si="210"/>
        <v>9845.07</v>
      </c>
    </row>
    <row r="673" spans="1:33" x14ac:dyDescent="0.3">
      <c r="A673" s="1" t="s">
        <v>836</v>
      </c>
      <c r="B673" s="65" t="s">
        <v>28</v>
      </c>
      <c r="C673" s="78" t="s">
        <v>496</v>
      </c>
      <c r="D673" s="81" t="s">
        <v>690</v>
      </c>
      <c r="E673" s="86" t="s">
        <v>674</v>
      </c>
      <c r="F673" s="81" t="s">
        <v>41</v>
      </c>
      <c r="G673" s="65" t="s">
        <v>32</v>
      </c>
      <c r="H673" s="81" t="s">
        <v>42</v>
      </c>
      <c r="I673" s="27"/>
      <c r="J673" s="27">
        <v>3000</v>
      </c>
      <c r="K673" s="27"/>
      <c r="L673" s="27">
        <v>3000</v>
      </c>
      <c r="M673" s="27">
        <v>3000</v>
      </c>
      <c r="N673" s="27"/>
      <c r="O673" s="27">
        <v>3000</v>
      </c>
      <c r="P673" s="27">
        <v>3000</v>
      </c>
      <c r="Q673" s="27"/>
      <c r="R673" s="27">
        <v>3000</v>
      </c>
      <c r="S673" s="27"/>
      <c r="T673" s="27"/>
      <c r="U673" s="27">
        <f t="shared" si="211"/>
        <v>18000</v>
      </c>
      <c r="V673" s="82"/>
      <c r="W673"/>
      <c r="X673" s="87"/>
      <c r="Y673" s="8"/>
      <c r="Z673"/>
      <c r="AA673"/>
      <c r="AB673"/>
      <c r="AD673" s="42" t="str">
        <f>C673&amp;A673</f>
        <v>VIAGENSOper</v>
      </c>
      <c r="AE673" s="42" t="str">
        <f>IFERROR(VLOOKUP(C673,[34]Planilha1!$B:$C,2,0),"Não se Aplica")</f>
        <v>Sim</v>
      </c>
      <c r="AF673" s="42" t="str">
        <f>VLOOKUP(AD673,[34]Planilha1!$H:$J,3,0)</f>
        <v>Não</v>
      </c>
      <c r="AG673" s="43">
        <f t="shared" si="210"/>
        <v>18000</v>
      </c>
    </row>
    <row r="674" spans="1:33" x14ac:dyDescent="0.3">
      <c r="A674" s="1" t="s">
        <v>836</v>
      </c>
      <c r="B674" s="65" t="s">
        <v>28</v>
      </c>
      <c r="C674" s="78" t="s">
        <v>496</v>
      </c>
      <c r="D674" s="81" t="s">
        <v>691</v>
      </c>
      <c r="E674" s="86" t="s">
        <v>674</v>
      </c>
      <c r="F674" s="81" t="s">
        <v>41</v>
      </c>
      <c r="G674" s="65" t="s">
        <v>32</v>
      </c>
      <c r="H674" s="81" t="s">
        <v>42</v>
      </c>
      <c r="I674" s="27"/>
      <c r="J674" s="27">
        <v>3000</v>
      </c>
      <c r="K674" s="27"/>
      <c r="L674" s="27">
        <v>3000</v>
      </c>
      <c r="M674" s="27">
        <v>3000</v>
      </c>
      <c r="N674" s="27"/>
      <c r="O674" s="27">
        <v>3000</v>
      </c>
      <c r="P674" s="27">
        <v>3000</v>
      </c>
      <c r="Q674" s="27"/>
      <c r="R674" s="27">
        <v>3000</v>
      </c>
      <c r="S674" s="27"/>
      <c r="T674" s="27"/>
      <c r="U674" s="27">
        <f t="shared" si="211"/>
        <v>18000</v>
      </c>
      <c r="V674" s="82"/>
      <c r="W674"/>
      <c r="X674" s="87"/>
      <c r="Y674" s="8"/>
      <c r="Z674"/>
      <c r="AA674"/>
      <c r="AB674"/>
      <c r="AD674" s="42" t="str">
        <f>C674&amp;A674</f>
        <v>VIAGENSOper</v>
      </c>
      <c r="AE674" s="42" t="str">
        <f>IFERROR(VLOOKUP(C674,[34]Planilha1!$B:$C,2,0),"Não se Aplica")</f>
        <v>Sim</v>
      </c>
      <c r="AF674" s="42" t="str">
        <f>VLOOKUP(AD674,[34]Planilha1!$H:$J,3,0)</f>
        <v>Não</v>
      </c>
      <c r="AG674" s="43">
        <f t="shared" si="210"/>
        <v>18000</v>
      </c>
    </row>
    <row r="675" spans="1:33" x14ac:dyDescent="0.3">
      <c r="A675" s="1" t="s">
        <v>836</v>
      </c>
      <c r="B675" s="65" t="s">
        <v>28</v>
      </c>
      <c r="C675" s="78" t="s">
        <v>685</v>
      </c>
      <c r="D675" s="81" t="s">
        <v>692</v>
      </c>
      <c r="E675" s="86" t="s">
        <v>693</v>
      </c>
      <c r="F675" s="81" t="s">
        <v>41</v>
      </c>
      <c r="G675" s="65" t="s">
        <v>32</v>
      </c>
      <c r="H675" s="81" t="s">
        <v>42</v>
      </c>
      <c r="I675" s="27"/>
      <c r="J675" s="27"/>
      <c r="K675" s="27"/>
      <c r="L675" s="27"/>
      <c r="M675" s="27"/>
      <c r="N675" s="27"/>
      <c r="O675" s="27">
        <v>535</v>
      </c>
      <c r="P675" s="27"/>
      <c r="Q675" s="27"/>
      <c r="R675" s="27"/>
      <c r="S675" s="27"/>
      <c r="T675" s="27"/>
      <c r="U675" s="27">
        <f t="shared" si="211"/>
        <v>535</v>
      </c>
      <c r="V675" s="82"/>
      <c r="W675"/>
      <c r="X675" s="87"/>
      <c r="Y675" s="8"/>
      <c r="Z675"/>
      <c r="AA675"/>
      <c r="AB675"/>
      <c r="AD675" s="42" t="str">
        <f>C675&amp;A675</f>
        <v>IMPOSTOS/TAXAS FEDERAISOper</v>
      </c>
      <c r="AE675" s="42" t="str">
        <f>IFERROR(VLOOKUP(C675,[34]Planilha1!$B:$C,2,0),"Não se Aplica")</f>
        <v>Sim</v>
      </c>
      <c r="AF675" s="42" t="str">
        <f>VLOOKUP(AD675,[34]Planilha1!$H:$J,3,0)</f>
        <v>Não</v>
      </c>
      <c r="AG675" s="43">
        <f t="shared" si="210"/>
        <v>535</v>
      </c>
    </row>
    <row r="676" spans="1:33" x14ac:dyDescent="0.3">
      <c r="A676" s="1" t="s">
        <v>836</v>
      </c>
      <c r="B676" s="65" t="s">
        <v>28</v>
      </c>
      <c r="C676" s="78" t="s">
        <v>685</v>
      </c>
      <c r="D676" s="81" t="s">
        <v>694</v>
      </c>
      <c r="E676" s="86" t="s">
        <v>695</v>
      </c>
      <c r="F676" s="81" t="s">
        <v>41</v>
      </c>
      <c r="G676" s="65" t="s">
        <v>29</v>
      </c>
      <c r="H676" s="81" t="s">
        <v>42</v>
      </c>
      <c r="I676" s="27"/>
      <c r="J676" s="27"/>
      <c r="K676" s="27">
        <v>6202.5010999999995</v>
      </c>
      <c r="L676" s="27"/>
      <c r="M676" s="27"/>
      <c r="N676" s="27">
        <v>6202.5010999999995</v>
      </c>
      <c r="O676" s="27"/>
      <c r="P676" s="27"/>
      <c r="Q676" s="27">
        <v>6202.5010999999995</v>
      </c>
      <c r="R676" s="27"/>
      <c r="S676" s="27"/>
      <c r="T676" s="27">
        <v>6450.6011439999993</v>
      </c>
      <c r="U676" s="27">
        <f t="shared" si="211"/>
        <v>25058.104443999997</v>
      </c>
      <c r="V676" s="82"/>
      <c r="W676"/>
      <c r="X676" s="87"/>
      <c r="Y676" s="8"/>
      <c r="Z676"/>
      <c r="AA676"/>
      <c r="AB676"/>
      <c r="AD676" s="42" t="str">
        <f>C676&amp;A676</f>
        <v>IMPOSTOS/TAXAS FEDERAISOper</v>
      </c>
      <c r="AE676" s="42" t="str">
        <f>IFERROR(VLOOKUP(C676,[34]Planilha1!$B:$C,2,0),"Não se Aplica")</f>
        <v>Sim</v>
      </c>
      <c r="AF676" s="42" t="str">
        <f>VLOOKUP(AD676,[34]Planilha1!$H:$J,3,0)</f>
        <v>Não</v>
      </c>
      <c r="AG676" s="43">
        <f t="shared" si="210"/>
        <v>25058.104443999997</v>
      </c>
    </row>
    <row r="677" spans="1:33" x14ac:dyDescent="0.3">
      <c r="A677" s="1" t="s">
        <v>836</v>
      </c>
      <c r="B677" s="65" t="s">
        <v>28</v>
      </c>
      <c r="C677" s="78" t="s">
        <v>685</v>
      </c>
      <c r="D677" s="81" t="s">
        <v>694</v>
      </c>
      <c r="E677" s="86" t="s">
        <v>695</v>
      </c>
      <c r="F677" s="81" t="s">
        <v>41</v>
      </c>
      <c r="G677" s="65" t="s">
        <v>32</v>
      </c>
      <c r="H677" s="81" t="s">
        <v>42</v>
      </c>
      <c r="I677" s="27"/>
      <c r="J677" s="27"/>
      <c r="K677" s="27">
        <v>6202.5010999999995</v>
      </c>
      <c r="L677" s="27"/>
      <c r="M677" s="27"/>
      <c r="N677" s="27">
        <v>6202.5010999999995</v>
      </c>
      <c r="O677" s="27"/>
      <c r="P677" s="27"/>
      <c r="Q677" s="27">
        <v>6202.5010999999995</v>
      </c>
      <c r="R677" s="27"/>
      <c r="S677" s="27"/>
      <c r="T677" s="27">
        <v>6450.6011439999993</v>
      </c>
      <c r="U677" s="27">
        <f t="shared" si="211"/>
        <v>25058.104443999997</v>
      </c>
      <c r="V677" s="82"/>
      <c r="W677"/>
      <c r="X677" s="87"/>
      <c r="Y677" s="8"/>
      <c r="Z677"/>
      <c r="AA677"/>
      <c r="AB677"/>
      <c r="AD677" s="42" t="str">
        <f>C677&amp;A677</f>
        <v>IMPOSTOS/TAXAS FEDERAISOper</v>
      </c>
      <c r="AE677" s="42" t="str">
        <f>IFERROR(VLOOKUP(C677,[34]Planilha1!$B:$C,2,0),"Não se Aplica")</f>
        <v>Sim</v>
      </c>
      <c r="AF677" s="42" t="str">
        <f>VLOOKUP(AD677,[34]Planilha1!$H:$J,3,0)</f>
        <v>Não</v>
      </c>
      <c r="AG677" s="43">
        <f t="shared" si="210"/>
        <v>25058.104443999997</v>
      </c>
    </row>
    <row r="678" spans="1:33" x14ac:dyDescent="0.3">
      <c r="A678" s="1" t="s">
        <v>836</v>
      </c>
      <c r="B678" s="65" t="s">
        <v>28</v>
      </c>
      <c r="C678" s="78" t="s">
        <v>685</v>
      </c>
      <c r="D678" s="81" t="s">
        <v>694</v>
      </c>
      <c r="E678" s="86" t="s">
        <v>695</v>
      </c>
      <c r="F678" s="81" t="s">
        <v>41</v>
      </c>
      <c r="G678" s="65" t="s">
        <v>30</v>
      </c>
      <c r="H678" s="81" t="s">
        <v>42</v>
      </c>
      <c r="I678" s="27"/>
      <c r="J678" s="27"/>
      <c r="K678" s="27">
        <v>6202.5010999999995</v>
      </c>
      <c r="L678" s="27"/>
      <c r="M678" s="27"/>
      <c r="N678" s="27">
        <v>6202.5010999999995</v>
      </c>
      <c r="O678" s="27"/>
      <c r="P678" s="27"/>
      <c r="Q678" s="27">
        <v>6202.5010999999995</v>
      </c>
      <c r="R678" s="27"/>
      <c r="S678" s="27"/>
      <c r="T678" s="27">
        <v>6450.6011439999993</v>
      </c>
      <c r="U678" s="27">
        <f t="shared" si="211"/>
        <v>25058.104443999997</v>
      </c>
      <c r="V678" s="82"/>
      <c r="W678"/>
      <c r="X678" s="87"/>
      <c r="Y678" s="8"/>
      <c r="Z678"/>
      <c r="AA678"/>
      <c r="AB678"/>
      <c r="AD678" s="42" t="str">
        <f>C678&amp;A678</f>
        <v>IMPOSTOS/TAXAS FEDERAISOper</v>
      </c>
      <c r="AE678" s="42" t="str">
        <f>IFERROR(VLOOKUP(C678,[34]Planilha1!$B:$C,2,0),"Não se Aplica")</f>
        <v>Sim</v>
      </c>
      <c r="AF678" s="42" t="str">
        <f>VLOOKUP(AD678,[34]Planilha1!$H:$J,3,0)</f>
        <v>Não</v>
      </c>
      <c r="AG678" s="43">
        <f t="shared" si="210"/>
        <v>25058.104443999997</v>
      </c>
    </row>
    <row r="679" spans="1:33" x14ac:dyDescent="0.3">
      <c r="A679" s="1" t="s">
        <v>836</v>
      </c>
      <c r="B679" s="65" t="s">
        <v>28</v>
      </c>
      <c r="C679" s="78" t="s">
        <v>685</v>
      </c>
      <c r="D679" s="81" t="s">
        <v>694</v>
      </c>
      <c r="E679" s="86" t="s">
        <v>695</v>
      </c>
      <c r="F679" s="81" t="s">
        <v>41</v>
      </c>
      <c r="G679" s="65" t="s">
        <v>31</v>
      </c>
      <c r="H679" s="81" t="s">
        <v>42</v>
      </c>
      <c r="I679" s="27"/>
      <c r="J679" s="27"/>
      <c r="K679" s="27">
        <v>6202.5010999999995</v>
      </c>
      <c r="L679" s="27"/>
      <c r="M679" s="27"/>
      <c r="N679" s="27">
        <v>6202.5010999999995</v>
      </c>
      <c r="O679" s="27"/>
      <c r="P679" s="27"/>
      <c r="Q679" s="27">
        <v>6202.5010999999995</v>
      </c>
      <c r="R679" s="27"/>
      <c r="S679" s="27"/>
      <c r="T679" s="27">
        <v>6450.6011439999993</v>
      </c>
      <c r="U679" s="27">
        <f t="shared" si="211"/>
        <v>25058.104443999997</v>
      </c>
      <c r="V679" s="82"/>
      <c r="W679"/>
      <c r="X679" s="87"/>
      <c r="Y679" s="8"/>
      <c r="Z679"/>
      <c r="AA679"/>
      <c r="AB679"/>
      <c r="AD679" s="42" t="str">
        <f>C679&amp;A679</f>
        <v>IMPOSTOS/TAXAS FEDERAISOper</v>
      </c>
      <c r="AE679" s="42" t="str">
        <f>IFERROR(VLOOKUP(C679,[34]Planilha1!$B:$C,2,0),"Não se Aplica")</f>
        <v>Sim</v>
      </c>
      <c r="AF679" s="42" t="str">
        <f>VLOOKUP(AD679,[34]Planilha1!$H:$J,3,0)</f>
        <v>Não</v>
      </c>
      <c r="AG679" s="43">
        <f t="shared" si="210"/>
        <v>25058.104443999997</v>
      </c>
    </row>
    <row r="680" spans="1:33" x14ac:dyDescent="0.3">
      <c r="A680" s="1" t="s">
        <v>836</v>
      </c>
      <c r="B680" s="65" t="s">
        <v>28</v>
      </c>
      <c r="C680" s="78" t="s">
        <v>685</v>
      </c>
      <c r="D680" s="81" t="s">
        <v>694</v>
      </c>
      <c r="E680" s="86" t="s">
        <v>695</v>
      </c>
      <c r="F680" s="81" t="s">
        <v>41</v>
      </c>
      <c r="G680" s="65" t="s">
        <v>90</v>
      </c>
      <c r="H680" s="81" t="s">
        <v>42</v>
      </c>
      <c r="I680" s="27"/>
      <c r="J680" s="27"/>
      <c r="K680" s="27">
        <v>6202.5010999999995</v>
      </c>
      <c r="L680" s="27"/>
      <c r="M680" s="27"/>
      <c r="N680" s="27">
        <v>6202.5010999999995</v>
      </c>
      <c r="O680" s="27"/>
      <c r="P680" s="27"/>
      <c r="Q680" s="27">
        <v>6202.5010999999995</v>
      </c>
      <c r="R680" s="27"/>
      <c r="S680" s="27"/>
      <c r="T680" s="27">
        <v>6450.6011439999993</v>
      </c>
      <c r="U680" s="27">
        <f t="shared" si="211"/>
        <v>25058.104443999997</v>
      </c>
      <c r="V680" s="82"/>
      <c r="W680"/>
      <c r="X680" s="87"/>
      <c r="Y680" s="8"/>
      <c r="Z680"/>
      <c r="AA680"/>
      <c r="AB680"/>
      <c r="AD680" s="42" t="str">
        <f>C680&amp;A680</f>
        <v>IMPOSTOS/TAXAS FEDERAISOper</v>
      </c>
      <c r="AE680" s="42" t="str">
        <f>IFERROR(VLOOKUP(C680,[34]Planilha1!$B:$C,2,0),"Não se Aplica")</f>
        <v>Sim</v>
      </c>
      <c r="AF680" s="42" t="str">
        <f>VLOOKUP(AD680,[34]Planilha1!$H:$J,3,0)</f>
        <v>Não</v>
      </c>
      <c r="AG680" s="43">
        <f t="shared" si="210"/>
        <v>25058.104443999997</v>
      </c>
    </row>
    <row r="681" spans="1:33" x14ac:dyDescent="0.3">
      <c r="A681" s="1" t="s">
        <v>836</v>
      </c>
      <c r="B681" s="65" t="s">
        <v>28</v>
      </c>
      <c r="C681" s="78" t="s">
        <v>685</v>
      </c>
      <c r="D681" s="81" t="s">
        <v>694</v>
      </c>
      <c r="E681" s="86" t="s">
        <v>695</v>
      </c>
      <c r="F681" s="81" t="s">
        <v>41</v>
      </c>
      <c r="G681" s="65" t="s">
        <v>27</v>
      </c>
      <c r="H681" s="81" t="s">
        <v>42</v>
      </c>
      <c r="I681" s="27"/>
      <c r="J681" s="27"/>
      <c r="K681" s="27">
        <v>6202.5010999999995</v>
      </c>
      <c r="L681" s="27"/>
      <c r="M681" s="27"/>
      <c r="N681" s="27">
        <v>6202.5010999999995</v>
      </c>
      <c r="O681" s="27"/>
      <c r="P681" s="27"/>
      <c r="Q681" s="27">
        <v>6202.5010999999995</v>
      </c>
      <c r="R681" s="27"/>
      <c r="S681" s="27"/>
      <c r="T681" s="27">
        <v>6450.6011439999993</v>
      </c>
      <c r="U681" s="27">
        <f t="shared" si="211"/>
        <v>25058.104443999997</v>
      </c>
      <c r="V681" s="82"/>
      <c r="W681"/>
      <c r="X681" s="87"/>
      <c r="Y681" s="8"/>
      <c r="Z681"/>
      <c r="AA681"/>
      <c r="AB681"/>
      <c r="AD681" s="42" t="str">
        <f>C681&amp;A681</f>
        <v>IMPOSTOS/TAXAS FEDERAISOper</v>
      </c>
      <c r="AE681" s="42" t="str">
        <f>IFERROR(VLOOKUP(C681,[34]Planilha1!$B:$C,2,0),"Não se Aplica")</f>
        <v>Sim</v>
      </c>
      <c r="AF681" s="42" t="str">
        <f>VLOOKUP(AD681,[34]Planilha1!$H:$J,3,0)</f>
        <v>Não</v>
      </c>
      <c r="AG681" s="43">
        <f t="shared" si="210"/>
        <v>25058.104443999997</v>
      </c>
    </row>
    <row r="682" spans="1:33" x14ac:dyDescent="0.3">
      <c r="A682" s="1" t="s">
        <v>836</v>
      </c>
      <c r="B682" s="65" t="s">
        <v>28</v>
      </c>
      <c r="C682" s="78" t="s">
        <v>685</v>
      </c>
      <c r="D682" s="81" t="s">
        <v>694</v>
      </c>
      <c r="E682" s="86" t="s">
        <v>695</v>
      </c>
      <c r="F682" s="81" t="s">
        <v>41</v>
      </c>
      <c r="G682" s="65" t="s">
        <v>33</v>
      </c>
      <c r="H682" s="81" t="s">
        <v>42</v>
      </c>
      <c r="I682" s="27"/>
      <c r="J682" s="27"/>
      <c r="K682" s="27">
        <v>6202.5010999999995</v>
      </c>
      <c r="L682" s="27"/>
      <c r="M682" s="27"/>
      <c r="N682" s="27">
        <v>6202.5010999999995</v>
      </c>
      <c r="O682" s="27"/>
      <c r="P682" s="27"/>
      <c r="Q682" s="27">
        <v>6202.5010999999995</v>
      </c>
      <c r="R682" s="27"/>
      <c r="S682" s="27"/>
      <c r="T682" s="27">
        <v>6450.6011439999993</v>
      </c>
      <c r="U682" s="27">
        <f t="shared" si="211"/>
        <v>25058.104443999997</v>
      </c>
      <c r="V682" s="82"/>
      <c r="W682"/>
      <c r="X682" s="87"/>
      <c r="Y682" s="8"/>
      <c r="Z682"/>
      <c r="AA682"/>
      <c r="AB682"/>
      <c r="AD682" s="42" t="str">
        <f>C682&amp;A682</f>
        <v>IMPOSTOS/TAXAS FEDERAISOper</v>
      </c>
      <c r="AE682" s="42" t="str">
        <f>IFERROR(VLOOKUP(C682,[34]Planilha1!$B:$C,2,0),"Não se Aplica")</f>
        <v>Sim</v>
      </c>
      <c r="AF682" s="42" t="str">
        <f>VLOOKUP(AD682,[34]Planilha1!$H:$J,3,0)</f>
        <v>Não</v>
      </c>
      <c r="AG682" s="43">
        <f t="shared" si="210"/>
        <v>25058.104443999997</v>
      </c>
    </row>
    <row r="683" spans="1:33" x14ac:dyDescent="0.3">
      <c r="A683" s="1" t="s">
        <v>836</v>
      </c>
      <c r="B683" s="65" t="s">
        <v>28</v>
      </c>
      <c r="C683" s="78" t="s">
        <v>685</v>
      </c>
      <c r="D683" s="81" t="s">
        <v>696</v>
      </c>
      <c r="E683" s="86" t="s">
        <v>697</v>
      </c>
      <c r="F683" s="81" t="s">
        <v>41</v>
      </c>
      <c r="G683" s="65" t="s">
        <v>32</v>
      </c>
      <c r="H683" s="81" t="s">
        <v>42</v>
      </c>
      <c r="I683" s="27"/>
      <c r="J683" s="27">
        <v>22000</v>
      </c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>
        <f t="shared" si="211"/>
        <v>22000</v>
      </c>
      <c r="V683" s="82"/>
      <c r="W683"/>
      <c r="X683" s="87"/>
      <c r="Y683" s="8"/>
      <c r="Z683"/>
      <c r="AA683"/>
      <c r="AB683"/>
      <c r="AD683" s="42" t="str">
        <f>C683&amp;A683</f>
        <v>IMPOSTOS/TAXAS FEDERAISOper</v>
      </c>
      <c r="AE683" s="42" t="str">
        <f>IFERROR(VLOOKUP(C683,[34]Planilha1!$B:$C,2,0),"Não se Aplica")</f>
        <v>Sim</v>
      </c>
      <c r="AF683" s="42" t="str">
        <f>VLOOKUP(AD683,[34]Planilha1!$H:$J,3,0)</f>
        <v>Não</v>
      </c>
      <c r="AG683" s="43">
        <f t="shared" si="210"/>
        <v>22000</v>
      </c>
    </row>
    <row r="684" spans="1:33" x14ac:dyDescent="0.3">
      <c r="A684" s="1" t="s">
        <v>836</v>
      </c>
      <c r="B684" s="65" t="s">
        <v>28</v>
      </c>
      <c r="C684" s="78" t="s">
        <v>685</v>
      </c>
      <c r="D684" s="81" t="s">
        <v>698</v>
      </c>
      <c r="E684" s="86" t="s">
        <v>699</v>
      </c>
      <c r="F684" s="81" t="s">
        <v>41</v>
      </c>
      <c r="G684" s="65" t="s">
        <v>31</v>
      </c>
      <c r="H684" s="81" t="s">
        <v>42</v>
      </c>
      <c r="I684" s="27">
        <v>2169.96</v>
      </c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>
        <f t="shared" si="211"/>
        <v>2169.96</v>
      </c>
      <c r="V684" s="82"/>
      <c r="W684"/>
      <c r="X684" s="87"/>
      <c r="Y684" s="8"/>
      <c r="Z684"/>
      <c r="AA684"/>
      <c r="AB684"/>
      <c r="AD684" s="42" t="str">
        <f>C684&amp;A684</f>
        <v>IMPOSTOS/TAXAS FEDERAISOper</v>
      </c>
      <c r="AE684" s="42" t="str">
        <f>IFERROR(VLOOKUP(C684,[34]Planilha1!$B:$C,2,0),"Não se Aplica")</f>
        <v>Sim</v>
      </c>
      <c r="AF684" s="42" t="str">
        <f>VLOOKUP(AD684,[34]Planilha1!$H:$J,3,0)</f>
        <v>Não</v>
      </c>
      <c r="AG684" s="43">
        <f t="shared" si="210"/>
        <v>2169.96</v>
      </c>
    </row>
    <row r="685" spans="1:33" x14ac:dyDescent="0.3">
      <c r="A685" s="1" t="s">
        <v>836</v>
      </c>
      <c r="B685" s="65" t="s">
        <v>28</v>
      </c>
      <c r="C685" s="78" t="s">
        <v>685</v>
      </c>
      <c r="D685" s="81" t="s">
        <v>698</v>
      </c>
      <c r="E685" s="86" t="s">
        <v>700</v>
      </c>
      <c r="F685" s="81" t="s">
        <v>41</v>
      </c>
      <c r="G685" s="65" t="s">
        <v>27</v>
      </c>
      <c r="H685" s="81" t="s">
        <v>42</v>
      </c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>
        <v>7789.6</v>
      </c>
      <c r="T685" s="27"/>
      <c r="U685" s="27">
        <f t="shared" si="211"/>
        <v>7789.6</v>
      </c>
      <c r="W685"/>
      <c r="X685" s="87"/>
      <c r="Y685" s="8"/>
      <c r="Z685"/>
      <c r="AA685"/>
      <c r="AB685"/>
      <c r="AD685" s="42" t="str">
        <f>C685&amp;A685</f>
        <v>IMPOSTOS/TAXAS FEDERAISOper</v>
      </c>
      <c r="AE685" s="42" t="str">
        <f>IFERROR(VLOOKUP(C685,[34]Planilha1!$B:$C,2,0),"Não se Aplica")</f>
        <v>Sim</v>
      </c>
      <c r="AF685" s="42" t="str">
        <f>VLOOKUP(AD685,[34]Planilha1!$H:$J,3,0)</f>
        <v>Não</v>
      </c>
      <c r="AG685" s="43">
        <f t="shared" si="210"/>
        <v>7789.6</v>
      </c>
    </row>
    <row r="686" spans="1:33" x14ac:dyDescent="0.3">
      <c r="A686" s="1" t="s">
        <v>836</v>
      </c>
      <c r="B686" s="65" t="s">
        <v>28</v>
      </c>
      <c r="C686" s="78" t="s">
        <v>57</v>
      </c>
      <c r="D686" s="81" t="s">
        <v>701</v>
      </c>
      <c r="E686" s="86" t="s">
        <v>702</v>
      </c>
      <c r="F686" s="81" t="s">
        <v>41</v>
      </c>
      <c r="G686" s="65" t="s">
        <v>30</v>
      </c>
      <c r="H686" s="81" t="s">
        <v>42</v>
      </c>
      <c r="I686" s="27"/>
      <c r="J686" s="27"/>
      <c r="K686" s="27"/>
      <c r="L686" s="27"/>
      <c r="M686" s="27"/>
      <c r="N686" s="27"/>
      <c r="O686" s="27"/>
      <c r="P686" s="27"/>
      <c r="Q686" s="27">
        <v>1444.5</v>
      </c>
      <c r="R686" s="27"/>
      <c r="S686" s="27"/>
      <c r="T686" s="27"/>
      <c r="U686" s="27">
        <f t="shared" si="211"/>
        <v>1444.5</v>
      </c>
      <c r="V686" s="82"/>
      <c r="W686"/>
      <c r="X686" s="87"/>
      <c r="Y686" s="8"/>
      <c r="Z686"/>
      <c r="AA686"/>
      <c r="AB686"/>
      <c r="AD686" s="42" t="str">
        <f>C686&amp;A686</f>
        <v>AUDITORIA/CONSULTORIAOper</v>
      </c>
      <c r="AE686" s="42" t="str">
        <f>IFERROR(VLOOKUP(C686,[34]Planilha1!$B:$C,2,0),"Não se Aplica")</f>
        <v>Sim</v>
      </c>
      <c r="AF686" s="42" t="str">
        <f>VLOOKUP(AD686,[34]Planilha1!$H:$J,3,0)</f>
        <v>Não</v>
      </c>
      <c r="AG686" s="43">
        <f t="shared" si="210"/>
        <v>1444.5</v>
      </c>
    </row>
    <row r="687" spans="1:33" x14ac:dyDescent="0.3">
      <c r="A687" s="1" t="s">
        <v>836</v>
      </c>
      <c r="B687" s="65" t="s">
        <v>20</v>
      </c>
      <c r="C687" s="78" t="s">
        <v>685</v>
      </c>
      <c r="D687" s="81" t="s">
        <v>703</v>
      </c>
      <c r="E687" s="86" t="s">
        <v>704</v>
      </c>
      <c r="F687" s="81" t="s">
        <v>41</v>
      </c>
      <c r="G687" s="65" t="s">
        <v>31</v>
      </c>
      <c r="H687" s="81" t="s">
        <v>42</v>
      </c>
      <c r="I687" s="27">
        <v>2912.54</v>
      </c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>
        <f t="shared" si="211"/>
        <v>2912.54</v>
      </c>
      <c r="V687" s="82"/>
      <c r="W687"/>
      <c r="X687" s="87"/>
      <c r="Y687" s="8"/>
      <c r="Z687"/>
      <c r="AA687"/>
      <c r="AB687"/>
      <c r="AD687" s="42" t="str">
        <f>C687&amp;A687</f>
        <v>IMPOSTOS/TAXAS FEDERAISOper</v>
      </c>
      <c r="AE687" s="42" t="str">
        <f>IFERROR(VLOOKUP(C687,[34]Planilha1!$B:$C,2,0),"Não se Aplica")</f>
        <v>Sim</v>
      </c>
      <c r="AF687" s="42" t="str">
        <f>VLOOKUP(AD687,[34]Planilha1!$H:$J,3,0)</f>
        <v>Não</v>
      </c>
      <c r="AG687" s="43">
        <f t="shared" si="210"/>
        <v>2912.54</v>
      </c>
    </row>
    <row r="688" spans="1:33" x14ac:dyDescent="0.3">
      <c r="A688" s="1" t="s">
        <v>836</v>
      </c>
      <c r="B688" s="65" t="s">
        <v>20</v>
      </c>
      <c r="C688" s="78" t="s">
        <v>685</v>
      </c>
      <c r="D688" s="81" t="s">
        <v>703</v>
      </c>
      <c r="E688" s="86" t="s">
        <v>704</v>
      </c>
      <c r="F688" s="81" t="s">
        <v>41</v>
      </c>
      <c r="G688" s="65" t="s">
        <v>27</v>
      </c>
      <c r="H688" s="81" t="s">
        <v>42</v>
      </c>
      <c r="I688" s="27">
        <v>4694.518</v>
      </c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>
        <f t="shared" si="211"/>
        <v>4694.518</v>
      </c>
      <c r="V688" s="82"/>
      <c r="W688"/>
      <c r="X688" s="87"/>
      <c r="Y688" s="8"/>
      <c r="Z688"/>
      <c r="AA688"/>
      <c r="AB688"/>
      <c r="AD688" s="42" t="str">
        <f>C688&amp;A688</f>
        <v>IMPOSTOS/TAXAS FEDERAISOper</v>
      </c>
      <c r="AE688" s="42" t="str">
        <f>IFERROR(VLOOKUP(C688,[34]Planilha1!$B:$C,2,0),"Não se Aplica")</f>
        <v>Sim</v>
      </c>
      <c r="AF688" s="42" t="str">
        <f>VLOOKUP(AD688,[34]Planilha1!$H:$J,3,0)</f>
        <v>Não</v>
      </c>
      <c r="AG688" s="43">
        <f t="shared" si="210"/>
        <v>4694.518</v>
      </c>
    </row>
    <row r="689" spans="1:33" x14ac:dyDescent="0.3">
      <c r="A689" s="1" t="s">
        <v>836</v>
      </c>
      <c r="B689" s="65" t="s">
        <v>28</v>
      </c>
      <c r="C689" s="78" t="s">
        <v>685</v>
      </c>
      <c r="D689" s="81" t="s">
        <v>703</v>
      </c>
      <c r="E689" s="86" t="s">
        <v>704</v>
      </c>
      <c r="F689" s="81" t="s">
        <v>41</v>
      </c>
      <c r="G689" s="65" t="s">
        <v>30</v>
      </c>
      <c r="H689" s="81" t="s">
        <v>42</v>
      </c>
      <c r="I689" s="27"/>
      <c r="J689" s="27"/>
      <c r="K689" s="27"/>
      <c r="L689" s="27"/>
      <c r="M689" s="27"/>
      <c r="N689" s="27"/>
      <c r="O689" s="27"/>
      <c r="P689" s="27"/>
      <c r="Q689" s="27">
        <v>4821.2060000000001</v>
      </c>
      <c r="R689" s="27"/>
      <c r="S689" s="27"/>
      <c r="T689" s="27">
        <v>1806.1745519999999</v>
      </c>
      <c r="U689" s="27">
        <f t="shared" si="211"/>
        <v>6627.3805520000005</v>
      </c>
      <c r="V689" s="82"/>
      <c r="W689"/>
      <c r="X689" s="87"/>
      <c r="Y689" s="8"/>
      <c r="Z689"/>
      <c r="AA689"/>
      <c r="AB689"/>
      <c r="AD689" s="42" t="str">
        <f>C689&amp;A689</f>
        <v>IMPOSTOS/TAXAS FEDERAISOper</v>
      </c>
      <c r="AE689" s="42" t="str">
        <f>IFERROR(VLOOKUP(C689,[34]Planilha1!$B:$C,2,0),"Não se Aplica")</f>
        <v>Sim</v>
      </c>
      <c r="AF689" s="42" t="str">
        <f>VLOOKUP(AD689,[34]Planilha1!$H:$J,3,0)</f>
        <v>Não</v>
      </c>
      <c r="AG689" s="43">
        <f t="shared" si="210"/>
        <v>6627.3805520000005</v>
      </c>
    </row>
    <row r="690" spans="1:33" x14ac:dyDescent="0.3">
      <c r="A690" s="1" t="s">
        <v>836</v>
      </c>
      <c r="B690" s="65" t="s">
        <v>28</v>
      </c>
      <c r="C690" s="78" t="s">
        <v>685</v>
      </c>
      <c r="D690" s="81" t="s">
        <v>703</v>
      </c>
      <c r="E690" s="86" t="s">
        <v>704</v>
      </c>
      <c r="F690" s="81" t="s">
        <v>41</v>
      </c>
      <c r="G690" s="65" t="s">
        <v>31</v>
      </c>
      <c r="H690" s="81" t="s">
        <v>42</v>
      </c>
      <c r="I690" s="27">
        <v>6530</v>
      </c>
      <c r="J690" s="27"/>
      <c r="K690" s="27"/>
      <c r="L690" s="27"/>
      <c r="M690" s="27"/>
      <c r="N690" s="27"/>
      <c r="O690" s="27"/>
      <c r="P690" s="27"/>
      <c r="Q690" s="27">
        <v>1230.5</v>
      </c>
      <c r="R690" s="27"/>
      <c r="S690" s="27"/>
      <c r="T690" s="27"/>
      <c r="U690" s="27">
        <f t="shared" si="211"/>
        <v>7760.5</v>
      </c>
      <c r="V690" s="82"/>
      <c r="W690"/>
      <c r="X690" s="87"/>
      <c r="Y690" s="8"/>
      <c r="Z690"/>
      <c r="AA690"/>
      <c r="AB690"/>
      <c r="AD690" s="42" t="str">
        <f>C690&amp;A690</f>
        <v>IMPOSTOS/TAXAS FEDERAISOper</v>
      </c>
      <c r="AE690" s="42" t="str">
        <f>IFERROR(VLOOKUP(C690,[34]Planilha1!$B:$C,2,0),"Não se Aplica")</f>
        <v>Sim</v>
      </c>
      <c r="AF690" s="42" t="str">
        <f>VLOOKUP(AD690,[34]Planilha1!$H:$J,3,0)</f>
        <v>Não</v>
      </c>
      <c r="AG690" s="43">
        <f t="shared" si="210"/>
        <v>7760.5</v>
      </c>
    </row>
    <row r="691" spans="1:33" x14ac:dyDescent="0.3">
      <c r="A691" s="1" t="s">
        <v>836</v>
      </c>
      <c r="B691" s="65" t="s">
        <v>28</v>
      </c>
      <c r="C691" s="78" t="s">
        <v>685</v>
      </c>
      <c r="D691" s="81" t="s">
        <v>703</v>
      </c>
      <c r="E691" s="86" t="s">
        <v>704</v>
      </c>
      <c r="F691" s="81" t="s">
        <v>41</v>
      </c>
      <c r="G691" s="65" t="s">
        <v>90</v>
      </c>
      <c r="H691" s="81" t="s">
        <v>42</v>
      </c>
      <c r="I691" s="27"/>
      <c r="J691" s="27">
        <v>301.2799</v>
      </c>
      <c r="K691" s="27"/>
      <c r="L691" s="27"/>
      <c r="M691" s="27"/>
      <c r="N691" s="27"/>
      <c r="O691" s="27"/>
      <c r="P691" s="27"/>
      <c r="Q691" s="27"/>
      <c r="R691" s="27">
        <v>2524.3011999999999</v>
      </c>
      <c r="S691" s="27"/>
      <c r="T691" s="27"/>
      <c r="U691" s="27">
        <f t="shared" si="211"/>
        <v>2825.5810999999999</v>
      </c>
      <c r="V691" s="82"/>
      <c r="W691"/>
      <c r="X691" s="87"/>
      <c r="Y691" s="8"/>
      <c r="Z691"/>
      <c r="AA691"/>
      <c r="AB691"/>
      <c r="AD691" s="42" t="str">
        <f>C691&amp;A691</f>
        <v>IMPOSTOS/TAXAS FEDERAISOper</v>
      </c>
      <c r="AE691" s="42" t="str">
        <f>IFERROR(VLOOKUP(C691,[34]Planilha1!$B:$C,2,0),"Não se Aplica")</f>
        <v>Sim</v>
      </c>
      <c r="AF691" s="42" t="str">
        <f>VLOOKUP(AD691,[34]Planilha1!$H:$J,3,0)</f>
        <v>Não</v>
      </c>
      <c r="AG691" s="43">
        <f t="shared" si="210"/>
        <v>2825.5810999999999</v>
      </c>
    </row>
    <row r="692" spans="1:33" x14ac:dyDescent="0.3">
      <c r="A692" s="1" t="s">
        <v>836</v>
      </c>
      <c r="B692" s="65" t="s">
        <v>28</v>
      </c>
      <c r="C692" s="78" t="s">
        <v>685</v>
      </c>
      <c r="D692" s="81" t="s">
        <v>703</v>
      </c>
      <c r="E692" s="86" t="s">
        <v>704</v>
      </c>
      <c r="F692" s="81" t="s">
        <v>41</v>
      </c>
      <c r="G692" s="65" t="s">
        <v>27</v>
      </c>
      <c r="H692" s="81" t="s">
        <v>42</v>
      </c>
      <c r="I692" s="27">
        <v>4919.8492999999999</v>
      </c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>
        <f t="shared" si="211"/>
        <v>4919.8492999999999</v>
      </c>
      <c r="V692" s="82"/>
      <c r="W692"/>
      <c r="X692" s="87"/>
      <c r="Y692" s="8"/>
      <c r="Z692"/>
      <c r="AA692"/>
      <c r="AB692"/>
      <c r="AD692" s="42" t="str">
        <f>C692&amp;A692</f>
        <v>IMPOSTOS/TAXAS FEDERAISOper</v>
      </c>
      <c r="AE692" s="42" t="str">
        <f>IFERROR(VLOOKUP(C692,[34]Planilha1!$B:$C,2,0),"Não se Aplica")</f>
        <v>Sim</v>
      </c>
      <c r="AF692" s="42" t="str">
        <f>VLOOKUP(AD692,[34]Planilha1!$H:$J,3,0)</f>
        <v>Não</v>
      </c>
      <c r="AG692" s="43">
        <f t="shared" si="210"/>
        <v>4919.8492999999999</v>
      </c>
    </row>
    <row r="693" spans="1:33" x14ac:dyDescent="0.3">
      <c r="A693" s="1" t="s">
        <v>836</v>
      </c>
      <c r="B693" s="65" t="s">
        <v>28</v>
      </c>
      <c r="C693" s="78" t="s">
        <v>685</v>
      </c>
      <c r="D693" s="81" t="s">
        <v>703</v>
      </c>
      <c r="E693" s="86" t="s">
        <v>704</v>
      </c>
      <c r="F693" s="81" t="s">
        <v>41</v>
      </c>
      <c r="G693" s="65" t="s">
        <v>33</v>
      </c>
      <c r="H693" s="81" t="s">
        <v>42</v>
      </c>
      <c r="I693" s="27"/>
      <c r="J693" s="27">
        <v>5992.9395999999997</v>
      </c>
      <c r="K693" s="27">
        <v>5716</v>
      </c>
      <c r="L693" s="27"/>
      <c r="M693" s="27">
        <v>152.61410000000001</v>
      </c>
      <c r="N693" s="27"/>
      <c r="O693" s="27"/>
      <c r="P693" s="27"/>
      <c r="Q693" s="27"/>
      <c r="R693" s="27"/>
      <c r="S693" s="27">
        <v>515.48991104000004</v>
      </c>
      <c r="T693" s="27"/>
      <c r="U693" s="27">
        <f t="shared" si="211"/>
        <v>12377.043611040001</v>
      </c>
      <c r="V693" s="82"/>
      <c r="W693"/>
      <c r="X693" s="87"/>
      <c r="Y693" s="8"/>
      <c r="Z693"/>
      <c r="AA693"/>
      <c r="AB693"/>
      <c r="AD693" s="42" t="str">
        <f>C693&amp;A693</f>
        <v>IMPOSTOS/TAXAS FEDERAISOper</v>
      </c>
      <c r="AE693" s="42" t="str">
        <f>IFERROR(VLOOKUP(C693,[34]Planilha1!$B:$C,2,0),"Não se Aplica")</f>
        <v>Sim</v>
      </c>
      <c r="AF693" s="42" t="str">
        <f>VLOOKUP(AD693,[34]Planilha1!$H:$J,3,0)</f>
        <v>Não</v>
      </c>
      <c r="AG693" s="43">
        <f t="shared" si="210"/>
        <v>12377.043611040001</v>
      </c>
    </row>
    <row r="694" spans="1:33" x14ac:dyDescent="0.3">
      <c r="A694" s="1" t="s">
        <v>836</v>
      </c>
      <c r="B694" s="65" t="s">
        <v>20</v>
      </c>
      <c r="C694" s="78" t="s">
        <v>685</v>
      </c>
      <c r="D694" s="81" t="s">
        <v>703</v>
      </c>
      <c r="E694" s="86" t="s">
        <v>704</v>
      </c>
      <c r="F694" s="81" t="s">
        <v>41</v>
      </c>
      <c r="G694" s="65" t="s">
        <v>32</v>
      </c>
      <c r="H694" s="81" t="s">
        <v>42</v>
      </c>
      <c r="I694" s="27">
        <v>1306.47</v>
      </c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>
        <f t="shared" si="211"/>
        <v>1306.47</v>
      </c>
      <c r="V694" s="82"/>
      <c r="W694"/>
      <c r="X694" s="87"/>
      <c r="Y694" s="8"/>
      <c r="Z694"/>
      <c r="AA694"/>
      <c r="AB694"/>
      <c r="AD694" s="42" t="str">
        <f>C694&amp;A694</f>
        <v>IMPOSTOS/TAXAS FEDERAISOper</v>
      </c>
      <c r="AE694" s="42" t="str">
        <f>IFERROR(VLOOKUP(C694,[34]Planilha1!$B:$C,2,0),"Não se Aplica")</f>
        <v>Sim</v>
      </c>
      <c r="AF694" s="42" t="str">
        <f>VLOOKUP(AD694,[34]Planilha1!$H:$J,3,0)</f>
        <v>Não</v>
      </c>
      <c r="AG694" s="43">
        <f t="shared" si="210"/>
        <v>1306.47</v>
      </c>
    </row>
    <row r="695" spans="1:33" x14ac:dyDescent="0.3">
      <c r="A695" s="1" t="s">
        <v>836</v>
      </c>
      <c r="B695" s="65" t="s">
        <v>20</v>
      </c>
      <c r="C695" s="78" t="s">
        <v>685</v>
      </c>
      <c r="D695" s="81" t="s">
        <v>703</v>
      </c>
      <c r="E695" s="86" t="s">
        <v>704</v>
      </c>
      <c r="F695" s="81" t="s">
        <v>41</v>
      </c>
      <c r="G695" s="65" t="s">
        <v>32</v>
      </c>
      <c r="H695" s="81" t="s">
        <v>42</v>
      </c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>
        <v>1298.98</v>
      </c>
      <c r="T695" s="27"/>
      <c r="U695" s="27">
        <f t="shared" si="211"/>
        <v>1298.98</v>
      </c>
      <c r="V695" s="82"/>
      <c r="W695"/>
      <c r="X695" s="87"/>
      <c r="Y695" s="8"/>
      <c r="Z695"/>
      <c r="AA695"/>
      <c r="AB695"/>
      <c r="AD695" s="42" t="str">
        <f>C695&amp;A695</f>
        <v>IMPOSTOS/TAXAS FEDERAISOper</v>
      </c>
      <c r="AE695" s="42" t="str">
        <f>IFERROR(VLOOKUP(C695,[34]Planilha1!$B:$C,2,0),"Não se Aplica")</f>
        <v>Sim</v>
      </c>
      <c r="AF695" s="42" t="str">
        <f>VLOOKUP(AD695,[34]Planilha1!$H:$J,3,0)</f>
        <v>Não</v>
      </c>
      <c r="AG695" s="43">
        <f t="shared" ref="AG695:AG756" si="212">IF(AF695="Sim", U695 * 0.9075, U695)</f>
        <v>1298.98</v>
      </c>
    </row>
    <row r="696" spans="1:33" x14ac:dyDescent="0.3">
      <c r="A696" s="1" t="s">
        <v>836</v>
      </c>
      <c r="B696" s="65" t="s">
        <v>20</v>
      </c>
      <c r="C696" s="78" t="s">
        <v>685</v>
      </c>
      <c r="D696" s="81" t="s">
        <v>703</v>
      </c>
      <c r="E696" s="86" t="s">
        <v>704</v>
      </c>
      <c r="F696" s="81" t="s">
        <v>41</v>
      </c>
      <c r="G696" s="65" t="s">
        <v>32</v>
      </c>
      <c r="H696" s="81" t="s">
        <v>42</v>
      </c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>
        <v>1298.98</v>
      </c>
      <c r="T696" s="27"/>
      <c r="U696" s="27">
        <f t="shared" si="211"/>
        <v>1298.98</v>
      </c>
      <c r="V696" s="82"/>
      <c r="W696"/>
      <c r="X696" s="87"/>
      <c r="Y696" s="8"/>
      <c r="Z696"/>
      <c r="AA696"/>
      <c r="AB696"/>
      <c r="AD696" s="42" t="str">
        <f>C696&amp;A696</f>
        <v>IMPOSTOS/TAXAS FEDERAISOper</v>
      </c>
      <c r="AE696" s="42" t="str">
        <f>IFERROR(VLOOKUP(C696,[34]Planilha1!$B:$C,2,0),"Não se Aplica")</f>
        <v>Sim</v>
      </c>
      <c r="AF696" s="42" t="str">
        <f>VLOOKUP(AD696,[34]Planilha1!$H:$J,3,0)</f>
        <v>Não</v>
      </c>
      <c r="AG696" s="43">
        <f t="shared" si="212"/>
        <v>1298.98</v>
      </c>
    </row>
    <row r="697" spans="1:33" x14ac:dyDescent="0.3">
      <c r="A697" s="1" t="s">
        <v>836</v>
      </c>
      <c r="B697" s="65" t="s">
        <v>28</v>
      </c>
      <c r="C697" s="78" t="s">
        <v>685</v>
      </c>
      <c r="D697" s="81" t="s">
        <v>705</v>
      </c>
      <c r="E697" s="86" t="s">
        <v>704</v>
      </c>
      <c r="F697" s="81" t="s">
        <v>41</v>
      </c>
      <c r="G697" s="65" t="s">
        <v>100</v>
      </c>
      <c r="H697" s="81" t="s">
        <v>42</v>
      </c>
      <c r="I697" s="27"/>
      <c r="J697" s="27">
        <v>579.19099999999992</v>
      </c>
      <c r="K697" s="27"/>
      <c r="L697" s="27"/>
      <c r="M697" s="27"/>
      <c r="N697" s="27"/>
      <c r="O697" s="27"/>
      <c r="P697" s="27"/>
      <c r="Q697" s="27">
        <v>6645.1494000000002</v>
      </c>
      <c r="R697" s="27"/>
      <c r="S697" s="27"/>
      <c r="T697" s="27"/>
      <c r="U697" s="27">
        <f t="shared" si="211"/>
        <v>7224.3404</v>
      </c>
      <c r="V697" s="82"/>
      <c r="W697"/>
      <c r="X697" s="87"/>
      <c r="Y697" s="8"/>
      <c r="Z697"/>
      <c r="AA697"/>
      <c r="AB697"/>
      <c r="AD697" s="42" t="str">
        <f>C697&amp;A697</f>
        <v>IMPOSTOS/TAXAS FEDERAISOper</v>
      </c>
      <c r="AE697" s="42" t="str">
        <f>IFERROR(VLOOKUP(C697,[34]Planilha1!$B:$C,2,0),"Não se Aplica")</f>
        <v>Sim</v>
      </c>
      <c r="AF697" s="42" t="str">
        <f>VLOOKUP(AD697,[34]Planilha1!$H:$J,3,0)</f>
        <v>Não</v>
      </c>
      <c r="AG697" s="43">
        <f t="shared" si="212"/>
        <v>7224.3404</v>
      </c>
    </row>
    <row r="698" spans="1:33" x14ac:dyDescent="0.3">
      <c r="A698" s="1" t="s">
        <v>836</v>
      </c>
      <c r="B698" s="65" t="s">
        <v>28</v>
      </c>
      <c r="C698" s="78" t="s">
        <v>685</v>
      </c>
      <c r="D698" s="81" t="s">
        <v>705</v>
      </c>
      <c r="E698" s="86" t="s">
        <v>704</v>
      </c>
      <c r="F698" s="81" t="s">
        <v>41</v>
      </c>
      <c r="G698" s="65" t="s">
        <v>32</v>
      </c>
      <c r="H698" s="81" t="s">
        <v>42</v>
      </c>
      <c r="I698" s="27">
        <v>1307.1762000000001</v>
      </c>
      <c r="J698" s="27"/>
      <c r="K698" s="27"/>
      <c r="L698" s="27"/>
      <c r="M698" s="27"/>
      <c r="N698" s="27"/>
      <c r="O698" s="27">
        <v>41.355499999999999</v>
      </c>
      <c r="P698" s="27"/>
      <c r="Q698" s="27"/>
      <c r="R698" s="27"/>
      <c r="S698" s="27"/>
      <c r="T698" s="27"/>
      <c r="U698" s="27">
        <f t="shared" si="211"/>
        <v>1348.5317</v>
      </c>
      <c r="V698" s="82"/>
      <c r="W698"/>
      <c r="X698" s="87"/>
      <c r="Y698" s="8"/>
      <c r="Z698"/>
      <c r="AA698"/>
      <c r="AB698"/>
      <c r="AD698" s="42" t="str">
        <f>C698&amp;A698</f>
        <v>IMPOSTOS/TAXAS FEDERAISOper</v>
      </c>
      <c r="AE698" s="42" t="str">
        <f>IFERROR(VLOOKUP(C698,[34]Planilha1!$B:$C,2,0),"Não se Aplica")</f>
        <v>Sim</v>
      </c>
      <c r="AF698" s="42" t="str">
        <f>VLOOKUP(AD698,[34]Planilha1!$H:$J,3,0)</f>
        <v>Não</v>
      </c>
      <c r="AG698" s="43">
        <f t="shared" si="212"/>
        <v>1348.5317</v>
      </c>
    </row>
    <row r="699" spans="1:33" x14ac:dyDescent="0.3">
      <c r="A699" s="1" t="s">
        <v>836</v>
      </c>
      <c r="B699" s="65" t="s">
        <v>28</v>
      </c>
      <c r="C699" s="78" t="s">
        <v>685</v>
      </c>
      <c r="D699" s="81" t="s">
        <v>705</v>
      </c>
      <c r="E699" s="86" t="s">
        <v>704</v>
      </c>
      <c r="F699" s="81" t="s">
        <v>41</v>
      </c>
      <c r="G699" s="65" t="s">
        <v>32</v>
      </c>
      <c r="H699" s="81" t="s">
        <v>42</v>
      </c>
      <c r="I699" s="27">
        <v>1307.1762000000001</v>
      </c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>
        <f t="shared" si="211"/>
        <v>1307.1762000000001</v>
      </c>
      <c r="V699" s="82"/>
      <c r="W699"/>
      <c r="X699" s="87"/>
      <c r="Y699" s="8"/>
      <c r="Z699"/>
      <c r="AA699"/>
      <c r="AB699"/>
      <c r="AD699" s="42" t="str">
        <f>C699&amp;A699</f>
        <v>IMPOSTOS/TAXAS FEDERAISOper</v>
      </c>
      <c r="AE699" s="42" t="str">
        <f>IFERROR(VLOOKUP(C699,[34]Planilha1!$B:$C,2,0),"Não se Aplica")</f>
        <v>Sim</v>
      </c>
      <c r="AF699" s="42" t="str">
        <f>VLOOKUP(AD699,[34]Planilha1!$H:$J,3,0)</f>
        <v>Não</v>
      </c>
      <c r="AG699" s="43">
        <f t="shared" si="212"/>
        <v>1307.1762000000001</v>
      </c>
    </row>
    <row r="700" spans="1:33" x14ac:dyDescent="0.3">
      <c r="A700" s="1" t="s">
        <v>836</v>
      </c>
      <c r="B700" s="65" t="s">
        <v>28</v>
      </c>
      <c r="C700" s="78" t="s">
        <v>685</v>
      </c>
      <c r="D700" s="81" t="s">
        <v>706</v>
      </c>
      <c r="E700" s="86" t="s">
        <v>704</v>
      </c>
      <c r="F700" s="81" t="s">
        <v>41</v>
      </c>
      <c r="G700" s="65" t="s">
        <v>29</v>
      </c>
      <c r="H700" s="81" t="s">
        <v>42</v>
      </c>
      <c r="I700" s="27">
        <v>1000</v>
      </c>
      <c r="J700" s="27"/>
      <c r="K700" s="27"/>
      <c r="L700" s="27">
        <v>235.19669999999999</v>
      </c>
      <c r="M700" s="27">
        <v>4529</v>
      </c>
      <c r="N700" s="27"/>
      <c r="O700" s="27"/>
      <c r="P700" s="27">
        <v>235.19669999999999</v>
      </c>
      <c r="Q700" s="27"/>
      <c r="R700" s="27">
        <v>235.19669999999999</v>
      </c>
      <c r="S700" s="27">
        <v>233.58028096000004</v>
      </c>
      <c r="T700" s="27"/>
      <c r="U700" s="27">
        <f t="shared" ref="U700:U761" si="213">SUM(I700:T700)</f>
        <v>6468.1703809600012</v>
      </c>
      <c r="V700" s="82"/>
      <c r="W700"/>
      <c r="X700" s="87"/>
      <c r="Y700" s="8"/>
      <c r="Z700"/>
      <c r="AA700"/>
      <c r="AB700"/>
      <c r="AD700" s="42" t="str">
        <f>C700&amp;A700</f>
        <v>IMPOSTOS/TAXAS FEDERAISOper</v>
      </c>
      <c r="AE700" s="42" t="str">
        <f>IFERROR(VLOOKUP(C700,[34]Planilha1!$B:$C,2,0),"Não se Aplica")</f>
        <v>Sim</v>
      </c>
      <c r="AF700" s="42" t="str">
        <f>VLOOKUP(AD700,[34]Planilha1!$H:$J,3,0)</f>
        <v>Não</v>
      </c>
      <c r="AG700" s="43">
        <f t="shared" si="212"/>
        <v>6468.1703809600012</v>
      </c>
    </row>
    <row r="701" spans="1:33" x14ac:dyDescent="0.3">
      <c r="A701" s="1" t="s">
        <v>836</v>
      </c>
      <c r="B701" s="65" t="s">
        <v>28</v>
      </c>
      <c r="C701" s="78" t="s">
        <v>685</v>
      </c>
      <c r="D701" s="81" t="s">
        <v>706</v>
      </c>
      <c r="E701" s="86" t="s">
        <v>704</v>
      </c>
      <c r="F701" s="81" t="s">
        <v>41</v>
      </c>
      <c r="G701" s="65" t="s">
        <v>31</v>
      </c>
      <c r="H701" s="81" t="s">
        <v>42</v>
      </c>
      <c r="I701" s="27"/>
      <c r="J701" s="27"/>
      <c r="K701" s="27"/>
      <c r="L701" s="27"/>
      <c r="M701" s="27"/>
      <c r="N701" s="27"/>
      <c r="O701" s="27"/>
      <c r="P701" s="27"/>
      <c r="Q701" s="27">
        <v>4620.3455999999996</v>
      </c>
      <c r="R701" s="27"/>
      <c r="S701" s="27"/>
      <c r="T701" s="27"/>
      <c r="U701" s="27">
        <f t="shared" si="213"/>
        <v>4620.3455999999996</v>
      </c>
      <c r="V701" s="82"/>
      <c r="W701"/>
      <c r="X701" s="87"/>
      <c r="Y701" s="8"/>
      <c r="Z701"/>
      <c r="AA701"/>
      <c r="AB701"/>
      <c r="AD701" s="42" t="str">
        <f>C701&amp;A701</f>
        <v>IMPOSTOS/TAXAS FEDERAISOper</v>
      </c>
      <c r="AE701" s="42" t="str">
        <f>IFERROR(VLOOKUP(C701,[34]Planilha1!$B:$C,2,0),"Não se Aplica")</f>
        <v>Sim</v>
      </c>
      <c r="AF701" s="42" t="str">
        <f>VLOOKUP(AD701,[34]Planilha1!$H:$J,3,0)</f>
        <v>Não</v>
      </c>
      <c r="AG701" s="43">
        <f t="shared" si="212"/>
        <v>4620.3455999999996</v>
      </c>
    </row>
    <row r="702" spans="1:33" x14ac:dyDescent="0.3">
      <c r="A702" s="1" t="s">
        <v>836</v>
      </c>
      <c r="B702" s="65" t="s">
        <v>20</v>
      </c>
      <c r="C702" s="78" t="s">
        <v>210</v>
      </c>
      <c r="D702" s="81" t="s">
        <v>707</v>
      </c>
      <c r="E702" s="86" t="s">
        <v>674</v>
      </c>
      <c r="F702" s="81" t="s">
        <v>41</v>
      </c>
      <c r="G702" s="65" t="s">
        <v>32</v>
      </c>
      <c r="H702" s="81" t="s">
        <v>42</v>
      </c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27">
        <f t="shared" si="213"/>
        <v>0</v>
      </c>
      <c r="V702" s="82"/>
      <c r="W702"/>
      <c r="X702" s="87"/>
      <c r="Y702" s="8"/>
      <c r="Z702"/>
      <c r="AA702"/>
      <c r="AB702"/>
      <c r="AD702" s="42" t="str">
        <f>C702&amp;A702</f>
        <v>CERTIFICACAO/QUALIDADEOper</v>
      </c>
      <c r="AE702" s="42" t="str">
        <f>IFERROR(VLOOKUP(C702,[34]Planilha1!$B:$C,2,0),"Não se Aplica")</f>
        <v>Sim</v>
      </c>
      <c r="AF702" s="42" t="str">
        <f>VLOOKUP(AD702,[34]Planilha1!$H:$J,3,0)</f>
        <v>Não</v>
      </c>
      <c r="AG702" s="43">
        <f t="shared" si="212"/>
        <v>0</v>
      </c>
    </row>
    <row r="703" spans="1:33" x14ac:dyDescent="0.3">
      <c r="A703" s="1" t="s">
        <v>836</v>
      </c>
      <c r="B703" s="65" t="s">
        <v>20</v>
      </c>
      <c r="C703" s="78" t="s">
        <v>685</v>
      </c>
      <c r="D703" s="81" t="s">
        <v>708</v>
      </c>
      <c r="E703" s="86" t="s">
        <v>709</v>
      </c>
      <c r="F703" s="81" t="s">
        <v>41</v>
      </c>
      <c r="G703" s="65" t="s">
        <v>32</v>
      </c>
      <c r="H703" s="81" t="s">
        <v>42</v>
      </c>
      <c r="I703" s="27">
        <v>2440.0708</v>
      </c>
      <c r="J703" s="27"/>
      <c r="K703" s="27"/>
      <c r="L703" s="27"/>
      <c r="M703" s="27"/>
      <c r="N703" s="27"/>
      <c r="O703" s="27">
        <v>261.44380000000001</v>
      </c>
      <c r="P703" s="27"/>
      <c r="Q703" s="27"/>
      <c r="R703" s="27"/>
      <c r="S703" s="27"/>
      <c r="T703" s="27">
        <v>2051.2963372690815</v>
      </c>
      <c r="U703" s="27">
        <f t="shared" si="213"/>
        <v>4752.8109372690815</v>
      </c>
      <c r="V703" s="82"/>
      <c r="W703"/>
      <c r="X703" s="87"/>
      <c r="Y703" s="8"/>
      <c r="Z703"/>
      <c r="AA703"/>
      <c r="AB703"/>
      <c r="AD703" s="42" t="str">
        <f>C703&amp;A703</f>
        <v>IMPOSTOS/TAXAS FEDERAISOper</v>
      </c>
      <c r="AE703" s="42" t="str">
        <f>IFERROR(VLOOKUP(C703,[34]Planilha1!$B:$C,2,0),"Não se Aplica")</f>
        <v>Sim</v>
      </c>
      <c r="AF703" s="42" t="str">
        <f>VLOOKUP(AD703,[34]Planilha1!$H:$J,3,0)</f>
        <v>Não</v>
      </c>
      <c r="AG703" s="43">
        <f t="shared" si="212"/>
        <v>4752.8109372690815</v>
      </c>
    </row>
    <row r="704" spans="1:33" x14ac:dyDescent="0.3">
      <c r="A704" s="1" t="s">
        <v>836</v>
      </c>
      <c r="B704" s="65" t="s">
        <v>28</v>
      </c>
      <c r="C704" s="78" t="s">
        <v>685</v>
      </c>
      <c r="D704" s="81" t="s">
        <v>708</v>
      </c>
      <c r="E704" s="86" t="s">
        <v>709</v>
      </c>
      <c r="F704" s="81" t="s">
        <v>41</v>
      </c>
      <c r="G704" s="65" t="s">
        <v>32</v>
      </c>
      <c r="H704" s="81" t="s">
        <v>42</v>
      </c>
      <c r="I704" s="27">
        <v>697.1585</v>
      </c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>
        <v>9030.841601600001</v>
      </c>
      <c r="U704" s="27">
        <f t="shared" si="213"/>
        <v>9728.0001016000006</v>
      </c>
      <c r="V704" s="82"/>
      <c r="W704"/>
      <c r="X704" s="87"/>
      <c r="Y704" s="8"/>
      <c r="Z704"/>
      <c r="AA704"/>
      <c r="AB704"/>
      <c r="AD704" s="42" t="str">
        <f>C704&amp;A704</f>
        <v>IMPOSTOS/TAXAS FEDERAISOper</v>
      </c>
      <c r="AE704" s="42" t="str">
        <f>IFERROR(VLOOKUP(C704,[34]Planilha1!$B:$C,2,0),"Não se Aplica")</f>
        <v>Sim</v>
      </c>
      <c r="AF704" s="42" t="str">
        <f>VLOOKUP(AD704,[34]Planilha1!$H:$J,3,0)</f>
        <v>Não</v>
      </c>
      <c r="AG704" s="43">
        <f t="shared" si="212"/>
        <v>9728.0001016000006</v>
      </c>
    </row>
    <row r="705" spans="1:33" x14ac:dyDescent="0.3">
      <c r="A705" s="1" t="s">
        <v>836</v>
      </c>
      <c r="B705" s="65" t="s">
        <v>20</v>
      </c>
      <c r="C705" s="78" t="s">
        <v>685</v>
      </c>
      <c r="D705" s="81" t="s">
        <v>710</v>
      </c>
      <c r="E705" s="86" t="s">
        <v>711</v>
      </c>
      <c r="F705" s="81" t="s">
        <v>41</v>
      </c>
      <c r="G705" s="65" t="s">
        <v>27</v>
      </c>
      <c r="H705" s="81" t="s">
        <v>42</v>
      </c>
      <c r="I705" s="27"/>
      <c r="J705" s="27"/>
      <c r="K705" s="27"/>
      <c r="L705" s="27"/>
      <c r="M705" s="27"/>
      <c r="N705" s="27"/>
      <c r="O705" s="27">
        <v>903.60429999999997</v>
      </c>
      <c r="P705" s="27"/>
      <c r="Q705" s="27"/>
      <c r="R705" s="27"/>
      <c r="S705" s="27"/>
      <c r="T705" s="27">
        <v>1069.8935212326885</v>
      </c>
      <c r="U705" s="27">
        <f t="shared" si="213"/>
        <v>1973.4978212326885</v>
      </c>
      <c r="V705" s="82"/>
      <c r="W705"/>
      <c r="X705" s="87"/>
      <c r="Y705" s="8"/>
      <c r="Z705"/>
      <c r="AA705"/>
      <c r="AB705"/>
      <c r="AD705" s="42" t="str">
        <f>C705&amp;A705</f>
        <v>IMPOSTOS/TAXAS FEDERAISOper</v>
      </c>
      <c r="AE705" s="42" t="str">
        <f>IFERROR(VLOOKUP(C705,[34]Planilha1!$B:$C,2,0),"Não se Aplica")</f>
        <v>Sim</v>
      </c>
      <c r="AF705" s="42" t="str">
        <f>VLOOKUP(AD705,[34]Planilha1!$H:$J,3,0)</f>
        <v>Não</v>
      </c>
      <c r="AG705" s="43">
        <f t="shared" si="212"/>
        <v>1973.4978212326885</v>
      </c>
    </row>
    <row r="706" spans="1:33" x14ac:dyDescent="0.3">
      <c r="A706" s="1" t="s">
        <v>836</v>
      </c>
      <c r="B706" s="65" t="s">
        <v>28</v>
      </c>
      <c r="C706" s="78" t="s">
        <v>685</v>
      </c>
      <c r="D706" s="81" t="s">
        <v>710</v>
      </c>
      <c r="E706" s="86" t="s">
        <v>711</v>
      </c>
      <c r="F706" s="81" t="s">
        <v>41</v>
      </c>
      <c r="G706" s="65" t="s">
        <v>30</v>
      </c>
      <c r="H706" s="81" t="s">
        <v>42</v>
      </c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>
        <v>1806.1745519999999</v>
      </c>
      <c r="U706" s="27">
        <f t="shared" si="213"/>
        <v>1806.1745519999999</v>
      </c>
      <c r="V706" s="82"/>
      <c r="W706"/>
      <c r="X706" s="87"/>
      <c r="Y706" s="8"/>
      <c r="Z706"/>
      <c r="AA706"/>
      <c r="AB706"/>
      <c r="AD706" s="42" t="str">
        <f>C706&amp;A706</f>
        <v>IMPOSTOS/TAXAS FEDERAISOper</v>
      </c>
      <c r="AE706" s="42" t="str">
        <f>IFERROR(VLOOKUP(C706,[34]Planilha1!$B:$C,2,0),"Não se Aplica")</f>
        <v>Sim</v>
      </c>
      <c r="AF706" s="42" t="str">
        <f>VLOOKUP(AD706,[34]Planilha1!$H:$J,3,0)</f>
        <v>Não</v>
      </c>
      <c r="AG706" s="43">
        <f t="shared" si="212"/>
        <v>1806.1745519999999</v>
      </c>
    </row>
    <row r="707" spans="1:33" x14ac:dyDescent="0.3">
      <c r="A707" s="1" t="s">
        <v>836</v>
      </c>
      <c r="B707" s="65" t="s">
        <v>28</v>
      </c>
      <c r="C707" s="78" t="s">
        <v>685</v>
      </c>
      <c r="D707" s="81" t="s">
        <v>710</v>
      </c>
      <c r="E707" s="86" t="s">
        <v>711</v>
      </c>
      <c r="F707" s="81" t="s">
        <v>41</v>
      </c>
      <c r="G707" s="65" t="s">
        <v>31</v>
      </c>
      <c r="H707" s="81" t="s">
        <v>42</v>
      </c>
      <c r="I707" s="27"/>
      <c r="J707" s="27"/>
      <c r="K707" s="27"/>
      <c r="L707" s="27"/>
      <c r="M707" s="27"/>
      <c r="N707" s="27"/>
      <c r="O707" s="27"/>
      <c r="P707" s="27"/>
      <c r="Q707" s="27">
        <v>903.60429999999997</v>
      </c>
      <c r="R707" s="27"/>
      <c r="S707" s="27"/>
      <c r="T707" s="27">
        <v>1806.1745519999999</v>
      </c>
      <c r="U707" s="27">
        <f t="shared" si="213"/>
        <v>2709.7788519999999</v>
      </c>
      <c r="V707" s="82"/>
      <c r="W707"/>
      <c r="X707" s="87"/>
      <c r="Y707" s="8"/>
      <c r="Z707"/>
      <c r="AA707"/>
      <c r="AB707"/>
      <c r="AD707" s="42" t="str">
        <f>C707&amp;A707</f>
        <v>IMPOSTOS/TAXAS FEDERAISOper</v>
      </c>
      <c r="AE707" s="42" t="str">
        <f>IFERROR(VLOOKUP(C707,[34]Planilha1!$B:$C,2,0),"Não se Aplica")</f>
        <v>Sim</v>
      </c>
      <c r="AF707" s="42" t="str">
        <f>VLOOKUP(AD707,[34]Planilha1!$H:$J,3,0)</f>
        <v>Não</v>
      </c>
      <c r="AG707" s="43">
        <f t="shared" si="212"/>
        <v>2709.7788519999999</v>
      </c>
    </row>
    <row r="708" spans="1:33" x14ac:dyDescent="0.3">
      <c r="A708" s="1" t="s">
        <v>836</v>
      </c>
      <c r="B708" s="65" t="s">
        <v>20</v>
      </c>
      <c r="C708" s="78" t="s">
        <v>685</v>
      </c>
      <c r="D708" s="81" t="s">
        <v>712</v>
      </c>
      <c r="E708" s="86" t="s">
        <v>713</v>
      </c>
      <c r="F708" s="81" t="s">
        <v>41</v>
      </c>
      <c r="G708" s="65" t="s">
        <v>31</v>
      </c>
      <c r="H708" s="81" t="s">
        <v>42</v>
      </c>
      <c r="I708" s="27"/>
      <c r="J708" s="27"/>
      <c r="K708" s="27">
        <v>141.89270000000002</v>
      </c>
      <c r="L708" s="27"/>
      <c r="M708" s="27">
        <v>1348.3283999999999</v>
      </c>
      <c r="N708" s="27"/>
      <c r="O708" s="27"/>
      <c r="P708" s="27"/>
      <c r="Q708" s="27"/>
      <c r="R708" s="27"/>
      <c r="S708" s="27"/>
      <c r="T708" s="27"/>
      <c r="U708" s="27">
        <f t="shared" si="213"/>
        <v>1490.2211</v>
      </c>
      <c r="V708" s="82"/>
      <c r="W708"/>
      <c r="X708" s="87"/>
      <c r="Y708" s="8"/>
      <c r="Z708"/>
      <c r="AA708"/>
      <c r="AB708"/>
      <c r="AD708" s="42" t="str">
        <f>C708&amp;A708</f>
        <v>IMPOSTOS/TAXAS FEDERAISOper</v>
      </c>
      <c r="AE708" s="42" t="str">
        <f>IFERROR(VLOOKUP(C708,[34]Planilha1!$B:$C,2,0),"Não se Aplica")</f>
        <v>Sim</v>
      </c>
      <c r="AF708" s="42" t="str">
        <f>VLOOKUP(AD708,[34]Planilha1!$H:$J,3,0)</f>
        <v>Não</v>
      </c>
      <c r="AG708" s="43">
        <f t="shared" si="212"/>
        <v>1490.2211</v>
      </c>
    </row>
    <row r="709" spans="1:33" x14ac:dyDescent="0.3">
      <c r="A709" s="1" t="s">
        <v>836</v>
      </c>
      <c r="B709" s="65" t="s">
        <v>28</v>
      </c>
      <c r="C709" s="78" t="s">
        <v>685</v>
      </c>
      <c r="D709" s="81" t="s">
        <v>710</v>
      </c>
      <c r="E709" s="86" t="s">
        <v>711</v>
      </c>
      <c r="F709" s="81" t="s">
        <v>41</v>
      </c>
      <c r="G709" s="65" t="s">
        <v>90</v>
      </c>
      <c r="H709" s="81" t="s">
        <v>42</v>
      </c>
      <c r="I709" s="27"/>
      <c r="J709" s="27">
        <v>903.60429999999997</v>
      </c>
      <c r="K709" s="27"/>
      <c r="L709" s="27"/>
      <c r="M709" s="27"/>
      <c r="N709" s="27"/>
      <c r="O709" s="27"/>
      <c r="P709" s="27"/>
      <c r="Q709" s="27"/>
      <c r="R709" s="27"/>
      <c r="S709" s="27"/>
      <c r="T709" s="27">
        <v>1806.1745519999999</v>
      </c>
      <c r="U709" s="27">
        <f t="shared" si="213"/>
        <v>2709.7788519999999</v>
      </c>
      <c r="V709" s="82"/>
      <c r="W709"/>
      <c r="X709" s="87"/>
      <c r="Y709" s="8"/>
      <c r="Z709"/>
      <c r="AA709"/>
      <c r="AB709"/>
      <c r="AD709" s="42" t="str">
        <f>C709&amp;A709</f>
        <v>IMPOSTOS/TAXAS FEDERAISOper</v>
      </c>
      <c r="AE709" s="42" t="str">
        <f>IFERROR(VLOOKUP(C709,[34]Planilha1!$B:$C,2,0),"Não se Aplica")</f>
        <v>Sim</v>
      </c>
      <c r="AF709" s="42" t="str">
        <f>VLOOKUP(AD709,[34]Planilha1!$H:$J,3,0)</f>
        <v>Não</v>
      </c>
      <c r="AG709" s="43">
        <f t="shared" si="212"/>
        <v>2709.7788519999999</v>
      </c>
    </row>
    <row r="710" spans="1:33" x14ac:dyDescent="0.3">
      <c r="A710" s="1" t="s">
        <v>836</v>
      </c>
      <c r="B710" s="65" t="s">
        <v>28</v>
      </c>
      <c r="C710" s="78" t="s">
        <v>685</v>
      </c>
      <c r="D710" s="81" t="s">
        <v>710</v>
      </c>
      <c r="E710" s="86" t="s">
        <v>711</v>
      </c>
      <c r="F710" s="81" t="s">
        <v>41</v>
      </c>
      <c r="G710" s="65" t="s">
        <v>27</v>
      </c>
      <c r="H710" s="81" t="s">
        <v>42</v>
      </c>
      <c r="I710" s="27"/>
      <c r="J710" s="27"/>
      <c r="K710" s="27"/>
      <c r="L710" s="27">
        <v>903.60429999999997</v>
      </c>
      <c r="M710" s="27"/>
      <c r="N710" s="27"/>
      <c r="O710" s="27"/>
      <c r="P710" s="27"/>
      <c r="Q710" s="27"/>
      <c r="R710" s="27"/>
      <c r="S710" s="27"/>
      <c r="T710" s="27">
        <v>1806.1745519999999</v>
      </c>
      <c r="U710" s="27">
        <f t="shared" si="213"/>
        <v>2709.7788519999999</v>
      </c>
      <c r="V710" s="82"/>
      <c r="W710"/>
      <c r="X710" s="87"/>
      <c r="Y710" s="8"/>
      <c r="Z710"/>
      <c r="AA710"/>
      <c r="AB710"/>
      <c r="AD710" s="42" t="str">
        <f>C710&amp;A710</f>
        <v>IMPOSTOS/TAXAS FEDERAISOper</v>
      </c>
      <c r="AE710" s="42" t="str">
        <f>IFERROR(VLOOKUP(C710,[34]Planilha1!$B:$C,2,0),"Não se Aplica")</f>
        <v>Sim</v>
      </c>
      <c r="AF710" s="42" t="str">
        <f>VLOOKUP(AD710,[34]Planilha1!$H:$J,3,0)</f>
        <v>Não</v>
      </c>
      <c r="AG710" s="43">
        <f t="shared" si="212"/>
        <v>2709.7788519999999</v>
      </c>
    </row>
    <row r="711" spans="1:33" x14ac:dyDescent="0.3">
      <c r="A711" s="1" t="s">
        <v>836</v>
      </c>
      <c r="B711" s="65" t="s">
        <v>20</v>
      </c>
      <c r="C711" s="78" t="s">
        <v>685</v>
      </c>
      <c r="D711" s="81" t="s">
        <v>710</v>
      </c>
      <c r="E711" s="86" t="s">
        <v>711</v>
      </c>
      <c r="F711" s="81" t="s">
        <v>41</v>
      </c>
      <c r="G711" s="65" t="s">
        <v>32</v>
      </c>
      <c r="H711" s="81" t="s">
        <v>42</v>
      </c>
      <c r="I711" s="27"/>
      <c r="J711" s="27">
        <v>903.60429999999997</v>
      </c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>
        <f t="shared" si="213"/>
        <v>903.60429999999997</v>
      </c>
      <c r="V711" s="82"/>
      <c r="W711"/>
      <c r="X711" s="87"/>
      <c r="Y711" s="8"/>
      <c r="Z711"/>
      <c r="AA711"/>
      <c r="AB711"/>
      <c r="AD711" s="42" t="str">
        <f>C711&amp;A711</f>
        <v>IMPOSTOS/TAXAS FEDERAISOper</v>
      </c>
      <c r="AE711" s="42" t="str">
        <f>IFERROR(VLOOKUP(C711,[34]Planilha1!$B:$C,2,0),"Não se Aplica")</f>
        <v>Sim</v>
      </c>
      <c r="AF711" s="42" t="str">
        <f>VLOOKUP(AD711,[34]Planilha1!$H:$J,3,0)</f>
        <v>Não</v>
      </c>
      <c r="AG711" s="43">
        <f t="shared" si="212"/>
        <v>903.60429999999997</v>
      </c>
    </row>
    <row r="712" spans="1:33" x14ac:dyDescent="0.3">
      <c r="A712" s="1" t="s">
        <v>836</v>
      </c>
      <c r="B712" s="65" t="s">
        <v>20</v>
      </c>
      <c r="C712" s="78" t="s">
        <v>685</v>
      </c>
      <c r="D712" s="81" t="s">
        <v>710</v>
      </c>
      <c r="E712" s="86" t="s">
        <v>711</v>
      </c>
      <c r="F712" s="81" t="s">
        <v>41</v>
      </c>
      <c r="G712" s="65" t="s">
        <v>32</v>
      </c>
      <c r="H712" s="81" t="s">
        <v>42</v>
      </c>
      <c r="I712" s="27"/>
      <c r="J712" s="27"/>
      <c r="K712" s="27">
        <v>904</v>
      </c>
      <c r="L712" s="27"/>
      <c r="M712" s="27"/>
      <c r="N712" s="27"/>
      <c r="O712" s="27"/>
      <c r="P712" s="27"/>
      <c r="Q712" s="27"/>
      <c r="R712" s="27"/>
      <c r="S712" s="27"/>
      <c r="T712" s="27"/>
      <c r="U712" s="27">
        <f t="shared" si="213"/>
        <v>904</v>
      </c>
      <c r="V712" s="82"/>
      <c r="W712"/>
      <c r="X712" s="87"/>
      <c r="Y712" s="8"/>
      <c r="Z712"/>
      <c r="AA712"/>
      <c r="AB712"/>
      <c r="AD712" s="42" t="str">
        <f>C712&amp;A712</f>
        <v>IMPOSTOS/TAXAS FEDERAISOper</v>
      </c>
      <c r="AE712" s="42" t="str">
        <f>IFERROR(VLOOKUP(C712,[34]Planilha1!$B:$C,2,0),"Não se Aplica")</f>
        <v>Sim</v>
      </c>
      <c r="AF712" s="42" t="str">
        <f>VLOOKUP(AD712,[34]Planilha1!$H:$J,3,0)</f>
        <v>Não</v>
      </c>
      <c r="AG712" s="43">
        <f t="shared" si="212"/>
        <v>904</v>
      </c>
    </row>
    <row r="713" spans="1:33" x14ac:dyDescent="0.3">
      <c r="A713" s="1" t="s">
        <v>836</v>
      </c>
      <c r="B713" s="65" t="s">
        <v>20</v>
      </c>
      <c r="C713" s="78" t="s">
        <v>685</v>
      </c>
      <c r="D713" s="81" t="s">
        <v>710</v>
      </c>
      <c r="E713" s="86" t="s">
        <v>711</v>
      </c>
      <c r="F713" s="81" t="s">
        <v>41</v>
      </c>
      <c r="G713" s="65" t="s">
        <v>32</v>
      </c>
      <c r="H713" s="81" t="s">
        <v>42</v>
      </c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>
        <v>2049.1210495307264</v>
      </c>
      <c r="U713" s="27">
        <f t="shared" si="213"/>
        <v>2049.1210495307264</v>
      </c>
      <c r="V713" s="82"/>
      <c r="W713"/>
      <c r="X713" s="87"/>
      <c r="Y713" s="8"/>
      <c r="Z713"/>
      <c r="AA713"/>
      <c r="AB713"/>
      <c r="AD713" s="42" t="str">
        <f>C713&amp;A713</f>
        <v>IMPOSTOS/TAXAS FEDERAISOper</v>
      </c>
      <c r="AE713" s="42" t="str">
        <f>IFERROR(VLOOKUP(C713,[34]Planilha1!$B:$C,2,0),"Não se Aplica")</f>
        <v>Sim</v>
      </c>
      <c r="AF713" s="42" t="str">
        <f>VLOOKUP(AD713,[34]Planilha1!$H:$J,3,0)</f>
        <v>Não</v>
      </c>
      <c r="AG713" s="43">
        <f t="shared" si="212"/>
        <v>2049.1210495307264</v>
      </c>
    </row>
    <row r="714" spans="1:33" x14ac:dyDescent="0.3">
      <c r="A714" s="1" t="s">
        <v>836</v>
      </c>
      <c r="B714" s="65" t="s">
        <v>28</v>
      </c>
      <c r="C714" s="78" t="s">
        <v>685</v>
      </c>
      <c r="D714" s="81" t="s">
        <v>710</v>
      </c>
      <c r="E714" s="86" t="s">
        <v>711</v>
      </c>
      <c r="F714" s="81" t="s">
        <v>41</v>
      </c>
      <c r="G714" s="65" t="s">
        <v>32</v>
      </c>
      <c r="H714" s="81" t="s">
        <v>42</v>
      </c>
      <c r="I714" s="27"/>
      <c r="J714" s="27">
        <v>903.60429999999997</v>
      </c>
      <c r="K714" s="27"/>
      <c r="L714" s="27"/>
      <c r="M714" s="27"/>
      <c r="N714" s="27"/>
      <c r="O714" s="27"/>
      <c r="P714" s="27"/>
      <c r="Q714" s="27"/>
      <c r="R714" s="27"/>
      <c r="S714" s="27"/>
      <c r="T714" s="27">
        <v>1806.1745519999999</v>
      </c>
      <c r="U714" s="27">
        <f t="shared" si="213"/>
        <v>2709.7788519999999</v>
      </c>
      <c r="V714" s="82"/>
      <c r="W714"/>
      <c r="X714" s="87"/>
      <c r="Y714" s="8"/>
      <c r="Z714"/>
      <c r="AA714"/>
      <c r="AB714"/>
      <c r="AD714" s="42" t="str">
        <f>C714&amp;A714</f>
        <v>IMPOSTOS/TAXAS FEDERAISOper</v>
      </c>
      <c r="AE714" s="42" t="str">
        <f>IFERROR(VLOOKUP(C714,[34]Planilha1!$B:$C,2,0),"Não se Aplica")</f>
        <v>Sim</v>
      </c>
      <c r="AF714" s="42" t="str">
        <f>VLOOKUP(AD714,[34]Planilha1!$H:$J,3,0)</f>
        <v>Não</v>
      </c>
      <c r="AG714" s="43">
        <f t="shared" si="212"/>
        <v>2709.7788519999999</v>
      </c>
    </row>
    <row r="715" spans="1:33" x14ac:dyDescent="0.3">
      <c r="A715" s="1" t="s">
        <v>836</v>
      </c>
      <c r="B715" s="65" t="s">
        <v>28</v>
      </c>
      <c r="C715" s="78" t="s">
        <v>685</v>
      </c>
      <c r="D715" s="81" t="s">
        <v>714</v>
      </c>
      <c r="E715" s="86" t="s">
        <v>715</v>
      </c>
      <c r="F715" s="81" t="s">
        <v>41</v>
      </c>
      <c r="G715" s="65" t="s">
        <v>90</v>
      </c>
      <c r="H715" s="81" t="s">
        <v>42</v>
      </c>
      <c r="I715" s="27"/>
      <c r="J715" s="27"/>
      <c r="K715" s="27"/>
      <c r="L715" s="27"/>
      <c r="M715" s="27"/>
      <c r="N715" s="27"/>
      <c r="O715" s="27"/>
      <c r="P715" s="27"/>
      <c r="Q715" s="27">
        <v>290.87950000000001</v>
      </c>
      <c r="R715" s="27"/>
      <c r="S715" s="27"/>
      <c r="T715" s="27"/>
      <c r="U715" s="27">
        <f t="shared" si="213"/>
        <v>290.87950000000001</v>
      </c>
      <c r="V715" s="82"/>
      <c r="W715"/>
      <c r="X715" s="87"/>
      <c r="Y715" s="8"/>
      <c r="Z715"/>
      <c r="AA715"/>
      <c r="AB715"/>
      <c r="AD715" s="42" t="str">
        <f>C715&amp;A715</f>
        <v>IMPOSTOS/TAXAS FEDERAISOper</v>
      </c>
      <c r="AE715" s="42" t="str">
        <f>IFERROR(VLOOKUP(C715,[34]Planilha1!$B:$C,2,0),"Não se Aplica")</f>
        <v>Sim</v>
      </c>
      <c r="AF715" s="42" t="str">
        <f>VLOOKUP(AD715,[34]Planilha1!$H:$J,3,0)</f>
        <v>Não</v>
      </c>
      <c r="AG715" s="43">
        <f t="shared" si="212"/>
        <v>290.87950000000001</v>
      </c>
    </row>
    <row r="716" spans="1:33" x14ac:dyDescent="0.3">
      <c r="A716" s="1" t="s">
        <v>836</v>
      </c>
      <c r="B716" s="65" t="s">
        <v>20</v>
      </c>
      <c r="C716" s="78" t="s">
        <v>435</v>
      </c>
      <c r="D716" s="81" t="s">
        <v>716</v>
      </c>
      <c r="E716" s="86" t="s">
        <v>674</v>
      </c>
      <c r="F716" s="81" t="s">
        <v>41</v>
      </c>
      <c r="G716" s="65" t="s">
        <v>32</v>
      </c>
      <c r="H716" s="81" t="s">
        <v>42</v>
      </c>
      <c r="I716" s="27">
        <v>0</v>
      </c>
      <c r="J716" s="27">
        <v>0</v>
      </c>
      <c r="K716" s="27">
        <v>0</v>
      </c>
      <c r="L716" s="27">
        <v>0</v>
      </c>
      <c r="M716" s="27">
        <v>0</v>
      </c>
      <c r="N716" s="27">
        <v>0</v>
      </c>
      <c r="O716" s="27">
        <v>0</v>
      </c>
      <c r="P716" s="27">
        <v>0</v>
      </c>
      <c r="Q716" s="27">
        <v>0</v>
      </c>
      <c r="R716" s="27">
        <v>0</v>
      </c>
      <c r="S716" s="27">
        <v>8928.5714285714294</v>
      </c>
      <c r="T716" s="27">
        <v>0</v>
      </c>
      <c r="U716" s="27">
        <f t="shared" si="213"/>
        <v>8928.5714285714294</v>
      </c>
      <c r="V716" s="82"/>
      <c r="W716"/>
      <c r="X716" s="87"/>
      <c r="Y716" s="8"/>
      <c r="Z716"/>
      <c r="AA716"/>
      <c r="AB716"/>
      <c r="AD716" s="42" t="str">
        <f>C716&amp;A716</f>
        <v>FEIRAS EVENTOS E CONFRATERNIZACOESOper</v>
      </c>
      <c r="AE716" s="42" t="str">
        <f>IFERROR(VLOOKUP(C716,[34]Planilha1!$B:$C,2,0),"Não se Aplica")</f>
        <v>Sim</v>
      </c>
      <c r="AF716" s="42" t="str">
        <f>VLOOKUP(AD716,[34]Planilha1!$H:$J,3,0)</f>
        <v>Não</v>
      </c>
      <c r="AG716" s="43">
        <f t="shared" si="212"/>
        <v>8928.5714285714294</v>
      </c>
    </row>
    <row r="717" spans="1:33" x14ac:dyDescent="0.3">
      <c r="A717" s="1" t="s">
        <v>836</v>
      </c>
      <c r="B717" s="65" t="s">
        <v>28</v>
      </c>
      <c r="C717" s="78" t="s">
        <v>435</v>
      </c>
      <c r="D717" s="81" t="s">
        <v>716</v>
      </c>
      <c r="E717" s="86" t="s">
        <v>674</v>
      </c>
      <c r="F717" s="81" t="s">
        <v>41</v>
      </c>
      <c r="G717" s="65" t="s">
        <v>32</v>
      </c>
      <c r="H717" s="81" t="s">
        <v>42</v>
      </c>
      <c r="I717" s="27">
        <v>0</v>
      </c>
      <c r="J717" s="27">
        <v>0</v>
      </c>
      <c r="K717" s="27">
        <v>0</v>
      </c>
      <c r="L717" s="27">
        <v>0</v>
      </c>
      <c r="M717" s="27">
        <v>0</v>
      </c>
      <c r="N717" s="27">
        <v>0</v>
      </c>
      <c r="O717" s="27">
        <v>0</v>
      </c>
      <c r="P717" s="27">
        <v>0</v>
      </c>
      <c r="Q717" s="27">
        <v>0</v>
      </c>
      <c r="R717" s="27">
        <v>0</v>
      </c>
      <c r="S717" s="27">
        <v>8928.5714285714294</v>
      </c>
      <c r="T717" s="27">
        <v>0</v>
      </c>
      <c r="U717" s="27">
        <f t="shared" si="213"/>
        <v>8928.5714285714294</v>
      </c>
      <c r="V717" s="82"/>
      <c r="W717"/>
      <c r="X717" s="87"/>
      <c r="Y717" s="8"/>
      <c r="Z717"/>
      <c r="AA717"/>
      <c r="AB717"/>
      <c r="AD717" s="42" t="str">
        <f>C717&amp;A717</f>
        <v>FEIRAS EVENTOS E CONFRATERNIZACOESOper</v>
      </c>
      <c r="AE717" s="42" t="str">
        <f>IFERROR(VLOOKUP(C717,[34]Planilha1!$B:$C,2,0),"Não se Aplica")</f>
        <v>Sim</v>
      </c>
      <c r="AF717" s="42" t="str">
        <f>VLOOKUP(AD717,[34]Planilha1!$H:$J,3,0)</f>
        <v>Não</v>
      </c>
      <c r="AG717" s="43">
        <f t="shared" si="212"/>
        <v>8928.5714285714294</v>
      </c>
    </row>
    <row r="718" spans="1:33" x14ac:dyDescent="0.3">
      <c r="A718" s="1" t="s">
        <v>836</v>
      </c>
      <c r="B718" s="65" t="s">
        <v>28</v>
      </c>
      <c r="C718" s="78" t="s">
        <v>685</v>
      </c>
      <c r="D718" s="81" t="s">
        <v>717</v>
      </c>
      <c r="E718" s="86" t="s">
        <v>711</v>
      </c>
      <c r="F718" s="81" t="s">
        <v>41</v>
      </c>
      <c r="G718" s="65" t="s">
        <v>33</v>
      </c>
      <c r="H718" s="81" t="s">
        <v>42</v>
      </c>
      <c r="I718" s="27"/>
      <c r="J718" s="27">
        <v>940.53</v>
      </c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>
        <f t="shared" si="213"/>
        <v>940.53</v>
      </c>
      <c r="V718" s="82"/>
      <c r="W718"/>
      <c r="X718" s="87"/>
      <c r="Y718" s="8"/>
      <c r="Z718"/>
      <c r="AA718"/>
      <c r="AB718"/>
      <c r="AD718" s="42" t="str">
        <f>C718&amp;A718</f>
        <v>IMPOSTOS/TAXAS FEDERAISOper</v>
      </c>
      <c r="AE718" s="42" t="str">
        <f>IFERROR(VLOOKUP(C718,[34]Planilha1!$B:$C,2,0),"Não se Aplica")</f>
        <v>Sim</v>
      </c>
      <c r="AF718" s="42" t="str">
        <f>VLOOKUP(AD718,[34]Planilha1!$H:$J,3,0)</f>
        <v>Não</v>
      </c>
      <c r="AG718" s="43">
        <f t="shared" si="212"/>
        <v>940.53</v>
      </c>
    </row>
    <row r="719" spans="1:33" x14ac:dyDescent="0.3">
      <c r="A719" s="1" t="s">
        <v>836</v>
      </c>
      <c r="B719" s="65" t="s">
        <v>20</v>
      </c>
      <c r="C719" s="78" t="s">
        <v>210</v>
      </c>
      <c r="D719" s="81" t="s">
        <v>679</v>
      </c>
      <c r="E719" s="86" t="s">
        <v>214</v>
      </c>
      <c r="F719" s="81" t="s">
        <v>41</v>
      </c>
      <c r="G719" s="65" t="s">
        <v>32</v>
      </c>
      <c r="H719" s="81" t="s">
        <v>42</v>
      </c>
      <c r="I719" s="27">
        <v>1500</v>
      </c>
      <c r="J719" s="27"/>
      <c r="K719" s="27">
        <v>1500</v>
      </c>
      <c r="L719" s="27"/>
      <c r="M719" s="27">
        <v>1500</v>
      </c>
      <c r="N719" s="27"/>
      <c r="O719" s="27">
        <v>1500</v>
      </c>
      <c r="P719" s="27"/>
      <c r="Q719" s="27">
        <v>1500</v>
      </c>
      <c r="R719" s="27"/>
      <c r="S719" s="27">
        <v>1500</v>
      </c>
      <c r="T719" s="27"/>
      <c r="U719" s="27">
        <f t="shared" si="213"/>
        <v>9000</v>
      </c>
      <c r="V719" s="82"/>
      <c r="W719"/>
      <c r="X719" s="87"/>
      <c r="Y719" s="8"/>
      <c r="Z719"/>
      <c r="AA719"/>
      <c r="AB719"/>
      <c r="AD719" s="42" t="str">
        <f>C719&amp;A719</f>
        <v>CERTIFICACAO/QUALIDADEOper</v>
      </c>
      <c r="AE719" s="42" t="str">
        <f>IFERROR(VLOOKUP(C719,[34]Planilha1!$B:$C,2,0),"Não se Aplica")</f>
        <v>Sim</v>
      </c>
      <c r="AF719" s="42" t="str">
        <f>VLOOKUP(AD719,[34]Planilha1!$H:$J,3,0)</f>
        <v>Não</v>
      </c>
      <c r="AG719" s="43">
        <f t="shared" si="212"/>
        <v>9000</v>
      </c>
    </row>
    <row r="720" spans="1:33" x14ac:dyDescent="0.3">
      <c r="A720" s="1" t="s">
        <v>836</v>
      </c>
      <c r="B720" s="65" t="s">
        <v>28</v>
      </c>
      <c r="C720" s="78" t="s">
        <v>210</v>
      </c>
      <c r="D720" s="81" t="s">
        <v>679</v>
      </c>
      <c r="E720" s="86" t="s">
        <v>214</v>
      </c>
      <c r="F720" s="81" t="s">
        <v>41</v>
      </c>
      <c r="G720" s="65" t="s">
        <v>32</v>
      </c>
      <c r="H720" s="81" t="s">
        <v>42</v>
      </c>
      <c r="I720" s="27"/>
      <c r="J720" s="27"/>
      <c r="K720" s="27"/>
      <c r="L720" s="27">
        <v>2000</v>
      </c>
      <c r="M720" s="27"/>
      <c r="N720" s="27"/>
      <c r="O720" s="27"/>
      <c r="P720" s="27"/>
      <c r="Q720" s="27"/>
      <c r="R720" s="27"/>
      <c r="S720" s="27"/>
      <c r="T720" s="27"/>
      <c r="U720" s="27">
        <f t="shared" si="213"/>
        <v>2000</v>
      </c>
      <c r="V720" s="82"/>
      <c r="W720"/>
      <c r="X720" s="87"/>
      <c r="Y720" s="8"/>
      <c r="Z720"/>
      <c r="AA720"/>
      <c r="AB720"/>
      <c r="AD720" s="42" t="str">
        <f>C720&amp;A720</f>
        <v>CERTIFICACAO/QUALIDADEOper</v>
      </c>
      <c r="AE720" s="42" t="str">
        <f>IFERROR(VLOOKUP(C720,[34]Planilha1!$B:$C,2,0),"Não se Aplica")</f>
        <v>Sim</v>
      </c>
      <c r="AF720" s="42" t="str">
        <f>VLOOKUP(AD720,[34]Planilha1!$H:$J,3,0)</f>
        <v>Não</v>
      </c>
      <c r="AG720" s="43">
        <f t="shared" si="212"/>
        <v>2000</v>
      </c>
    </row>
    <row r="721" spans="1:33" x14ac:dyDescent="0.3">
      <c r="A721" s="1" t="s">
        <v>836</v>
      </c>
      <c r="B721" s="65" t="s">
        <v>28</v>
      </c>
      <c r="C721" s="78" t="s">
        <v>685</v>
      </c>
      <c r="D721" s="81" t="s">
        <v>718</v>
      </c>
      <c r="E721" s="86" t="s">
        <v>719</v>
      </c>
      <c r="F721" s="81" t="s">
        <v>41</v>
      </c>
      <c r="G721" s="65" t="s">
        <v>32</v>
      </c>
      <c r="H721" s="81" t="s">
        <v>42</v>
      </c>
      <c r="I721" s="27"/>
      <c r="J721" s="27"/>
      <c r="K721" s="27"/>
      <c r="L721" s="27"/>
      <c r="M721" s="27"/>
      <c r="N721" s="27">
        <v>1143.1237999999998</v>
      </c>
      <c r="O721" s="27"/>
      <c r="P721" s="27"/>
      <c r="Q721" s="27">
        <v>115.7312</v>
      </c>
      <c r="R721" s="27"/>
      <c r="S721" s="27"/>
      <c r="T721" s="27"/>
      <c r="U721" s="27">
        <f t="shared" si="213"/>
        <v>1258.8549999999998</v>
      </c>
      <c r="V721" s="82"/>
      <c r="W721"/>
      <c r="X721" s="87"/>
      <c r="Y721" s="8"/>
      <c r="Z721"/>
      <c r="AA721"/>
      <c r="AB721"/>
      <c r="AD721" s="42" t="str">
        <f>C721&amp;A721</f>
        <v>IMPOSTOS/TAXAS FEDERAISOper</v>
      </c>
      <c r="AE721" s="42" t="str">
        <f>IFERROR(VLOOKUP(C721,[34]Planilha1!$B:$C,2,0),"Não se Aplica")</f>
        <v>Sim</v>
      </c>
      <c r="AF721" s="42" t="str">
        <f>VLOOKUP(AD721,[34]Planilha1!$H:$J,3,0)</f>
        <v>Não</v>
      </c>
      <c r="AG721" s="43">
        <f t="shared" si="212"/>
        <v>1258.8549999999998</v>
      </c>
    </row>
    <row r="722" spans="1:33" x14ac:dyDescent="0.3">
      <c r="A722" s="1" t="s">
        <v>836</v>
      </c>
      <c r="B722" s="65" t="s">
        <v>20</v>
      </c>
      <c r="C722" s="78" t="s">
        <v>210</v>
      </c>
      <c r="D722" s="81" t="s">
        <v>720</v>
      </c>
      <c r="E722" s="86"/>
      <c r="F722" s="81" t="s">
        <v>41</v>
      </c>
      <c r="G722" s="65" t="s">
        <v>32</v>
      </c>
      <c r="H722" s="81" t="s">
        <v>42</v>
      </c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27">
        <f t="shared" si="213"/>
        <v>0</v>
      </c>
      <c r="V722" s="82"/>
      <c r="W722"/>
      <c r="X722" s="87"/>
      <c r="Y722" s="8"/>
      <c r="Z722"/>
      <c r="AA722"/>
      <c r="AB722"/>
      <c r="AD722" s="42" t="str">
        <f>C722&amp;A722</f>
        <v>CERTIFICACAO/QUALIDADEOper</v>
      </c>
      <c r="AE722" s="42" t="str">
        <f>IFERROR(VLOOKUP(C722,[34]Planilha1!$B:$C,2,0),"Não se Aplica")</f>
        <v>Sim</v>
      </c>
      <c r="AF722" s="42" t="str">
        <f>VLOOKUP(AD722,[34]Planilha1!$H:$J,3,0)</f>
        <v>Não</v>
      </c>
      <c r="AG722" s="43">
        <f t="shared" si="212"/>
        <v>0</v>
      </c>
    </row>
    <row r="723" spans="1:33" x14ac:dyDescent="0.3">
      <c r="A723" s="1" t="s">
        <v>836</v>
      </c>
      <c r="B723" s="65" t="s">
        <v>20</v>
      </c>
      <c r="C723" s="78" t="s">
        <v>57</v>
      </c>
      <c r="D723" s="81" t="s">
        <v>721</v>
      </c>
      <c r="E723" s="86" t="s">
        <v>722</v>
      </c>
      <c r="F723" s="81" t="s">
        <v>41</v>
      </c>
      <c r="G723" s="65" t="s">
        <v>32</v>
      </c>
      <c r="H723" s="81" t="s">
        <v>42</v>
      </c>
      <c r="I723" s="27"/>
      <c r="J723" s="27"/>
      <c r="K723" s="27">
        <v>18424</v>
      </c>
      <c r="L723" s="27"/>
      <c r="M723" s="27"/>
      <c r="N723" s="27"/>
      <c r="O723" s="27"/>
      <c r="P723" s="27"/>
      <c r="Q723" s="27"/>
      <c r="R723" s="27"/>
      <c r="S723" s="27"/>
      <c r="T723" s="27"/>
      <c r="U723" s="27">
        <f t="shared" si="213"/>
        <v>18424</v>
      </c>
      <c r="V723" s="82"/>
      <c r="W723"/>
      <c r="X723" s="87"/>
      <c r="Y723" s="8"/>
      <c r="Z723"/>
      <c r="AA723"/>
      <c r="AB723"/>
      <c r="AD723" s="42" t="str">
        <f>C723&amp;A723</f>
        <v>AUDITORIA/CONSULTORIAOper</v>
      </c>
      <c r="AE723" s="42" t="str">
        <f>IFERROR(VLOOKUP(C723,[34]Planilha1!$B:$C,2,0),"Não se Aplica")</f>
        <v>Sim</v>
      </c>
      <c r="AF723" s="42" t="str">
        <f>VLOOKUP(AD723,[34]Planilha1!$H:$J,3,0)</f>
        <v>Não</v>
      </c>
      <c r="AG723" s="43">
        <f t="shared" si="212"/>
        <v>18424</v>
      </c>
    </row>
    <row r="724" spans="1:33" x14ac:dyDescent="0.3">
      <c r="A724" s="1" t="s">
        <v>836</v>
      </c>
      <c r="B724" s="65" t="s">
        <v>28</v>
      </c>
      <c r="C724" s="78" t="s">
        <v>57</v>
      </c>
      <c r="D724" s="81" t="s">
        <v>721</v>
      </c>
      <c r="E724" s="86" t="s">
        <v>722</v>
      </c>
      <c r="F724" s="81" t="s">
        <v>41</v>
      </c>
      <c r="G724" s="65" t="s">
        <v>32</v>
      </c>
      <c r="H724" s="81" t="s">
        <v>42</v>
      </c>
      <c r="I724" s="27"/>
      <c r="J724" s="27"/>
      <c r="K724" s="27">
        <v>2434.6352000000002</v>
      </c>
      <c r="L724" s="27"/>
      <c r="M724" s="27"/>
      <c r="N724" s="27"/>
      <c r="O724" s="27"/>
      <c r="P724" s="27"/>
      <c r="Q724" s="27"/>
      <c r="R724" s="27"/>
      <c r="S724" s="27"/>
      <c r="T724" s="27"/>
      <c r="U724" s="27">
        <f t="shared" si="213"/>
        <v>2434.6352000000002</v>
      </c>
      <c r="V724" s="82"/>
      <c r="W724"/>
      <c r="X724" s="87"/>
      <c r="Y724" s="8"/>
      <c r="Z724"/>
      <c r="AA724"/>
      <c r="AB724"/>
      <c r="AD724" s="42" t="str">
        <f>C724&amp;A724</f>
        <v>AUDITORIA/CONSULTORIAOper</v>
      </c>
      <c r="AE724" s="42" t="str">
        <f>IFERROR(VLOOKUP(C724,[34]Planilha1!$B:$C,2,0),"Não se Aplica")</f>
        <v>Sim</v>
      </c>
      <c r="AF724" s="42" t="str">
        <f>VLOOKUP(AD724,[34]Planilha1!$H:$J,3,0)</f>
        <v>Não</v>
      </c>
      <c r="AG724" s="43">
        <f t="shared" si="212"/>
        <v>2434.6352000000002</v>
      </c>
    </row>
    <row r="725" spans="1:33" x14ac:dyDescent="0.3">
      <c r="A725" s="1" t="s">
        <v>836</v>
      </c>
      <c r="B725" s="65" t="s">
        <v>20</v>
      </c>
      <c r="C725" s="78" t="s">
        <v>57</v>
      </c>
      <c r="D725" s="81" t="s">
        <v>723</v>
      </c>
      <c r="E725" s="86" t="s">
        <v>722</v>
      </c>
      <c r="F725" s="81" t="s">
        <v>41</v>
      </c>
      <c r="G725" s="65" t="s">
        <v>32</v>
      </c>
      <c r="H725" s="81" t="s">
        <v>42</v>
      </c>
      <c r="I725" s="27"/>
      <c r="J725" s="27"/>
      <c r="K725" s="27"/>
      <c r="L725" s="27"/>
      <c r="M725" s="27"/>
      <c r="N725" s="27"/>
      <c r="O725" s="27"/>
      <c r="P725" s="27">
        <v>16100</v>
      </c>
      <c r="Q725" s="27"/>
      <c r="R725" s="27"/>
      <c r="S725" s="27"/>
      <c r="T725" s="27"/>
      <c r="U725" s="27">
        <f t="shared" si="213"/>
        <v>16100</v>
      </c>
      <c r="V725" s="82"/>
      <c r="W725"/>
      <c r="X725" s="87"/>
      <c r="Y725" s="8"/>
      <c r="Z725"/>
      <c r="AA725"/>
      <c r="AB725"/>
      <c r="AD725" s="42" t="str">
        <f>C725&amp;A725</f>
        <v>AUDITORIA/CONSULTORIAOper</v>
      </c>
      <c r="AE725" s="42" t="str">
        <f>IFERROR(VLOOKUP(C725,[34]Planilha1!$B:$C,2,0),"Não se Aplica")</f>
        <v>Sim</v>
      </c>
      <c r="AF725" s="42" t="str">
        <f>VLOOKUP(AD725,[34]Planilha1!$H:$J,3,0)</f>
        <v>Não</v>
      </c>
      <c r="AG725" s="43">
        <f t="shared" si="212"/>
        <v>16100</v>
      </c>
    </row>
    <row r="726" spans="1:33" x14ac:dyDescent="0.3">
      <c r="A726" s="1" t="s">
        <v>836</v>
      </c>
      <c r="B726" s="65" t="s">
        <v>20</v>
      </c>
      <c r="C726" s="78" t="s">
        <v>57</v>
      </c>
      <c r="D726" s="81" t="s">
        <v>724</v>
      </c>
      <c r="E726" s="86" t="s">
        <v>722</v>
      </c>
      <c r="F726" s="81" t="s">
        <v>41</v>
      </c>
      <c r="G726" s="65" t="s">
        <v>32</v>
      </c>
      <c r="H726" s="81" t="s">
        <v>42</v>
      </c>
      <c r="I726" s="27"/>
      <c r="J726" s="27"/>
      <c r="K726" s="27"/>
      <c r="L726" s="27"/>
      <c r="M726" s="27"/>
      <c r="N726" s="27">
        <v>5082</v>
      </c>
      <c r="O726" s="27"/>
      <c r="P726" s="27"/>
      <c r="Q726" s="27"/>
      <c r="R726" s="27"/>
      <c r="S726" s="27"/>
      <c r="T726" s="27"/>
      <c r="U726" s="27">
        <f t="shared" si="213"/>
        <v>5082</v>
      </c>
      <c r="V726" s="82"/>
      <c r="W726"/>
      <c r="X726" s="87"/>
      <c r="Y726" s="8"/>
      <c r="Z726"/>
      <c r="AA726"/>
      <c r="AB726"/>
      <c r="AD726" s="42" t="str">
        <f>C726&amp;A726</f>
        <v>AUDITORIA/CONSULTORIAOper</v>
      </c>
      <c r="AE726" s="42" t="str">
        <f>IFERROR(VLOOKUP(C726,[34]Planilha1!$B:$C,2,0),"Não se Aplica")</f>
        <v>Sim</v>
      </c>
      <c r="AF726" s="42" t="str">
        <f>VLOOKUP(AD726,[34]Planilha1!$H:$J,3,0)</f>
        <v>Não</v>
      </c>
      <c r="AG726" s="43">
        <f t="shared" si="212"/>
        <v>5082</v>
      </c>
    </row>
    <row r="727" spans="1:33" x14ac:dyDescent="0.3">
      <c r="A727" s="1" t="s">
        <v>836</v>
      </c>
      <c r="B727" s="65" t="s">
        <v>28</v>
      </c>
      <c r="C727" s="78" t="s">
        <v>57</v>
      </c>
      <c r="D727" s="81" t="s">
        <v>725</v>
      </c>
      <c r="E727" s="86" t="s">
        <v>722</v>
      </c>
      <c r="F727" s="81" t="s">
        <v>41</v>
      </c>
      <c r="G727" s="65" t="s">
        <v>32</v>
      </c>
      <c r="H727" s="81" t="s">
        <v>42</v>
      </c>
      <c r="I727" s="27"/>
      <c r="J727" s="27"/>
      <c r="K727" s="27"/>
      <c r="L727" s="27"/>
      <c r="M727" s="27"/>
      <c r="N727" s="27">
        <v>2710.4704999999999</v>
      </c>
      <c r="O727" s="27"/>
      <c r="P727" s="27"/>
      <c r="Q727" s="27"/>
      <c r="R727" s="27"/>
      <c r="S727" s="27"/>
      <c r="T727" s="27"/>
      <c r="U727" s="27">
        <f t="shared" si="213"/>
        <v>2710.4704999999999</v>
      </c>
      <c r="V727" s="82"/>
      <c r="W727"/>
      <c r="X727" s="87"/>
      <c r="Y727" s="8"/>
      <c r="Z727"/>
      <c r="AA727"/>
      <c r="AB727"/>
      <c r="AD727" s="42" t="str">
        <f>C727&amp;A727</f>
        <v>AUDITORIA/CONSULTORIAOper</v>
      </c>
      <c r="AE727" s="42" t="str">
        <f>IFERROR(VLOOKUP(C727,[34]Planilha1!$B:$C,2,0),"Não se Aplica")</f>
        <v>Sim</v>
      </c>
      <c r="AF727" s="42" t="str">
        <f>VLOOKUP(AD727,[34]Planilha1!$H:$J,3,0)</f>
        <v>Não</v>
      </c>
      <c r="AG727" s="43">
        <f t="shared" si="212"/>
        <v>2710.4704999999999</v>
      </c>
    </row>
    <row r="728" spans="1:33" x14ac:dyDescent="0.3">
      <c r="A728" s="1" t="s">
        <v>836</v>
      </c>
      <c r="B728" s="65" t="s">
        <v>28</v>
      </c>
      <c r="C728" s="78" t="s">
        <v>57</v>
      </c>
      <c r="D728" s="81" t="s">
        <v>726</v>
      </c>
      <c r="E728" s="86" t="s">
        <v>545</v>
      </c>
      <c r="F728" s="81" t="s">
        <v>41</v>
      </c>
      <c r="G728" s="65" t="s">
        <v>32</v>
      </c>
      <c r="H728" s="81" t="s">
        <v>42</v>
      </c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>
        <f t="shared" si="213"/>
        <v>0</v>
      </c>
      <c r="V728" s="82"/>
      <c r="W728"/>
      <c r="X728" s="87"/>
      <c r="Y728" s="8"/>
      <c r="Z728"/>
      <c r="AA728"/>
      <c r="AB728"/>
      <c r="AD728" s="42" t="str">
        <f>C728&amp;A728</f>
        <v>AUDITORIA/CONSULTORIAOper</v>
      </c>
      <c r="AE728" s="42" t="str">
        <f>IFERROR(VLOOKUP(C728,[34]Planilha1!$B:$C,2,0),"Não se Aplica")</f>
        <v>Sim</v>
      </c>
      <c r="AF728" s="42" t="str">
        <f>VLOOKUP(AD728,[34]Planilha1!$H:$J,3,0)</f>
        <v>Não</v>
      </c>
      <c r="AG728" s="43">
        <f t="shared" si="212"/>
        <v>0</v>
      </c>
    </row>
    <row r="729" spans="1:33" x14ac:dyDescent="0.3">
      <c r="A729" s="1" t="s">
        <v>836</v>
      </c>
      <c r="B729" s="65" t="s">
        <v>20</v>
      </c>
      <c r="C729" s="78" t="s">
        <v>57</v>
      </c>
      <c r="D729" s="81" t="s">
        <v>726</v>
      </c>
      <c r="E729" s="86" t="s">
        <v>545</v>
      </c>
      <c r="F729" s="81" t="s">
        <v>41</v>
      </c>
      <c r="G729" s="65" t="s">
        <v>32</v>
      </c>
      <c r="H729" s="81" t="s">
        <v>42</v>
      </c>
      <c r="I729" s="27"/>
      <c r="J729" s="27"/>
      <c r="K729" s="27">
        <v>10725</v>
      </c>
      <c r="L729" s="27"/>
      <c r="M729" s="27"/>
      <c r="N729" s="27"/>
      <c r="O729" s="27"/>
      <c r="P729" s="27"/>
      <c r="Q729" s="27"/>
      <c r="R729" s="27"/>
      <c r="S729" s="27"/>
      <c r="T729" s="27"/>
      <c r="U729" s="27">
        <f t="shared" si="213"/>
        <v>10725</v>
      </c>
      <c r="V729" s="82"/>
      <c r="W729"/>
      <c r="X729" s="87"/>
      <c r="Y729" s="8"/>
      <c r="Z729"/>
      <c r="AA729"/>
      <c r="AB729"/>
      <c r="AD729" s="42" t="str">
        <f>C729&amp;A729</f>
        <v>AUDITORIA/CONSULTORIAOper</v>
      </c>
      <c r="AE729" s="42" t="str">
        <f>IFERROR(VLOOKUP(C729,[34]Planilha1!$B:$C,2,0),"Não se Aplica")</f>
        <v>Sim</v>
      </c>
      <c r="AF729" s="42" t="str">
        <f>VLOOKUP(AD729,[34]Planilha1!$H:$J,3,0)</f>
        <v>Não</v>
      </c>
      <c r="AG729" s="43">
        <f t="shared" si="212"/>
        <v>10725</v>
      </c>
    </row>
    <row r="730" spans="1:33" x14ac:dyDescent="0.3">
      <c r="A730" s="1" t="s">
        <v>836</v>
      </c>
      <c r="B730" s="65" t="s">
        <v>28</v>
      </c>
      <c r="C730" s="78" t="s">
        <v>210</v>
      </c>
      <c r="D730" s="81" t="s">
        <v>679</v>
      </c>
      <c r="E730" s="86" t="s">
        <v>727</v>
      </c>
      <c r="F730" s="81" t="s">
        <v>41</v>
      </c>
      <c r="G730" s="65" t="s">
        <v>31</v>
      </c>
      <c r="H730" s="81" t="s">
        <v>42</v>
      </c>
      <c r="I730" s="27">
        <v>328.49</v>
      </c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>
        <f t="shared" si="213"/>
        <v>328.49</v>
      </c>
      <c r="V730" s="82"/>
      <c r="W730"/>
      <c r="X730" s="87"/>
      <c r="Y730" s="8"/>
      <c r="Z730"/>
      <c r="AA730"/>
      <c r="AB730"/>
      <c r="AD730" s="42" t="str">
        <f>C730&amp;A730</f>
        <v>CERTIFICACAO/QUALIDADEOper</v>
      </c>
      <c r="AE730" s="42" t="str">
        <f>IFERROR(VLOOKUP(C730,[34]Planilha1!$B:$C,2,0),"Não se Aplica")</f>
        <v>Sim</v>
      </c>
      <c r="AF730" s="42" t="str">
        <f>VLOOKUP(AD730,[34]Planilha1!$H:$J,3,0)</f>
        <v>Não</v>
      </c>
      <c r="AG730" s="43">
        <f t="shared" si="212"/>
        <v>328.49</v>
      </c>
    </row>
    <row r="731" spans="1:33" x14ac:dyDescent="0.3">
      <c r="A731" s="1" t="s">
        <v>836</v>
      </c>
      <c r="B731" s="65" t="s">
        <v>28</v>
      </c>
      <c r="C731" s="78" t="s">
        <v>210</v>
      </c>
      <c r="D731" s="81" t="s">
        <v>679</v>
      </c>
      <c r="E731" s="86" t="s">
        <v>727</v>
      </c>
      <c r="F731" s="81" t="s">
        <v>41</v>
      </c>
      <c r="G731" s="65" t="s">
        <v>90</v>
      </c>
      <c r="H731" s="81" t="s">
        <v>42</v>
      </c>
      <c r="I731" s="27"/>
      <c r="J731" s="27">
        <v>306.07350000000002</v>
      </c>
      <c r="K731" s="27"/>
      <c r="L731" s="27"/>
      <c r="M731" s="27"/>
      <c r="N731" s="27"/>
      <c r="O731" s="27"/>
      <c r="P731" s="27">
        <v>321</v>
      </c>
      <c r="Q731" s="27"/>
      <c r="R731" s="27"/>
      <c r="S731" s="27"/>
      <c r="T731" s="27"/>
      <c r="U731" s="27">
        <f t="shared" si="213"/>
        <v>627.07349999999997</v>
      </c>
      <c r="V731" s="82"/>
      <c r="W731"/>
      <c r="X731" s="87"/>
      <c r="Y731" s="8"/>
      <c r="Z731"/>
      <c r="AA731"/>
      <c r="AB731"/>
      <c r="AD731" s="42" t="str">
        <f>C731&amp;A731</f>
        <v>CERTIFICACAO/QUALIDADEOper</v>
      </c>
      <c r="AE731" s="42" t="str">
        <f>IFERROR(VLOOKUP(C731,[34]Planilha1!$B:$C,2,0),"Não se Aplica")</f>
        <v>Sim</v>
      </c>
      <c r="AF731" s="42" t="str">
        <f>VLOOKUP(AD731,[34]Planilha1!$H:$J,3,0)</f>
        <v>Não</v>
      </c>
      <c r="AG731" s="43">
        <f t="shared" si="212"/>
        <v>627.07349999999997</v>
      </c>
    </row>
    <row r="732" spans="1:33" x14ac:dyDescent="0.3">
      <c r="A732" s="1" t="s">
        <v>836</v>
      </c>
      <c r="B732" s="65" t="s">
        <v>28</v>
      </c>
      <c r="C732" s="78" t="s">
        <v>685</v>
      </c>
      <c r="D732" s="81" t="s">
        <v>698</v>
      </c>
      <c r="E732" s="86" t="s">
        <v>728</v>
      </c>
      <c r="F732" s="81" t="s">
        <v>41</v>
      </c>
      <c r="G732" s="65" t="s">
        <v>100</v>
      </c>
      <c r="H732" s="81" t="s">
        <v>42</v>
      </c>
      <c r="I732" s="27"/>
      <c r="J732" s="27"/>
      <c r="K732" s="27"/>
      <c r="L732" s="27">
        <v>807.04750000000001</v>
      </c>
      <c r="M732" s="27">
        <v>578.87</v>
      </c>
      <c r="N732" s="27"/>
      <c r="O732" s="27"/>
      <c r="P732" s="27">
        <v>807.04</v>
      </c>
      <c r="Q732" s="27"/>
      <c r="R732" s="27"/>
      <c r="S732" s="27"/>
      <c r="T732" s="27"/>
      <c r="U732" s="27">
        <f t="shared" si="213"/>
        <v>2192.9575</v>
      </c>
      <c r="V732" s="82"/>
      <c r="W732"/>
      <c r="X732" s="87"/>
      <c r="Y732" s="8"/>
      <c r="Z732"/>
      <c r="AA732"/>
      <c r="AB732"/>
      <c r="AD732" s="42" t="str">
        <f>C732&amp;A732</f>
        <v>IMPOSTOS/TAXAS FEDERAISOper</v>
      </c>
      <c r="AE732" s="42" t="str">
        <f>IFERROR(VLOOKUP(C732,[34]Planilha1!$B:$C,2,0),"Não se Aplica")</f>
        <v>Sim</v>
      </c>
      <c r="AF732" s="42" t="str">
        <f>VLOOKUP(AD732,[34]Planilha1!$H:$J,3,0)</f>
        <v>Não</v>
      </c>
      <c r="AG732" s="43">
        <f t="shared" si="212"/>
        <v>2192.9575</v>
      </c>
    </row>
    <row r="733" spans="1:33" x14ac:dyDescent="0.3">
      <c r="A733" s="1" t="s">
        <v>836</v>
      </c>
      <c r="B733" s="65" t="s">
        <v>20</v>
      </c>
      <c r="C733" s="78" t="s">
        <v>210</v>
      </c>
      <c r="D733" s="81" t="s">
        <v>729</v>
      </c>
      <c r="E733" s="86" t="s">
        <v>730</v>
      </c>
      <c r="F733" s="81" t="s">
        <v>41</v>
      </c>
      <c r="G733" s="65" t="s">
        <v>31</v>
      </c>
      <c r="H733" s="81" t="s">
        <v>42</v>
      </c>
      <c r="I733" s="27"/>
      <c r="J733" s="27"/>
      <c r="K733" s="27">
        <v>444</v>
      </c>
      <c r="L733" s="27"/>
      <c r="M733" s="27"/>
      <c r="N733" s="27"/>
      <c r="O733" s="27"/>
      <c r="P733" s="27"/>
      <c r="Q733" s="27"/>
      <c r="R733" s="27"/>
      <c r="S733" s="27"/>
      <c r="T733" s="27"/>
      <c r="U733" s="27">
        <f t="shared" si="213"/>
        <v>444</v>
      </c>
      <c r="V733" s="82"/>
      <c r="W733"/>
      <c r="X733" s="87"/>
      <c r="Y733" s="8"/>
      <c r="Z733"/>
      <c r="AA733"/>
      <c r="AB733"/>
      <c r="AD733" s="42" t="str">
        <f>C733&amp;A733</f>
        <v>CERTIFICACAO/QUALIDADEOper</v>
      </c>
      <c r="AE733" s="42" t="str">
        <f>IFERROR(VLOOKUP(C733,[34]Planilha1!$B:$C,2,0),"Não se Aplica")</f>
        <v>Sim</v>
      </c>
      <c r="AF733" s="42" t="str">
        <f>VLOOKUP(AD733,[34]Planilha1!$H:$J,3,0)</f>
        <v>Não</v>
      </c>
      <c r="AG733" s="43">
        <f t="shared" si="212"/>
        <v>444</v>
      </c>
    </row>
    <row r="734" spans="1:33" x14ac:dyDescent="0.3">
      <c r="A734" s="1" t="s">
        <v>836</v>
      </c>
      <c r="B734" s="65" t="s">
        <v>28</v>
      </c>
      <c r="C734" s="78" t="s">
        <v>210</v>
      </c>
      <c r="D734" s="81" t="s">
        <v>729</v>
      </c>
      <c r="E734" s="86" t="s">
        <v>730</v>
      </c>
      <c r="F734" s="81" t="s">
        <v>41</v>
      </c>
      <c r="G734" s="65" t="s">
        <v>31</v>
      </c>
      <c r="H734" s="81" t="s">
        <v>42</v>
      </c>
      <c r="I734" s="27"/>
      <c r="J734" s="27"/>
      <c r="K734" s="27">
        <v>444</v>
      </c>
      <c r="L734" s="27"/>
      <c r="M734" s="27"/>
      <c r="N734" s="27"/>
      <c r="O734" s="27"/>
      <c r="P734" s="27"/>
      <c r="Q734" s="27"/>
      <c r="R734" s="27"/>
      <c r="S734" s="27"/>
      <c r="T734" s="27"/>
      <c r="U734" s="27">
        <f t="shared" si="213"/>
        <v>444</v>
      </c>
      <c r="V734" s="82"/>
      <c r="W734"/>
      <c r="X734" s="87"/>
      <c r="Y734" s="8"/>
      <c r="Z734"/>
      <c r="AA734"/>
      <c r="AB734"/>
      <c r="AD734" s="42" t="str">
        <f>C734&amp;A734</f>
        <v>CERTIFICACAO/QUALIDADEOper</v>
      </c>
      <c r="AE734" s="42" t="str">
        <f>IFERROR(VLOOKUP(C734,[34]Planilha1!$B:$C,2,0),"Não se Aplica")</f>
        <v>Sim</v>
      </c>
      <c r="AF734" s="42" t="str">
        <f>VLOOKUP(AD734,[34]Planilha1!$H:$J,3,0)</f>
        <v>Não</v>
      </c>
      <c r="AG734" s="43">
        <f t="shared" si="212"/>
        <v>444</v>
      </c>
    </row>
    <row r="735" spans="1:33" x14ac:dyDescent="0.3">
      <c r="A735" s="1" t="s">
        <v>836</v>
      </c>
      <c r="B735" s="65" t="s">
        <v>28</v>
      </c>
      <c r="C735" s="78" t="s">
        <v>210</v>
      </c>
      <c r="D735" s="81" t="s">
        <v>731</v>
      </c>
      <c r="E735" s="86" t="s">
        <v>732</v>
      </c>
      <c r="F735" s="81" t="s">
        <v>41</v>
      </c>
      <c r="G735" s="65" t="s">
        <v>31</v>
      </c>
      <c r="H735" s="81" t="s">
        <v>42</v>
      </c>
      <c r="I735" s="27"/>
      <c r="J735" s="27"/>
      <c r="K735" s="27"/>
      <c r="L735" s="27"/>
      <c r="M735" s="27"/>
      <c r="N735" s="27">
        <v>963</v>
      </c>
      <c r="O735" s="27"/>
      <c r="P735" s="27"/>
      <c r="Q735" s="27"/>
      <c r="R735" s="27"/>
      <c r="S735" s="27"/>
      <c r="T735" s="27"/>
      <c r="U735" s="27">
        <f t="shared" si="213"/>
        <v>963</v>
      </c>
      <c r="V735" s="82"/>
      <c r="W735"/>
      <c r="X735" s="87"/>
      <c r="Y735" s="8"/>
      <c r="Z735"/>
      <c r="AA735"/>
      <c r="AB735"/>
      <c r="AD735" s="42" t="str">
        <f>C735&amp;A735</f>
        <v>CERTIFICACAO/QUALIDADEOper</v>
      </c>
      <c r="AE735" s="42" t="str">
        <f>IFERROR(VLOOKUP(C735,[34]Planilha1!$B:$C,2,0),"Não se Aplica")</f>
        <v>Sim</v>
      </c>
      <c r="AF735" s="42" t="str">
        <f>VLOOKUP(AD735,[34]Planilha1!$H:$J,3,0)</f>
        <v>Não</v>
      </c>
      <c r="AG735" s="43">
        <f t="shared" si="212"/>
        <v>963</v>
      </c>
    </row>
    <row r="736" spans="1:33" x14ac:dyDescent="0.3">
      <c r="A736" s="1" t="s">
        <v>836</v>
      </c>
      <c r="B736" s="65" t="s">
        <v>28</v>
      </c>
      <c r="C736" s="78" t="s">
        <v>685</v>
      </c>
      <c r="D736" s="81" t="s">
        <v>733</v>
      </c>
      <c r="E736" s="86" t="s">
        <v>734</v>
      </c>
      <c r="F736" s="81" t="s">
        <v>41</v>
      </c>
      <c r="G736" s="65" t="s">
        <v>29</v>
      </c>
      <c r="H736" s="81" t="s">
        <v>42</v>
      </c>
      <c r="I736" s="27"/>
      <c r="J736" s="27"/>
      <c r="K736" s="27"/>
      <c r="L736" s="27">
        <v>235.19</v>
      </c>
      <c r="M736" s="27"/>
      <c r="N736" s="27"/>
      <c r="O736" s="27"/>
      <c r="P736" s="27"/>
      <c r="Q736" s="27"/>
      <c r="R736" s="27"/>
      <c r="S736" s="27"/>
      <c r="T736" s="27"/>
      <c r="U736" s="27">
        <f t="shared" si="213"/>
        <v>235.19</v>
      </c>
      <c r="V736" s="82"/>
      <c r="W736"/>
      <c r="X736" s="87"/>
      <c r="Y736" s="8"/>
      <c r="Z736"/>
      <c r="AA736"/>
      <c r="AB736"/>
      <c r="AD736" s="42" t="str">
        <f>C736&amp;A736</f>
        <v>IMPOSTOS/TAXAS FEDERAISOper</v>
      </c>
      <c r="AE736" s="42" t="str">
        <f>IFERROR(VLOOKUP(C736,[34]Planilha1!$B:$C,2,0),"Não se Aplica")</f>
        <v>Sim</v>
      </c>
      <c r="AF736" s="42" t="str">
        <f>VLOOKUP(AD736,[34]Planilha1!$H:$J,3,0)</f>
        <v>Não</v>
      </c>
      <c r="AG736" s="43">
        <f t="shared" si="212"/>
        <v>235.19</v>
      </c>
    </row>
    <row r="737" spans="1:33" x14ac:dyDescent="0.3">
      <c r="A737" s="1" t="s">
        <v>836</v>
      </c>
      <c r="B737" s="65" t="s">
        <v>28</v>
      </c>
      <c r="C737" s="78" t="s">
        <v>685</v>
      </c>
      <c r="D737" s="81" t="s">
        <v>735</v>
      </c>
      <c r="E737" s="86" t="s">
        <v>704</v>
      </c>
      <c r="F737" s="81" t="s">
        <v>41</v>
      </c>
      <c r="G737" s="65" t="s">
        <v>33</v>
      </c>
      <c r="H737" s="81" t="s">
        <v>42</v>
      </c>
      <c r="I737" s="27">
        <v>13600</v>
      </c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>
        <f t="shared" si="213"/>
        <v>13600</v>
      </c>
      <c r="V737" s="82"/>
      <c r="W737"/>
      <c r="X737" s="87"/>
      <c r="Y737" s="8"/>
      <c r="Z737"/>
      <c r="AA737"/>
      <c r="AB737"/>
      <c r="AD737" s="42" t="str">
        <f>C737&amp;A737</f>
        <v>IMPOSTOS/TAXAS FEDERAISOper</v>
      </c>
      <c r="AE737" s="42" t="str">
        <f>IFERROR(VLOOKUP(C737,[34]Planilha1!$B:$C,2,0),"Não se Aplica")</f>
        <v>Sim</v>
      </c>
      <c r="AF737" s="42" t="str">
        <f>VLOOKUP(AD737,[34]Planilha1!$H:$J,3,0)</f>
        <v>Não</v>
      </c>
      <c r="AG737" s="43">
        <f t="shared" si="212"/>
        <v>13600</v>
      </c>
    </row>
    <row r="738" spans="1:33" x14ac:dyDescent="0.3">
      <c r="A738" s="1" t="s">
        <v>836</v>
      </c>
      <c r="B738" s="65" t="s">
        <v>28</v>
      </c>
      <c r="C738" s="78" t="s">
        <v>685</v>
      </c>
      <c r="D738" s="81" t="s">
        <v>736</v>
      </c>
      <c r="E738" s="86" t="s">
        <v>737</v>
      </c>
      <c r="F738" s="81" t="s">
        <v>41</v>
      </c>
      <c r="G738" s="65" t="s">
        <v>33</v>
      </c>
      <c r="H738" s="81" t="s">
        <v>42</v>
      </c>
      <c r="I738" s="27">
        <v>1700</v>
      </c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>
        <f t="shared" si="213"/>
        <v>1700</v>
      </c>
      <c r="V738" s="82"/>
      <c r="W738"/>
      <c r="X738" s="87"/>
      <c r="Y738" s="8"/>
      <c r="Z738"/>
      <c r="AA738"/>
      <c r="AB738"/>
      <c r="AD738" s="42" t="str">
        <f>C738&amp;A738</f>
        <v>IMPOSTOS/TAXAS FEDERAISOper</v>
      </c>
      <c r="AE738" s="42" t="str">
        <f>IFERROR(VLOOKUP(C738,[34]Planilha1!$B:$C,2,0),"Não se Aplica")</f>
        <v>Sim</v>
      </c>
      <c r="AF738" s="42" t="str">
        <f>VLOOKUP(AD738,[34]Planilha1!$H:$J,3,0)</f>
        <v>Não</v>
      </c>
      <c r="AG738" s="43">
        <f t="shared" si="212"/>
        <v>1700</v>
      </c>
    </row>
    <row r="739" spans="1:33" x14ac:dyDescent="0.3">
      <c r="A739" s="1" t="s">
        <v>836</v>
      </c>
      <c r="B739" s="65" t="s">
        <v>28</v>
      </c>
      <c r="C739" s="78" t="s">
        <v>685</v>
      </c>
      <c r="D739" s="81" t="s">
        <v>736</v>
      </c>
      <c r="E739" s="86" t="s">
        <v>738</v>
      </c>
      <c r="F739" s="81" t="s">
        <v>41</v>
      </c>
      <c r="G739" s="65" t="s">
        <v>33</v>
      </c>
      <c r="H739" s="81" t="s">
        <v>42</v>
      </c>
      <c r="I739" s="27">
        <v>481</v>
      </c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>
        <f t="shared" si="213"/>
        <v>481</v>
      </c>
      <c r="V739" s="82"/>
      <c r="W739"/>
      <c r="X739" s="87"/>
      <c r="Y739" s="8"/>
      <c r="Z739"/>
      <c r="AA739"/>
      <c r="AB739"/>
      <c r="AD739" s="42" t="str">
        <f>C739&amp;A739</f>
        <v>IMPOSTOS/TAXAS FEDERAISOper</v>
      </c>
      <c r="AE739" s="42" t="str">
        <f>IFERROR(VLOOKUP(C739,[34]Planilha1!$B:$C,2,0),"Não se Aplica")</f>
        <v>Sim</v>
      </c>
      <c r="AF739" s="42" t="str">
        <f>VLOOKUP(AD739,[34]Planilha1!$H:$J,3,0)</f>
        <v>Não</v>
      </c>
      <c r="AG739" s="43">
        <f t="shared" si="212"/>
        <v>481</v>
      </c>
    </row>
    <row r="740" spans="1:33" x14ac:dyDescent="0.3">
      <c r="A740" s="1" t="s">
        <v>836</v>
      </c>
      <c r="B740" s="65" t="s">
        <v>28</v>
      </c>
      <c r="C740" s="78" t="s">
        <v>685</v>
      </c>
      <c r="D740" s="81" t="s">
        <v>739</v>
      </c>
      <c r="E740" s="86" t="s">
        <v>740</v>
      </c>
      <c r="F740" s="81" t="s">
        <v>41</v>
      </c>
      <c r="G740" s="65" t="s">
        <v>33</v>
      </c>
      <c r="H740" s="81" t="s">
        <v>42</v>
      </c>
      <c r="I740" s="27">
        <v>15000</v>
      </c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>
        <f t="shared" si="213"/>
        <v>15000</v>
      </c>
      <c r="V740" s="82"/>
      <c r="W740"/>
      <c r="X740" s="87"/>
      <c r="Y740" s="8"/>
      <c r="Z740"/>
      <c r="AA740"/>
      <c r="AB740"/>
      <c r="AD740" s="42" t="str">
        <f>C740&amp;A740</f>
        <v>IMPOSTOS/TAXAS FEDERAISOper</v>
      </c>
      <c r="AE740" s="42" t="str">
        <f>IFERROR(VLOOKUP(C740,[34]Planilha1!$B:$C,2,0),"Não se Aplica")</f>
        <v>Sim</v>
      </c>
      <c r="AF740" s="42" t="str">
        <f>VLOOKUP(AD740,[34]Planilha1!$H:$J,3,0)</f>
        <v>Não</v>
      </c>
      <c r="AG740" s="43">
        <f t="shared" si="212"/>
        <v>15000</v>
      </c>
    </row>
    <row r="741" spans="1:33" x14ac:dyDescent="0.3">
      <c r="A741" s="1" t="s">
        <v>836</v>
      </c>
      <c r="B741" s="65" t="s">
        <v>28</v>
      </c>
      <c r="C741" s="78" t="s">
        <v>685</v>
      </c>
      <c r="D741" s="81" t="s">
        <v>741</v>
      </c>
      <c r="E741" s="86" t="s">
        <v>740</v>
      </c>
      <c r="F741" s="81" t="s">
        <v>41</v>
      </c>
      <c r="G741" s="65" t="s">
        <v>33</v>
      </c>
      <c r="H741" s="81" t="s">
        <v>42</v>
      </c>
      <c r="I741" s="27">
        <v>12000</v>
      </c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>
        <f t="shared" si="213"/>
        <v>12000</v>
      </c>
      <c r="V741" s="82"/>
      <c r="W741"/>
      <c r="X741" s="87"/>
      <c r="Y741" s="8"/>
      <c r="Z741"/>
      <c r="AA741"/>
      <c r="AB741"/>
      <c r="AD741" s="42" t="str">
        <f>C741&amp;A741</f>
        <v>IMPOSTOS/TAXAS FEDERAISOper</v>
      </c>
      <c r="AE741" s="42" t="str">
        <f>IFERROR(VLOOKUP(C741,[34]Planilha1!$B:$C,2,0),"Não se Aplica")</f>
        <v>Sim</v>
      </c>
      <c r="AF741" s="42" t="str">
        <f>VLOOKUP(AD741,[34]Planilha1!$H:$J,3,0)</f>
        <v>Não</v>
      </c>
      <c r="AG741" s="43">
        <f t="shared" si="212"/>
        <v>12000</v>
      </c>
    </row>
    <row r="742" spans="1:33" x14ac:dyDescent="0.3">
      <c r="A742" s="1" t="s">
        <v>836</v>
      </c>
      <c r="B742" s="65" t="s">
        <v>28</v>
      </c>
      <c r="C742" s="78" t="s">
        <v>210</v>
      </c>
      <c r="D742" s="81" t="s">
        <v>742</v>
      </c>
      <c r="E742" s="86" t="s">
        <v>674</v>
      </c>
      <c r="F742" s="81" t="s">
        <v>41</v>
      </c>
      <c r="G742" s="65" t="s">
        <v>30</v>
      </c>
      <c r="H742" s="81" t="s">
        <v>42</v>
      </c>
      <c r="I742" s="27">
        <v>5300</v>
      </c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>
        <f t="shared" si="213"/>
        <v>5300</v>
      </c>
      <c r="V742" s="82"/>
      <c r="W742"/>
      <c r="X742" s="87"/>
      <c r="Y742" s="8"/>
      <c r="Z742"/>
      <c r="AA742"/>
      <c r="AB742"/>
      <c r="AD742" s="42" t="str">
        <f>C742&amp;A742</f>
        <v>CERTIFICACAO/QUALIDADEOper</v>
      </c>
      <c r="AE742" s="42" t="str">
        <f>IFERROR(VLOOKUP(C742,[34]Planilha1!$B:$C,2,0),"Não se Aplica")</f>
        <v>Sim</v>
      </c>
      <c r="AF742" s="42" t="str">
        <f>VLOOKUP(AD742,[34]Planilha1!$H:$J,3,0)</f>
        <v>Não</v>
      </c>
      <c r="AG742" s="43">
        <f t="shared" si="212"/>
        <v>5300</v>
      </c>
    </row>
    <row r="743" spans="1:33" x14ac:dyDescent="0.3">
      <c r="A743" s="1" t="s">
        <v>836</v>
      </c>
      <c r="B743" s="65" t="s">
        <v>28</v>
      </c>
      <c r="C743" s="78" t="s">
        <v>210</v>
      </c>
      <c r="D743" s="81" t="s">
        <v>743</v>
      </c>
      <c r="E743" s="86" t="s">
        <v>674</v>
      </c>
      <c r="F743" s="81" t="s">
        <v>41</v>
      </c>
      <c r="G743" s="65" t="s">
        <v>30</v>
      </c>
      <c r="H743" s="81" t="s">
        <v>42</v>
      </c>
      <c r="I743" s="27"/>
      <c r="J743" s="27"/>
      <c r="K743" s="27"/>
      <c r="L743" s="27"/>
      <c r="M743" s="27"/>
      <c r="N743" s="27"/>
      <c r="O743" s="27"/>
      <c r="P743" s="27">
        <v>1800</v>
      </c>
      <c r="Q743" s="27"/>
      <c r="R743" s="27"/>
      <c r="S743" s="27"/>
      <c r="T743" s="27"/>
      <c r="U743" s="27">
        <f t="shared" si="213"/>
        <v>1800</v>
      </c>
      <c r="V743" s="82"/>
      <c r="W743"/>
      <c r="X743" s="87"/>
      <c r="Y743" s="8"/>
      <c r="Z743"/>
      <c r="AA743"/>
      <c r="AB743"/>
      <c r="AD743" s="42" t="str">
        <f>C743&amp;A743</f>
        <v>CERTIFICACAO/QUALIDADEOper</v>
      </c>
      <c r="AE743" s="42" t="str">
        <f>IFERROR(VLOOKUP(C743,[34]Planilha1!$B:$C,2,0),"Não se Aplica")</f>
        <v>Sim</v>
      </c>
      <c r="AF743" s="42" t="str">
        <f>VLOOKUP(AD743,[34]Planilha1!$H:$J,3,0)</f>
        <v>Não</v>
      </c>
      <c r="AG743" s="43">
        <f t="shared" si="212"/>
        <v>1800</v>
      </c>
    </row>
    <row r="744" spans="1:33" x14ac:dyDescent="0.3">
      <c r="A744" s="1" t="s">
        <v>836</v>
      </c>
      <c r="B744" s="65" t="s">
        <v>20</v>
      </c>
      <c r="C744" s="78" t="s">
        <v>744</v>
      </c>
      <c r="D744" s="81" t="s">
        <v>686</v>
      </c>
      <c r="E744" s="86" t="s">
        <v>687</v>
      </c>
      <c r="F744" s="81" t="s">
        <v>41</v>
      </c>
      <c r="G744" s="65" t="s">
        <v>22</v>
      </c>
      <c r="H744" s="81" t="s">
        <v>42</v>
      </c>
      <c r="I744" s="27">
        <v>784.46159999999998</v>
      </c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>
        <f t="shared" si="213"/>
        <v>784.46159999999998</v>
      </c>
      <c r="V744" s="82"/>
      <c r="W744"/>
      <c r="X744" s="87"/>
      <c r="Y744" s="8"/>
      <c r="Z744"/>
      <c r="AA744"/>
      <c r="AB744"/>
      <c r="AD744" s="42" t="str">
        <f>C744&amp;A744</f>
        <v>IMPOSTOS/ TAXAS ESTADUAISOper</v>
      </c>
      <c r="AE744" s="42" t="str">
        <f>IFERROR(VLOOKUP(C744,[34]Planilha1!$B:$C,2,0),"Não se Aplica")</f>
        <v>Sim</v>
      </c>
      <c r="AF744" s="42" t="str">
        <f>VLOOKUP(AD744,[34]Planilha1!$H:$J,3,0)</f>
        <v>Não</v>
      </c>
      <c r="AG744" s="43">
        <f t="shared" si="212"/>
        <v>784.46159999999998</v>
      </c>
    </row>
    <row r="745" spans="1:33" x14ac:dyDescent="0.3">
      <c r="A745" s="1" t="s">
        <v>836</v>
      </c>
      <c r="B745" s="65" t="s">
        <v>28</v>
      </c>
      <c r="C745" s="78" t="s">
        <v>744</v>
      </c>
      <c r="D745" s="81" t="s">
        <v>686</v>
      </c>
      <c r="E745" s="86" t="s">
        <v>687</v>
      </c>
      <c r="F745" s="81" t="s">
        <v>41</v>
      </c>
      <c r="G745" s="65" t="s">
        <v>22</v>
      </c>
      <c r="H745" s="81" t="s">
        <v>42</v>
      </c>
      <c r="I745" s="27">
        <v>784.46159999999998</v>
      </c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>
        <f t="shared" si="213"/>
        <v>784.46159999999998</v>
      </c>
      <c r="V745" s="82"/>
      <c r="W745"/>
      <c r="X745" s="87"/>
      <c r="Y745" s="8"/>
      <c r="Z745"/>
      <c r="AA745"/>
      <c r="AB745"/>
      <c r="AD745" s="42" t="str">
        <f>C745&amp;A745</f>
        <v>IMPOSTOS/ TAXAS ESTADUAISOper</v>
      </c>
      <c r="AE745" s="42" t="str">
        <f>IFERROR(VLOOKUP(C745,[34]Planilha1!$B:$C,2,0),"Não se Aplica")</f>
        <v>Sim</v>
      </c>
      <c r="AF745" s="42" t="str">
        <f>VLOOKUP(AD745,[34]Planilha1!$H:$J,3,0)</f>
        <v>Não</v>
      </c>
      <c r="AG745" s="43">
        <f t="shared" si="212"/>
        <v>784.46159999999998</v>
      </c>
    </row>
    <row r="746" spans="1:33" x14ac:dyDescent="0.3">
      <c r="A746" s="1" t="s">
        <v>836</v>
      </c>
      <c r="B746" s="65" t="s">
        <v>28</v>
      </c>
      <c r="C746" s="78" t="s">
        <v>685</v>
      </c>
      <c r="D746" s="81" t="s">
        <v>694</v>
      </c>
      <c r="E746" s="86" t="s">
        <v>695</v>
      </c>
      <c r="F746" s="81" t="s">
        <v>41</v>
      </c>
      <c r="G746" s="65" t="s">
        <v>22</v>
      </c>
      <c r="H746" s="81" t="s">
        <v>42</v>
      </c>
      <c r="I746" s="27"/>
      <c r="J746" s="27"/>
      <c r="K746" s="27">
        <v>6028.5991999999997</v>
      </c>
      <c r="L746" s="27"/>
      <c r="M746" s="27"/>
      <c r="N746" s="27">
        <v>6028.5991999999997</v>
      </c>
      <c r="O746" s="27"/>
      <c r="P746" s="27"/>
      <c r="Q746" s="27">
        <v>6028.5991999999997</v>
      </c>
      <c r="R746" s="27"/>
      <c r="S746" s="27"/>
      <c r="T746" s="27">
        <v>6028.5991999999997</v>
      </c>
      <c r="U746" s="27">
        <f t="shared" si="213"/>
        <v>24114.396799999999</v>
      </c>
      <c r="V746" s="82"/>
      <c r="W746"/>
      <c r="X746" s="87"/>
      <c r="Y746" s="8"/>
      <c r="Z746"/>
      <c r="AA746"/>
      <c r="AB746"/>
      <c r="AD746" s="42" t="str">
        <f>C746&amp;A746</f>
        <v>IMPOSTOS/TAXAS FEDERAISOper</v>
      </c>
      <c r="AE746" s="42" t="str">
        <f>IFERROR(VLOOKUP(C746,[34]Planilha1!$B:$C,2,0),"Não se Aplica")</f>
        <v>Sim</v>
      </c>
      <c r="AF746" s="42" t="str">
        <f>VLOOKUP(AD746,[34]Planilha1!$H:$J,3,0)</f>
        <v>Não</v>
      </c>
      <c r="AG746" s="43">
        <f t="shared" si="212"/>
        <v>24114.396799999999</v>
      </c>
    </row>
    <row r="747" spans="1:33" x14ac:dyDescent="0.3">
      <c r="A747" s="1" t="s">
        <v>836</v>
      </c>
      <c r="B747" s="65" t="s">
        <v>28</v>
      </c>
      <c r="C747" s="78" t="s">
        <v>685</v>
      </c>
      <c r="D747" s="81" t="s">
        <v>745</v>
      </c>
      <c r="E747" s="86" t="s">
        <v>674</v>
      </c>
      <c r="F747" s="81" t="s">
        <v>41</v>
      </c>
      <c r="G747" s="65" t="s">
        <v>22</v>
      </c>
      <c r="H747" s="81" t="s">
        <v>42</v>
      </c>
      <c r="I747" s="27">
        <v>3095</v>
      </c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>
        <f t="shared" si="213"/>
        <v>3095</v>
      </c>
      <c r="V747" s="82"/>
      <c r="W747"/>
      <c r="X747" s="87"/>
      <c r="Y747" s="8"/>
      <c r="Z747"/>
      <c r="AA747"/>
      <c r="AB747"/>
      <c r="AD747" s="42" t="str">
        <f>C747&amp;A747</f>
        <v>IMPOSTOS/TAXAS FEDERAISOper</v>
      </c>
      <c r="AE747" s="42" t="str">
        <f>IFERROR(VLOOKUP(C747,[34]Planilha1!$B:$C,2,0),"Não se Aplica")</f>
        <v>Sim</v>
      </c>
      <c r="AF747" s="42" t="str">
        <f>VLOOKUP(AD747,[34]Planilha1!$H:$J,3,0)</f>
        <v>Não</v>
      </c>
      <c r="AG747" s="43">
        <f t="shared" si="212"/>
        <v>3095</v>
      </c>
    </row>
    <row r="748" spans="1:33" x14ac:dyDescent="0.3">
      <c r="A748" s="1" t="s">
        <v>836</v>
      </c>
      <c r="B748" s="65" t="s">
        <v>28</v>
      </c>
      <c r="C748" s="78" t="s">
        <v>744</v>
      </c>
      <c r="D748" s="81" t="s">
        <v>712</v>
      </c>
      <c r="E748" s="86" t="s">
        <v>746</v>
      </c>
      <c r="F748" s="81" t="s">
        <v>41</v>
      </c>
      <c r="G748" s="65" t="s">
        <v>22</v>
      </c>
      <c r="H748" s="81" t="s">
        <v>42</v>
      </c>
      <c r="I748" s="27"/>
      <c r="J748" s="27"/>
      <c r="K748" s="27"/>
      <c r="L748" s="27"/>
      <c r="M748" s="27"/>
      <c r="N748" s="27">
        <v>15000</v>
      </c>
      <c r="O748" s="27"/>
      <c r="P748" s="27"/>
      <c r="Q748" s="27"/>
      <c r="R748" s="27"/>
      <c r="S748" s="27"/>
      <c r="T748" s="27"/>
      <c r="U748" s="27">
        <f t="shared" si="213"/>
        <v>15000</v>
      </c>
      <c r="V748" s="82"/>
      <c r="W748"/>
      <c r="X748" s="87"/>
      <c r="Y748" s="8"/>
      <c r="Z748"/>
      <c r="AA748"/>
      <c r="AB748"/>
      <c r="AD748" s="42" t="str">
        <f>C748&amp;A748</f>
        <v>IMPOSTOS/ TAXAS ESTADUAISOper</v>
      </c>
      <c r="AE748" s="42" t="str">
        <f>IFERROR(VLOOKUP(C748,[34]Planilha1!$B:$C,2,0),"Não se Aplica")</f>
        <v>Sim</v>
      </c>
      <c r="AF748" s="42" t="str">
        <f>VLOOKUP(AD748,[34]Planilha1!$H:$J,3,0)</f>
        <v>Não</v>
      </c>
      <c r="AG748" s="43">
        <f t="shared" si="212"/>
        <v>15000</v>
      </c>
    </row>
    <row r="749" spans="1:33" x14ac:dyDescent="0.3">
      <c r="A749" s="1" t="s">
        <v>836</v>
      </c>
      <c r="B749" s="65" t="s">
        <v>20</v>
      </c>
      <c r="C749" s="78" t="s">
        <v>747</v>
      </c>
      <c r="D749" s="81" t="s">
        <v>703</v>
      </c>
      <c r="E749" s="86" t="s">
        <v>704</v>
      </c>
      <c r="F749" s="81" t="s">
        <v>41</v>
      </c>
      <c r="G749" s="65" t="s">
        <v>22</v>
      </c>
      <c r="H749" s="81" t="s">
        <v>42</v>
      </c>
      <c r="I749" s="27"/>
      <c r="J749" s="27"/>
      <c r="K749" s="27"/>
      <c r="L749" s="27"/>
      <c r="M749" s="27"/>
      <c r="N749" s="27"/>
      <c r="O749" s="27"/>
      <c r="P749" s="27"/>
      <c r="Q749" s="27"/>
      <c r="R749" s="27">
        <v>1221.71</v>
      </c>
      <c r="S749" s="27"/>
      <c r="T749" s="27"/>
      <c r="U749" s="27">
        <f t="shared" si="213"/>
        <v>1221.71</v>
      </c>
      <c r="V749" s="82"/>
      <c r="W749"/>
      <c r="X749" s="87"/>
      <c r="Y749" s="8"/>
      <c r="Z749"/>
      <c r="AA749"/>
      <c r="AB749"/>
      <c r="AD749" s="42" t="str">
        <f>C749&amp;A749</f>
        <v>IMPOSTOS/TAXAS MUNICIPAISOper</v>
      </c>
      <c r="AE749" s="42" t="str">
        <f>IFERROR(VLOOKUP(C749,[34]Planilha1!$B:$C,2,0),"Não se Aplica")</f>
        <v>Sim</v>
      </c>
      <c r="AF749" s="42" t="str">
        <f>VLOOKUP(AD749,[34]Planilha1!$H:$J,3,0)</f>
        <v>Não</v>
      </c>
      <c r="AG749" s="43">
        <f t="shared" si="212"/>
        <v>1221.71</v>
      </c>
    </row>
    <row r="750" spans="1:33" x14ac:dyDescent="0.3">
      <c r="A750" s="1" t="s">
        <v>836</v>
      </c>
      <c r="B750" s="65" t="s">
        <v>28</v>
      </c>
      <c r="C750" s="78" t="s">
        <v>747</v>
      </c>
      <c r="D750" s="81" t="s">
        <v>703</v>
      </c>
      <c r="E750" s="86" t="s">
        <v>704</v>
      </c>
      <c r="F750" s="81" t="s">
        <v>41</v>
      </c>
      <c r="G750" s="65" t="s">
        <v>22</v>
      </c>
      <c r="H750" s="81" t="s">
        <v>42</v>
      </c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>
        <v>518.40969465477633</v>
      </c>
      <c r="U750" s="27">
        <f t="shared" si="213"/>
        <v>518.40969465477633</v>
      </c>
      <c r="V750" s="82"/>
      <c r="W750"/>
      <c r="X750" s="87"/>
      <c r="Y750" s="8"/>
      <c r="Z750"/>
      <c r="AA750"/>
      <c r="AB750"/>
      <c r="AD750" s="42" t="str">
        <f>C750&amp;A750</f>
        <v>IMPOSTOS/TAXAS MUNICIPAISOper</v>
      </c>
      <c r="AE750" s="42" t="str">
        <f>IFERROR(VLOOKUP(C750,[34]Planilha1!$B:$C,2,0),"Não se Aplica")</f>
        <v>Sim</v>
      </c>
      <c r="AF750" s="42" t="str">
        <f>VLOOKUP(AD750,[34]Planilha1!$H:$J,3,0)</f>
        <v>Não</v>
      </c>
      <c r="AG750" s="43">
        <f t="shared" si="212"/>
        <v>518.40969465477633</v>
      </c>
    </row>
    <row r="751" spans="1:33" x14ac:dyDescent="0.3">
      <c r="A751" s="1" t="s">
        <v>836</v>
      </c>
      <c r="B751" s="65" t="s">
        <v>28</v>
      </c>
      <c r="C751" s="78" t="s">
        <v>747</v>
      </c>
      <c r="D751" s="81" t="s">
        <v>706</v>
      </c>
      <c r="E751" s="86" t="s">
        <v>704</v>
      </c>
      <c r="F751" s="81" t="s">
        <v>41</v>
      </c>
      <c r="G751" s="65" t="s">
        <v>22</v>
      </c>
      <c r="H751" s="81" t="s">
        <v>42</v>
      </c>
      <c r="I751" s="27"/>
      <c r="J751" s="27"/>
      <c r="K751" s="27">
        <v>390</v>
      </c>
      <c r="L751" s="27">
        <v>144.78</v>
      </c>
      <c r="M751" s="27"/>
      <c r="N751" s="27"/>
      <c r="O751" s="27"/>
      <c r="P751" s="27"/>
      <c r="Q751" s="27"/>
      <c r="R751" s="27">
        <v>96</v>
      </c>
      <c r="S751" s="27">
        <v>390</v>
      </c>
      <c r="T751" s="27"/>
      <c r="U751" s="27">
        <f t="shared" si="213"/>
        <v>1020.78</v>
      </c>
      <c r="V751" s="82"/>
      <c r="W751"/>
      <c r="X751" s="87"/>
      <c r="Y751" s="8"/>
      <c r="Z751"/>
      <c r="AA751"/>
      <c r="AB751"/>
      <c r="AD751" s="42" t="str">
        <f>C751&amp;A751</f>
        <v>IMPOSTOS/TAXAS MUNICIPAISOper</v>
      </c>
      <c r="AE751" s="42" t="str">
        <f>IFERROR(VLOOKUP(C751,[34]Planilha1!$B:$C,2,0),"Não se Aplica")</f>
        <v>Sim</v>
      </c>
      <c r="AF751" s="42" t="str">
        <f>VLOOKUP(AD751,[34]Planilha1!$H:$J,3,0)</f>
        <v>Não</v>
      </c>
      <c r="AG751" s="43">
        <f t="shared" si="212"/>
        <v>1020.78</v>
      </c>
    </row>
    <row r="752" spans="1:33" x14ac:dyDescent="0.3">
      <c r="A752" s="1" t="s">
        <v>836</v>
      </c>
      <c r="B752" s="65" t="s">
        <v>20</v>
      </c>
      <c r="C752" s="78" t="s">
        <v>685</v>
      </c>
      <c r="D752" s="81" t="s">
        <v>710</v>
      </c>
      <c r="E752" s="86" t="s">
        <v>711</v>
      </c>
      <c r="F752" s="81" t="s">
        <v>41</v>
      </c>
      <c r="G752" s="65" t="s">
        <v>22</v>
      </c>
      <c r="H752" s="81" t="s">
        <v>42</v>
      </c>
      <c r="I752" s="27"/>
      <c r="J752" s="27"/>
      <c r="K752" s="27"/>
      <c r="L752" s="27"/>
      <c r="M752" s="27"/>
      <c r="N752" s="27"/>
      <c r="O752" s="27"/>
      <c r="P752" s="27"/>
      <c r="Q752" s="27">
        <v>878.26959999999997</v>
      </c>
      <c r="R752" s="27"/>
      <c r="S752" s="27"/>
      <c r="T752" s="27"/>
      <c r="U752" s="27">
        <f t="shared" si="213"/>
        <v>878.26959999999997</v>
      </c>
      <c r="V752" s="82"/>
      <c r="W752"/>
      <c r="X752" s="87"/>
      <c r="Y752" s="8"/>
      <c r="Z752"/>
      <c r="AA752"/>
      <c r="AB752"/>
      <c r="AD752" s="42" t="str">
        <f>C752&amp;A752</f>
        <v>IMPOSTOS/TAXAS FEDERAISOper</v>
      </c>
      <c r="AE752" s="42" t="str">
        <f>IFERROR(VLOOKUP(C752,[34]Planilha1!$B:$C,2,0),"Não se Aplica")</f>
        <v>Sim</v>
      </c>
      <c r="AF752" s="42" t="str">
        <f>VLOOKUP(AD752,[34]Planilha1!$H:$J,3,0)</f>
        <v>Não</v>
      </c>
      <c r="AG752" s="43">
        <f t="shared" si="212"/>
        <v>878.26959999999997</v>
      </c>
    </row>
    <row r="753" spans="1:33" x14ac:dyDescent="0.3">
      <c r="A753" s="1" t="s">
        <v>836</v>
      </c>
      <c r="B753" s="65" t="s">
        <v>28</v>
      </c>
      <c r="C753" s="78" t="s">
        <v>685</v>
      </c>
      <c r="D753" s="81" t="s">
        <v>710</v>
      </c>
      <c r="E753" s="86" t="s">
        <v>711</v>
      </c>
      <c r="F753" s="81" t="s">
        <v>41</v>
      </c>
      <c r="G753" s="65" t="s">
        <v>22</v>
      </c>
      <c r="H753" s="81" t="s">
        <v>42</v>
      </c>
      <c r="I753" s="27"/>
      <c r="J753" s="27"/>
      <c r="K753" s="27"/>
      <c r="L753" s="27"/>
      <c r="M753" s="27"/>
      <c r="N753" s="27">
        <v>2526.534404</v>
      </c>
      <c r="O753" s="27"/>
      <c r="P753" s="27"/>
      <c r="Q753" s="27"/>
      <c r="R753" s="27"/>
      <c r="S753" s="27"/>
      <c r="T753" s="27"/>
      <c r="U753" s="27">
        <f t="shared" si="213"/>
        <v>2526.534404</v>
      </c>
      <c r="V753" s="82"/>
      <c r="W753"/>
      <c r="X753" s="87"/>
      <c r="Y753" s="8"/>
      <c r="Z753"/>
      <c r="AA753"/>
      <c r="AB753"/>
      <c r="AD753" s="42" t="str">
        <f>C753&amp;A753</f>
        <v>IMPOSTOS/TAXAS FEDERAISOper</v>
      </c>
      <c r="AE753" s="42" t="str">
        <f>IFERROR(VLOOKUP(C753,[34]Planilha1!$B:$C,2,0),"Não se Aplica")</f>
        <v>Sim</v>
      </c>
      <c r="AF753" s="42" t="str">
        <f>VLOOKUP(AD753,[34]Planilha1!$H:$J,3,0)</f>
        <v>Não</v>
      </c>
      <c r="AG753" s="43">
        <f t="shared" si="212"/>
        <v>2526.534404</v>
      </c>
    </row>
    <row r="754" spans="1:33" x14ac:dyDescent="0.3">
      <c r="A754" s="1" t="s">
        <v>836</v>
      </c>
      <c r="B754" s="65" t="s">
        <v>20</v>
      </c>
      <c r="C754" s="78" t="s">
        <v>57</v>
      </c>
      <c r="D754" s="81" t="s">
        <v>721</v>
      </c>
      <c r="E754" s="86" t="s">
        <v>722</v>
      </c>
      <c r="F754" s="81" t="s">
        <v>41</v>
      </c>
      <c r="G754" s="65" t="s">
        <v>22</v>
      </c>
      <c r="H754" s="81" t="s">
        <v>42</v>
      </c>
      <c r="I754" s="27"/>
      <c r="J754" s="27"/>
      <c r="K754" s="27">
        <v>5000</v>
      </c>
      <c r="L754" s="27"/>
      <c r="M754" s="27"/>
      <c r="N754" s="27"/>
      <c r="O754" s="27"/>
      <c r="P754" s="27"/>
      <c r="Q754" s="27"/>
      <c r="R754" s="27"/>
      <c r="S754" s="27"/>
      <c r="T754" s="27"/>
      <c r="U754" s="27">
        <f t="shared" si="213"/>
        <v>5000</v>
      </c>
      <c r="V754" s="82"/>
      <c r="W754"/>
      <c r="X754" s="87"/>
      <c r="Y754" s="8"/>
      <c r="Z754"/>
      <c r="AA754"/>
      <c r="AB754"/>
      <c r="AD754" s="42" t="str">
        <f>C754&amp;A754</f>
        <v>AUDITORIA/CONSULTORIAOper</v>
      </c>
      <c r="AE754" s="42" t="str">
        <f>IFERROR(VLOOKUP(C754,[34]Planilha1!$B:$C,2,0),"Não se Aplica")</f>
        <v>Sim</v>
      </c>
      <c r="AF754" s="42" t="str">
        <f>VLOOKUP(AD754,[34]Planilha1!$H:$J,3,0)</f>
        <v>Não</v>
      </c>
      <c r="AG754" s="43">
        <f t="shared" si="212"/>
        <v>5000</v>
      </c>
    </row>
    <row r="755" spans="1:33" x14ac:dyDescent="0.3">
      <c r="A755" s="1" t="s">
        <v>836</v>
      </c>
      <c r="B755" s="65" t="s">
        <v>20</v>
      </c>
      <c r="C755" s="78" t="s">
        <v>57</v>
      </c>
      <c r="D755" s="81" t="s">
        <v>723</v>
      </c>
      <c r="E755" s="86" t="s">
        <v>722</v>
      </c>
      <c r="F755" s="81" t="s">
        <v>41</v>
      </c>
      <c r="G755" s="65" t="s">
        <v>22</v>
      </c>
      <c r="H755" s="81" t="s">
        <v>42</v>
      </c>
      <c r="I755" s="27"/>
      <c r="J755" s="27"/>
      <c r="K755" s="27"/>
      <c r="L755" s="27"/>
      <c r="M755" s="27"/>
      <c r="N755" s="27"/>
      <c r="O755" s="27"/>
      <c r="P755" s="27">
        <v>7000</v>
      </c>
      <c r="Q755" s="27"/>
      <c r="R755" s="27"/>
      <c r="S755" s="27"/>
      <c r="T755" s="27"/>
      <c r="U755" s="27">
        <f t="shared" si="213"/>
        <v>7000</v>
      </c>
      <c r="V755" s="82"/>
      <c r="W755"/>
      <c r="X755" s="87"/>
      <c r="Y755" s="8"/>
      <c r="Z755"/>
      <c r="AA755"/>
      <c r="AB755"/>
      <c r="AD755" s="42" t="str">
        <f>C755&amp;A755</f>
        <v>AUDITORIA/CONSULTORIAOper</v>
      </c>
      <c r="AE755" s="42" t="str">
        <f>IFERROR(VLOOKUP(C755,[34]Planilha1!$B:$C,2,0),"Não se Aplica")</f>
        <v>Sim</v>
      </c>
      <c r="AF755" s="42" t="str">
        <f>VLOOKUP(AD755,[34]Planilha1!$H:$J,3,0)</f>
        <v>Não</v>
      </c>
      <c r="AG755" s="43">
        <f t="shared" si="212"/>
        <v>7000</v>
      </c>
    </row>
    <row r="756" spans="1:33" x14ac:dyDescent="0.3">
      <c r="A756" s="1" t="s">
        <v>836</v>
      </c>
      <c r="B756" s="65" t="s">
        <v>20</v>
      </c>
      <c r="C756" s="78" t="s">
        <v>57</v>
      </c>
      <c r="D756" s="81" t="s">
        <v>726</v>
      </c>
      <c r="E756" s="86" t="s">
        <v>545</v>
      </c>
      <c r="F756" s="81" t="s">
        <v>41</v>
      </c>
      <c r="G756" s="65" t="s">
        <v>22</v>
      </c>
      <c r="H756" s="81" t="s">
        <v>42</v>
      </c>
      <c r="I756" s="27"/>
      <c r="J756" s="27"/>
      <c r="K756" s="27"/>
      <c r="L756" s="27">
        <v>7000</v>
      </c>
      <c r="M756" s="27"/>
      <c r="N756" s="27"/>
      <c r="O756" s="27"/>
      <c r="P756" s="27"/>
      <c r="Q756" s="27"/>
      <c r="R756" s="27"/>
      <c r="S756" s="27"/>
      <c r="T756" s="27"/>
      <c r="U756" s="27">
        <f t="shared" si="213"/>
        <v>7000</v>
      </c>
      <c r="V756" s="82"/>
      <c r="W756"/>
      <c r="X756" s="87"/>
      <c r="Y756" s="8"/>
      <c r="Z756"/>
      <c r="AA756"/>
      <c r="AB756"/>
      <c r="AD756" s="42" t="str">
        <f>C756&amp;A756</f>
        <v>AUDITORIA/CONSULTORIAOper</v>
      </c>
      <c r="AE756" s="42" t="str">
        <f>IFERROR(VLOOKUP(C756,[34]Planilha1!$B:$C,2,0),"Não se Aplica")</f>
        <v>Sim</v>
      </c>
      <c r="AF756" s="42" t="str">
        <f>VLOOKUP(AD756,[34]Planilha1!$H:$J,3,0)</f>
        <v>Não</v>
      </c>
      <c r="AG756" s="43">
        <f t="shared" si="212"/>
        <v>7000</v>
      </c>
    </row>
    <row r="757" spans="1:33" x14ac:dyDescent="0.3">
      <c r="A757" s="1" t="s">
        <v>836</v>
      </c>
      <c r="B757" s="65" t="s">
        <v>28</v>
      </c>
      <c r="C757" s="78" t="s">
        <v>57</v>
      </c>
      <c r="D757" s="81" t="s">
        <v>726</v>
      </c>
      <c r="E757" s="86" t="s">
        <v>545</v>
      </c>
      <c r="F757" s="81" t="s">
        <v>41</v>
      </c>
      <c r="G757" s="65" t="s">
        <v>22</v>
      </c>
      <c r="H757" s="81" t="s">
        <v>42</v>
      </c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27">
        <f t="shared" si="213"/>
        <v>0</v>
      </c>
      <c r="V757" s="82"/>
      <c r="W757"/>
      <c r="X757" s="87"/>
      <c r="Y757" s="8"/>
      <c r="Z757"/>
      <c r="AA757"/>
      <c r="AB757"/>
      <c r="AD757" s="42" t="str">
        <f>C757&amp;A757</f>
        <v>AUDITORIA/CONSULTORIAOper</v>
      </c>
      <c r="AE757" s="42" t="str">
        <f>IFERROR(VLOOKUP(C757,[34]Planilha1!$B:$C,2,0),"Não se Aplica")</f>
        <v>Sim</v>
      </c>
      <c r="AF757" s="42" t="str">
        <f>VLOOKUP(AD757,[34]Planilha1!$H:$J,3,0)</f>
        <v>Não</v>
      </c>
      <c r="AG757" s="43">
        <f t="shared" ref="AG757:AG811" si="214">IF(AF757="Sim", U757 * 0.9075, U757)</f>
        <v>0</v>
      </c>
    </row>
    <row r="758" spans="1:33" x14ac:dyDescent="0.3">
      <c r="A758" s="1" t="s">
        <v>836</v>
      </c>
      <c r="B758" s="65" t="s">
        <v>20</v>
      </c>
      <c r="C758" s="78" t="s">
        <v>685</v>
      </c>
      <c r="D758" s="81" t="s">
        <v>748</v>
      </c>
      <c r="E758" s="86" t="s">
        <v>740</v>
      </c>
      <c r="F758" s="81" t="s">
        <v>41</v>
      </c>
      <c r="G758" s="65" t="s">
        <v>32</v>
      </c>
      <c r="H758" s="81" t="s">
        <v>42</v>
      </c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>
        <v>28800</v>
      </c>
      <c r="U758" s="27">
        <f t="shared" si="213"/>
        <v>28800</v>
      </c>
      <c r="V758" s="82"/>
      <c r="W758"/>
      <c r="X758" s="87"/>
      <c r="Y758" s="8"/>
      <c r="Z758"/>
      <c r="AA758"/>
      <c r="AB758"/>
      <c r="AD758" s="42" t="str">
        <f>C758&amp;A758</f>
        <v>IMPOSTOS/TAXAS FEDERAISOper</v>
      </c>
      <c r="AE758" s="42" t="str">
        <f>IFERROR(VLOOKUP(C758,[34]Planilha1!$B:$C,2,0),"Não se Aplica")</f>
        <v>Sim</v>
      </c>
      <c r="AF758" s="42" t="str">
        <f>VLOOKUP(AD758,[34]Planilha1!$H:$J,3,0)</f>
        <v>Não</v>
      </c>
      <c r="AG758" s="43">
        <f t="shared" si="214"/>
        <v>28800</v>
      </c>
    </row>
    <row r="759" spans="1:33" x14ac:dyDescent="0.3">
      <c r="A759" s="1" t="s">
        <v>837</v>
      </c>
      <c r="B759" s="65" t="s">
        <v>20</v>
      </c>
      <c r="C759" s="78" t="s">
        <v>468</v>
      </c>
      <c r="D759" s="81" t="s">
        <v>749</v>
      </c>
      <c r="E759" s="86" t="s">
        <v>750</v>
      </c>
      <c r="F759" s="81" t="s">
        <v>21</v>
      </c>
      <c r="G759" s="65" t="s">
        <v>32</v>
      </c>
      <c r="H759" s="81" t="s">
        <v>219</v>
      </c>
      <c r="I759" s="27">
        <v>200</v>
      </c>
      <c r="J759" s="27">
        <v>200</v>
      </c>
      <c r="K759" s="27">
        <v>200</v>
      </c>
      <c r="L759" s="27">
        <v>200</v>
      </c>
      <c r="M759" s="27">
        <v>200</v>
      </c>
      <c r="N759" s="27">
        <v>200</v>
      </c>
      <c r="O759" s="27">
        <v>200</v>
      </c>
      <c r="P759" s="27">
        <v>200</v>
      </c>
      <c r="Q759" s="27">
        <v>200</v>
      </c>
      <c r="R759" s="27">
        <v>200</v>
      </c>
      <c r="S759" s="27">
        <v>200</v>
      </c>
      <c r="T759" s="27">
        <v>200</v>
      </c>
      <c r="U759" s="27">
        <f t="shared" si="213"/>
        <v>2400</v>
      </c>
      <c r="V759" s="82"/>
      <c r="W759"/>
      <c r="X759" s="87"/>
      <c r="Y759" s="8"/>
      <c r="Z759"/>
      <c r="AA759"/>
      <c r="AB759"/>
      <c r="AD759" s="42" t="str">
        <f>C759&amp;A759</f>
        <v>ASSOS. SINDICATOS DE CLASSEAdm</v>
      </c>
      <c r="AE759" s="42" t="str">
        <f>IFERROR(VLOOKUP(C759,[34]Planilha1!$B:$C,2,0),"Não se Aplica")</f>
        <v>Sim</v>
      </c>
      <c r="AF759" s="42" t="str">
        <f>VLOOKUP(AD759,[34]Planilha1!$H:$J,3,0)</f>
        <v>Não</v>
      </c>
      <c r="AG759" s="43">
        <f t="shared" si="214"/>
        <v>2400</v>
      </c>
    </row>
    <row r="760" spans="1:33" x14ac:dyDescent="0.3">
      <c r="A760" s="1" t="s">
        <v>837</v>
      </c>
      <c r="B760" s="65" t="s">
        <v>28</v>
      </c>
      <c r="C760" s="78" t="s">
        <v>492</v>
      </c>
      <c r="D760" s="81" t="s">
        <v>751</v>
      </c>
      <c r="E760" s="86" t="s">
        <v>752</v>
      </c>
      <c r="F760" s="81" t="s">
        <v>21</v>
      </c>
      <c r="G760" s="65" t="s">
        <v>32</v>
      </c>
      <c r="H760" s="81" t="s">
        <v>219</v>
      </c>
      <c r="I760" s="27">
        <v>130</v>
      </c>
      <c r="J760" s="27">
        <v>130</v>
      </c>
      <c r="K760" s="27">
        <v>130</v>
      </c>
      <c r="L760" s="27">
        <v>130</v>
      </c>
      <c r="M760" s="27">
        <v>130</v>
      </c>
      <c r="N760" s="27">
        <v>130</v>
      </c>
      <c r="O760" s="27">
        <v>130</v>
      </c>
      <c r="P760" s="27">
        <v>130</v>
      </c>
      <c r="Q760" s="27">
        <v>130</v>
      </c>
      <c r="R760" s="27">
        <v>130</v>
      </c>
      <c r="S760" s="27">
        <v>130</v>
      </c>
      <c r="T760" s="27">
        <v>130</v>
      </c>
      <c r="U760" s="27">
        <f t="shared" si="213"/>
        <v>1560</v>
      </c>
      <c r="V760" s="82"/>
      <c r="W760"/>
      <c r="X760" s="87"/>
      <c r="Y760" s="8"/>
      <c r="Z760"/>
      <c r="AA760"/>
      <c r="AB760"/>
      <c r="AD760" s="42" t="str">
        <f>C760&amp;A760</f>
        <v>COPA E REFEICOES/ESTADIASAdm</v>
      </c>
      <c r="AE760" s="42" t="str">
        <f>IFERROR(VLOOKUP(C760,[34]Planilha1!$B:$C,2,0),"Não se Aplica")</f>
        <v>Sim</v>
      </c>
      <c r="AF760" s="42" t="str">
        <f>VLOOKUP(AD760,[34]Planilha1!$H:$J,3,0)</f>
        <v>Não</v>
      </c>
      <c r="AG760" s="43">
        <f t="shared" si="214"/>
        <v>1560</v>
      </c>
    </row>
    <row r="761" spans="1:33" x14ac:dyDescent="0.3">
      <c r="A761" s="1" t="s">
        <v>837</v>
      </c>
      <c r="B761" s="65" t="s">
        <v>20</v>
      </c>
      <c r="C761" s="78" t="s">
        <v>492</v>
      </c>
      <c r="D761" s="81" t="s">
        <v>751</v>
      </c>
      <c r="E761" s="86" t="s">
        <v>752</v>
      </c>
      <c r="F761" s="81" t="s">
        <v>21</v>
      </c>
      <c r="G761" s="65" t="s">
        <v>32</v>
      </c>
      <c r="H761" s="81" t="s">
        <v>219</v>
      </c>
      <c r="I761" s="27">
        <v>130</v>
      </c>
      <c r="J761" s="27">
        <v>130</v>
      </c>
      <c r="K761" s="27">
        <v>130</v>
      </c>
      <c r="L761" s="27">
        <v>130</v>
      </c>
      <c r="M761" s="27">
        <v>130</v>
      </c>
      <c r="N761" s="27">
        <v>130</v>
      </c>
      <c r="O761" s="27">
        <v>130</v>
      </c>
      <c r="P761" s="27">
        <v>130</v>
      </c>
      <c r="Q761" s="27">
        <v>130</v>
      </c>
      <c r="R761" s="27">
        <v>130</v>
      </c>
      <c r="S761" s="27">
        <v>130</v>
      </c>
      <c r="T761" s="27">
        <v>130</v>
      </c>
      <c r="U761" s="27">
        <f t="shared" si="213"/>
        <v>1560</v>
      </c>
      <c r="V761" s="82"/>
      <c r="W761"/>
      <c r="X761" s="87"/>
      <c r="Y761" s="8"/>
      <c r="Z761"/>
      <c r="AA761"/>
      <c r="AB761"/>
      <c r="AD761" s="42" t="str">
        <f>C761&amp;A761</f>
        <v>COPA E REFEICOES/ESTADIASAdm</v>
      </c>
      <c r="AE761" s="42" t="str">
        <f>IFERROR(VLOOKUP(C761,[34]Planilha1!$B:$C,2,0),"Não se Aplica")</f>
        <v>Sim</v>
      </c>
      <c r="AF761" s="42" t="str">
        <f>VLOOKUP(AD761,[34]Planilha1!$H:$J,3,0)</f>
        <v>Não</v>
      </c>
      <c r="AG761" s="43">
        <f t="shared" si="214"/>
        <v>1560</v>
      </c>
    </row>
    <row r="762" spans="1:33" x14ac:dyDescent="0.3">
      <c r="A762" s="1" t="s">
        <v>837</v>
      </c>
      <c r="B762" s="65" t="s">
        <v>28</v>
      </c>
      <c r="C762" s="78" t="s">
        <v>492</v>
      </c>
      <c r="D762" s="81" t="s">
        <v>753</v>
      </c>
      <c r="E762" s="86" t="s">
        <v>754</v>
      </c>
      <c r="F762" s="81" t="s">
        <v>21</v>
      </c>
      <c r="G762" s="65" t="s">
        <v>32</v>
      </c>
      <c r="H762" s="81" t="s">
        <v>219</v>
      </c>
      <c r="I762" s="27">
        <v>200</v>
      </c>
      <c r="J762" s="27">
        <v>200</v>
      </c>
      <c r="K762" s="27">
        <v>200</v>
      </c>
      <c r="L762" s="27">
        <v>200</v>
      </c>
      <c r="M762" s="27">
        <v>200</v>
      </c>
      <c r="N762" s="27">
        <v>200</v>
      </c>
      <c r="O762" s="27">
        <v>200</v>
      </c>
      <c r="P762" s="27">
        <v>200</v>
      </c>
      <c r="Q762" s="27">
        <v>200</v>
      </c>
      <c r="R762" s="27">
        <v>200</v>
      </c>
      <c r="S762" s="27">
        <v>200</v>
      </c>
      <c r="T762" s="27">
        <v>200</v>
      </c>
      <c r="U762" s="27">
        <f t="shared" ref="U762:U816" si="215">SUM(I762:T762)</f>
        <v>2400</v>
      </c>
      <c r="V762" s="82"/>
      <c r="W762"/>
      <c r="X762" s="87"/>
      <c r="Y762" s="8"/>
      <c r="Z762"/>
      <c r="AA762"/>
      <c r="AB762"/>
      <c r="AD762" s="42" t="str">
        <f>C762&amp;A762</f>
        <v>COPA E REFEICOES/ESTADIASAdm</v>
      </c>
      <c r="AE762" s="42" t="str">
        <f>IFERROR(VLOOKUP(C762,[34]Planilha1!$B:$C,2,0),"Não se Aplica")</f>
        <v>Sim</v>
      </c>
      <c r="AF762" s="42" t="str">
        <f>VLOOKUP(AD762,[34]Planilha1!$H:$J,3,0)</f>
        <v>Não</v>
      </c>
      <c r="AG762" s="43">
        <f t="shared" si="214"/>
        <v>2400</v>
      </c>
    </row>
    <row r="763" spans="1:33" x14ac:dyDescent="0.3">
      <c r="A763" s="1" t="s">
        <v>837</v>
      </c>
      <c r="B763" s="65" t="s">
        <v>20</v>
      </c>
      <c r="C763" s="78" t="s">
        <v>492</v>
      </c>
      <c r="D763" s="81" t="s">
        <v>753</v>
      </c>
      <c r="E763" s="86" t="s">
        <v>754</v>
      </c>
      <c r="F763" s="81" t="s">
        <v>21</v>
      </c>
      <c r="G763" s="65" t="s">
        <v>32</v>
      </c>
      <c r="H763" s="81" t="s">
        <v>219</v>
      </c>
      <c r="I763" s="27">
        <v>200</v>
      </c>
      <c r="J763" s="27">
        <v>200</v>
      </c>
      <c r="K763" s="27">
        <v>200</v>
      </c>
      <c r="L763" s="27">
        <v>200</v>
      </c>
      <c r="M763" s="27">
        <v>200</v>
      </c>
      <c r="N763" s="27">
        <v>200</v>
      </c>
      <c r="O763" s="27">
        <v>200</v>
      </c>
      <c r="P763" s="27">
        <v>200</v>
      </c>
      <c r="Q763" s="27">
        <v>200</v>
      </c>
      <c r="R763" s="27">
        <v>200</v>
      </c>
      <c r="S763" s="27">
        <v>200</v>
      </c>
      <c r="T763" s="27">
        <v>200</v>
      </c>
      <c r="U763" s="27">
        <f t="shared" si="215"/>
        <v>2400</v>
      </c>
      <c r="V763" s="82"/>
      <c r="W763"/>
      <c r="X763" s="87"/>
      <c r="Y763" s="8"/>
      <c r="Z763"/>
      <c r="AA763"/>
      <c r="AB763"/>
      <c r="AD763" s="42" t="str">
        <f>C763&amp;A763</f>
        <v>COPA E REFEICOES/ESTADIASAdm</v>
      </c>
      <c r="AE763" s="42" t="str">
        <f>IFERROR(VLOOKUP(C763,[34]Planilha1!$B:$C,2,0),"Não se Aplica")</f>
        <v>Sim</v>
      </c>
      <c r="AF763" s="42" t="str">
        <f>VLOOKUP(AD763,[34]Planilha1!$H:$J,3,0)</f>
        <v>Não</v>
      </c>
      <c r="AG763" s="43">
        <f t="shared" si="214"/>
        <v>2400</v>
      </c>
    </row>
    <row r="764" spans="1:33" x14ac:dyDescent="0.3">
      <c r="A764" s="1" t="s">
        <v>837</v>
      </c>
      <c r="B764" s="65" t="s">
        <v>20</v>
      </c>
      <c r="C764" s="78" t="s">
        <v>622</v>
      </c>
      <c r="D764" s="81" t="s">
        <v>623</v>
      </c>
      <c r="E764" s="86" t="s">
        <v>545</v>
      </c>
      <c r="F764" s="81" t="s">
        <v>21</v>
      </c>
      <c r="G764" s="65" t="s">
        <v>32</v>
      </c>
      <c r="H764" s="81" t="s">
        <v>219</v>
      </c>
      <c r="I764" s="27">
        <v>100</v>
      </c>
      <c r="J764" s="27">
        <v>250</v>
      </c>
      <c r="K764" s="27">
        <v>100</v>
      </c>
      <c r="L764" s="27">
        <v>250</v>
      </c>
      <c r="M764" s="27">
        <v>100</v>
      </c>
      <c r="N764" s="27">
        <v>250</v>
      </c>
      <c r="O764" s="27">
        <v>100</v>
      </c>
      <c r="P764" s="27">
        <v>250</v>
      </c>
      <c r="Q764" s="27">
        <v>100</v>
      </c>
      <c r="R764" s="27">
        <v>250</v>
      </c>
      <c r="S764" s="27">
        <v>100</v>
      </c>
      <c r="T764" s="27">
        <v>250</v>
      </c>
      <c r="U764" s="27">
        <f t="shared" si="215"/>
        <v>2100</v>
      </c>
      <c r="V764" s="82"/>
      <c r="W764"/>
      <c r="X764" s="87"/>
      <c r="Y764" s="8"/>
      <c r="Z764"/>
      <c r="AA764"/>
      <c r="AB764"/>
      <c r="AD764" s="42" t="str">
        <f>C764&amp;A764</f>
        <v>MATERIAL DE EXPEDIENTEAdm</v>
      </c>
      <c r="AE764" s="42" t="str">
        <f>IFERROR(VLOOKUP(C764,[34]Planilha1!$B:$C,2,0),"Não se Aplica")</f>
        <v>Sim</v>
      </c>
      <c r="AF764" s="42" t="str">
        <f>VLOOKUP(AD764,[34]Planilha1!$H:$J,3,0)</f>
        <v>Não</v>
      </c>
      <c r="AG764" s="43">
        <f t="shared" si="214"/>
        <v>2100</v>
      </c>
    </row>
    <row r="765" spans="1:33" x14ac:dyDescent="0.3">
      <c r="A765" s="1" t="s">
        <v>837</v>
      </c>
      <c r="B765" s="65" t="s">
        <v>28</v>
      </c>
      <c r="C765" s="78" t="s">
        <v>755</v>
      </c>
      <c r="D765" s="81" t="s">
        <v>756</v>
      </c>
      <c r="E765" s="86" t="s">
        <v>504</v>
      </c>
      <c r="F765" s="81" t="s">
        <v>21</v>
      </c>
      <c r="G765" s="65" t="s">
        <v>32</v>
      </c>
      <c r="H765" s="81" t="s">
        <v>219</v>
      </c>
      <c r="I765" s="27"/>
      <c r="J765" s="27"/>
      <c r="K765" s="27"/>
      <c r="L765" s="27"/>
      <c r="M765" s="27"/>
      <c r="N765" s="27">
        <v>8000</v>
      </c>
      <c r="O765" s="27"/>
      <c r="P765" s="27"/>
      <c r="Q765" s="27"/>
      <c r="R765" s="27"/>
      <c r="S765" s="27"/>
      <c r="T765" s="27"/>
      <c r="U765" s="27">
        <f t="shared" si="215"/>
        <v>8000</v>
      </c>
      <c r="V765" s="82"/>
      <c r="W765"/>
      <c r="X765" s="87"/>
      <c r="Y765" s="8"/>
      <c r="Z765"/>
      <c r="AA765"/>
      <c r="AB765"/>
      <c r="AD765" s="42" t="str">
        <f>C765&amp;A765</f>
        <v>BRINDES E DOACOES/INDEDUTIVELAdm</v>
      </c>
      <c r="AE765" s="42" t="str">
        <f>IFERROR(VLOOKUP(C765,[34]Planilha1!$B:$C,2,0),"Não se Aplica")</f>
        <v>Sim</v>
      </c>
      <c r="AF765" s="42" t="str">
        <f>VLOOKUP(AD765,[34]Planilha1!$H:$J,3,0)</f>
        <v>Não</v>
      </c>
      <c r="AG765" s="43">
        <f t="shared" si="214"/>
        <v>8000</v>
      </c>
    </row>
    <row r="766" spans="1:33" x14ac:dyDescent="0.3">
      <c r="A766" s="1" t="s">
        <v>837</v>
      </c>
      <c r="B766" s="65" t="s">
        <v>20</v>
      </c>
      <c r="C766" s="78" t="s">
        <v>755</v>
      </c>
      <c r="D766" s="81" t="s">
        <v>756</v>
      </c>
      <c r="E766" s="86" t="s">
        <v>504</v>
      </c>
      <c r="F766" s="81" t="s">
        <v>21</v>
      </c>
      <c r="G766" s="65" t="s">
        <v>32</v>
      </c>
      <c r="H766" s="81" t="s">
        <v>219</v>
      </c>
      <c r="I766" s="27"/>
      <c r="J766" s="27"/>
      <c r="K766" s="27"/>
      <c r="L766" s="27"/>
      <c r="M766" s="27"/>
      <c r="N766" s="27">
        <v>8000</v>
      </c>
      <c r="O766" s="27"/>
      <c r="P766" s="27"/>
      <c r="Q766" s="27"/>
      <c r="R766" s="27"/>
      <c r="S766" s="27"/>
      <c r="T766" s="27"/>
      <c r="U766" s="27">
        <f t="shared" si="215"/>
        <v>8000</v>
      </c>
      <c r="V766" s="82"/>
      <c r="W766"/>
      <c r="X766" s="87"/>
      <c r="Y766" s="8"/>
      <c r="Z766"/>
      <c r="AA766"/>
      <c r="AB766"/>
      <c r="AD766" s="42" t="str">
        <f>C766&amp;A766</f>
        <v>BRINDES E DOACOES/INDEDUTIVELAdm</v>
      </c>
      <c r="AE766" s="42" t="str">
        <f>IFERROR(VLOOKUP(C766,[34]Planilha1!$B:$C,2,0),"Não se Aplica")</f>
        <v>Sim</v>
      </c>
      <c r="AF766" s="42" t="str">
        <f>VLOOKUP(AD766,[34]Planilha1!$H:$J,3,0)</f>
        <v>Não</v>
      </c>
      <c r="AG766" s="43">
        <f t="shared" si="214"/>
        <v>8000</v>
      </c>
    </row>
    <row r="767" spans="1:33" x14ac:dyDescent="0.3">
      <c r="A767" s="1" t="s">
        <v>837</v>
      </c>
      <c r="B767" s="65" t="s">
        <v>28</v>
      </c>
      <c r="C767" s="78" t="s">
        <v>755</v>
      </c>
      <c r="D767" s="81" t="s">
        <v>757</v>
      </c>
      <c r="E767" s="86" t="s">
        <v>504</v>
      </c>
      <c r="F767" s="81" t="s">
        <v>21</v>
      </c>
      <c r="G767" s="65" t="s">
        <v>32</v>
      </c>
      <c r="H767" s="81" t="s">
        <v>219</v>
      </c>
      <c r="I767" s="27"/>
      <c r="J767" s="27">
        <v>2700</v>
      </c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>
        <f t="shared" si="215"/>
        <v>2700</v>
      </c>
      <c r="V767" s="82"/>
      <c r="W767"/>
      <c r="X767" s="87"/>
      <c r="Y767" s="8"/>
      <c r="Z767"/>
      <c r="AA767"/>
      <c r="AB767"/>
      <c r="AD767" s="42" t="str">
        <f>C767&amp;A767</f>
        <v>BRINDES E DOACOES/INDEDUTIVELAdm</v>
      </c>
      <c r="AE767" s="42" t="str">
        <f>IFERROR(VLOOKUP(C767,[34]Planilha1!$B:$C,2,0),"Não se Aplica")</f>
        <v>Sim</v>
      </c>
      <c r="AF767" s="42" t="str">
        <f>VLOOKUP(AD767,[34]Planilha1!$H:$J,3,0)</f>
        <v>Não</v>
      </c>
      <c r="AG767" s="43">
        <f t="shared" si="214"/>
        <v>2700</v>
      </c>
    </row>
    <row r="768" spans="1:33" x14ac:dyDescent="0.3">
      <c r="A768" s="1" t="s">
        <v>837</v>
      </c>
      <c r="B768" s="65" t="s">
        <v>20</v>
      </c>
      <c r="C768" s="78" t="s">
        <v>755</v>
      </c>
      <c r="D768" s="81" t="s">
        <v>757</v>
      </c>
      <c r="E768" s="86" t="s">
        <v>504</v>
      </c>
      <c r="F768" s="81" t="s">
        <v>21</v>
      </c>
      <c r="G768" s="65" t="s">
        <v>32</v>
      </c>
      <c r="H768" s="81" t="s">
        <v>219</v>
      </c>
      <c r="I768" s="27"/>
      <c r="J768" s="27">
        <v>2700</v>
      </c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>
        <f t="shared" si="215"/>
        <v>2700</v>
      </c>
      <c r="V768" s="82"/>
      <c r="W768"/>
      <c r="X768" s="87"/>
      <c r="Y768" s="8"/>
      <c r="Z768"/>
      <c r="AA768"/>
      <c r="AB768"/>
      <c r="AD768" s="42" t="str">
        <f>C768&amp;A768</f>
        <v>BRINDES E DOACOES/INDEDUTIVELAdm</v>
      </c>
      <c r="AE768" s="42" t="str">
        <f>IFERROR(VLOOKUP(C768,[34]Planilha1!$B:$C,2,0),"Não se Aplica")</f>
        <v>Sim</v>
      </c>
      <c r="AF768" s="42" t="str">
        <f>VLOOKUP(AD768,[34]Planilha1!$H:$J,3,0)</f>
        <v>Não</v>
      </c>
      <c r="AG768" s="43">
        <f t="shared" si="214"/>
        <v>2700</v>
      </c>
    </row>
    <row r="769" spans="1:33" x14ac:dyDescent="0.3">
      <c r="A769" s="1" t="s">
        <v>837</v>
      </c>
      <c r="B769" s="65" t="s">
        <v>20</v>
      </c>
      <c r="C769" s="78" t="s">
        <v>622</v>
      </c>
      <c r="D769" s="81" t="s">
        <v>758</v>
      </c>
      <c r="E769" s="86" t="s">
        <v>759</v>
      </c>
      <c r="F769" s="81" t="s">
        <v>21</v>
      </c>
      <c r="G769" s="65" t="s">
        <v>32</v>
      </c>
      <c r="H769" s="81" t="s">
        <v>219</v>
      </c>
      <c r="I769" s="27">
        <v>1500</v>
      </c>
      <c r="J769" s="27"/>
      <c r="K769" s="27"/>
      <c r="L769" s="27"/>
      <c r="M769" s="27"/>
      <c r="N769" s="27"/>
      <c r="O769" s="27">
        <v>1500</v>
      </c>
      <c r="P769" s="27"/>
      <c r="Q769" s="27"/>
      <c r="R769" s="27"/>
      <c r="S769" s="27"/>
      <c r="T769" s="27"/>
      <c r="U769" s="27">
        <f t="shared" si="215"/>
        <v>3000</v>
      </c>
      <c r="V769" s="82"/>
      <c r="W769"/>
      <c r="X769" s="87"/>
      <c r="Y769" s="8"/>
      <c r="Z769"/>
      <c r="AA769"/>
      <c r="AB769"/>
      <c r="AD769" s="42" t="str">
        <f>C769&amp;A769</f>
        <v>MATERIAL DE EXPEDIENTEAdm</v>
      </c>
      <c r="AE769" s="42" t="str">
        <f>IFERROR(VLOOKUP(C769,[34]Planilha1!$B:$C,2,0),"Não se Aplica")</f>
        <v>Sim</v>
      </c>
      <c r="AF769" s="42" t="str">
        <f>VLOOKUP(AD769,[34]Planilha1!$H:$J,3,0)</f>
        <v>Não</v>
      </c>
      <c r="AG769" s="43">
        <f t="shared" si="214"/>
        <v>3000</v>
      </c>
    </row>
    <row r="770" spans="1:33" x14ac:dyDescent="0.3">
      <c r="A770" s="1" t="s">
        <v>837</v>
      </c>
      <c r="B770" s="65" t="s">
        <v>28</v>
      </c>
      <c r="C770" s="78" t="s">
        <v>622</v>
      </c>
      <c r="D770" s="81" t="s">
        <v>758</v>
      </c>
      <c r="E770" s="86" t="s">
        <v>759</v>
      </c>
      <c r="F770" s="81" t="s">
        <v>21</v>
      </c>
      <c r="G770" s="65" t="s">
        <v>32</v>
      </c>
      <c r="H770" s="81" t="s">
        <v>219</v>
      </c>
      <c r="I770" s="27">
        <v>1500</v>
      </c>
      <c r="J770" s="27"/>
      <c r="K770" s="27"/>
      <c r="L770" s="27"/>
      <c r="M770" s="27"/>
      <c r="N770" s="27"/>
      <c r="O770" s="27">
        <v>1500</v>
      </c>
      <c r="P770" s="27"/>
      <c r="Q770" s="27"/>
      <c r="R770" s="27"/>
      <c r="S770" s="27"/>
      <c r="T770" s="27"/>
      <c r="U770" s="27">
        <f t="shared" si="215"/>
        <v>3000</v>
      </c>
      <c r="V770" s="82"/>
      <c r="W770"/>
      <c r="X770" s="87"/>
      <c r="Y770" s="8"/>
      <c r="Z770"/>
      <c r="AA770"/>
      <c r="AB770"/>
      <c r="AD770" s="42" t="str">
        <f>C770&amp;A770</f>
        <v>MATERIAL DE EXPEDIENTEAdm</v>
      </c>
      <c r="AE770" s="42" t="str">
        <f>IFERROR(VLOOKUP(C770,[34]Planilha1!$B:$C,2,0),"Não se Aplica")</f>
        <v>Sim</v>
      </c>
      <c r="AF770" s="42" t="str">
        <f>VLOOKUP(AD770,[34]Planilha1!$H:$J,3,0)</f>
        <v>Não</v>
      </c>
      <c r="AG770" s="43">
        <f t="shared" si="214"/>
        <v>3000</v>
      </c>
    </row>
    <row r="771" spans="1:33" x14ac:dyDescent="0.3">
      <c r="A771" s="1" t="s">
        <v>837</v>
      </c>
      <c r="B771" s="65" t="s">
        <v>20</v>
      </c>
      <c r="C771" s="78" t="s">
        <v>755</v>
      </c>
      <c r="D771" s="81" t="s">
        <v>760</v>
      </c>
      <c r="E771" s="86" t="s">
        <v>545</v>
      </c>
      <c r="F771" s="81" t="s">
        <v>21</v>
      </c>
      <c r="G771" s="65" t="s">
        <v>32</v>
      </c>
      <c r="H771" s="81" t="s">
        <v>219</v>
      </c>
      <c r="I771" s="27">
        <v>200</v>
      </c>
      <c r="J771" s="27">
        <v>200</v>
      </c>
      <c r="K771" s="27">
        <v>200</v>
      </c>
      <c r="L771" s="27">
        <v>200</v>
      </c>
      <c r="M771" s="27">
        <v>200</v>
      </c>
      <c r="N771" s="27">
        <v>200</v>
      </c>
      <c r="O771" s="27">
        <v>200</v>
      </c>
      <c r="P771" s="27">
        <v>200</v>
      </c>
      <c r="Q771" s="27">
        <v>200</v>
      </c>
      <c r="R771" s="27">
        <v>200</v>
      </c>
      <c r="S771" s="27">
        <v>200</v>
      </c>
      <c r="T771" s="27">
        <v>200</v>
      </c>
      <c r="U771" s="27">
        <f t="shared" si="215"/>
        <v>2400</v>
      </c>
      <c r="V771" s="82"/>
      <c r="W771"/>
      <c r="X771" s="87"/>
      <c r="Y771" s="8"/>
      <c r="Z771"/>
      <c r="AA771"/>
      <c r="AB771"/>
      <c r="AD771" s="42" t="str">
        <f>C771&amp;A771</f>
        <v>BRINDES E DOACOES/INDEDUTIVELAdm</v>
      </c>
      <c r="AE771" s="42" t="str">
        <f>IFERROR(VLOOKUP(C771,[34]Planilha1!$B:$C,2,0),"Não se Aplica")</f>
        <v>Sim</v>
      </c>
      <c r="AF771" s="42" t="str">
        <f>VLOOKUP(AD771,[34]Planilha1!$H:$J,3,0)</f>
        <v>Não</v>
      </c>
      <c r="AG771" s="43">
        <f t="shared" si="214"/>
        <v>2400</v>
      </c>
    </row>
    <row r="772" spans="1:33" x14ac:dyDescent="0.3">
      <c r="A772" s="1" t="s">
        <v>837</v>
      </c>
      <c r="B772" s="65" t="s">
        <v>28</v>
      </c>
      <c r="C772" s="78" t="s">
        <v>755</v>
      </c>
      <c r="D772" s="81" t="s">
        <v>760</v>
      </c>
      <c r="E772" s="86" t="s">
        <v>545</v>
      </c>
      <c r="F772" s="81" t="s">
        <v>21</v>
      </c>
      <c r="G772" s="65" t="s">
        <v>32</v>
      </c>
      <c r="H772" s="81" t="s">
        <v>219</v>
      </c>
      <c r="I772" s="27">
        <v>200</v>
      </c>
      <c r="J772" s="27">
        <v>200</v>
      </c>
      <c r="K772" s="27">
        <v>200</v>
      </c>
      <c r="L772" s="27">
        <v>200</v>
      </c>
      <c r="M772" s="27">
        <v>200</v>
      </c>
      <c r="N772" s="27">
        <v>200</v>
      </c>
      <c r="O772" s="27">
        <v>200</v>
      </c>
      <c r="P772" s="27">
        <v>200</v>
      </c>
      <c r="Q772" s="27">
        <v>200</v>
      </c>
      <c r="R772" s="27">
        <v>200</v>
      </c>
      <c r="S772" s="27">
        <v>200</v>
      </c>
      <c r="T772" s="27">
        <v>200</v>
      </c>
      <c r="U772" s="27">
        <f t="shared" si="215"/>
        <v>2400</v>
      </c>
      <c r="V772" s="82"/>
      <c r="W772"/>
      <c r="X772" s="87"/>
      <c r="Y772" s="8"/>
      <c r="Z772"/>
      <c r="AA772"/>
      <c r="AB772"/>
      <c r="AD772" s="42" t="str">
        <f>C772&amp;A772</f>
        <v>BRINDES E DOACOES/INDEDUTIVELAdm</v>
      </c>
      <c r="AE772" s="42" t="str">
        <f>IFERROR(VLOOKUP(C772,[34]Planilha1!$B:$C,2,0),"Não se Aplica")</f>
        <v>Sim</v>
      </c>
      <c r="AF772" s="42" t="str">
        <f>VLOOKUP(AD772,[34]Planilha1!$H:$J,3,0)</f>
        <v>Não</v>
      </c>
      <c r="AG772" s="43">
        <f t="shared" si="214"/>
        <v>2400</v>
      </c>
    </row>
    <row r="773" spans="1:33" x14ac:dyDescent="0.3">
      <c r="A773" s="1" t="s">
        <v>837</v>
      </c>
      <c r="B773" s="65" t="s">
        <v>20</v>
      </c>
      <c r="C773" s="78" t="s">
        <v>435</v>
      </c>
      <c r="D773" s="81" t="s">
        <v>761</v>
      </c>
      <c r="E773" s="86" t="s">
        <v>545</v>
      </c>
      <c r="F773" s="81" t="s">
        <v>21</v>
      </c>
      <c r="G773" s="65" t="s">
        <v>32</v>
      </c>
      <c r="H773" s="81" t="s">
        <v>219</v>
      </c>
      <c r="I773" s="27">
        <v>89.285714285714292</v>
      </c>
      <c r="J773" s="27">
        <v>89.285714285714292</v>
      </c>
      <c r="K773" s="27">
        <v>89.285714285714292</v>
      </c>
      <c r="L773" s="27">
        <v>89.285714285714292</v>
      </c>
      <c r="M773" s="27">
        <v>89.285714285714292</v>
      </c>
      <c r="N773" s="27">
        <v>89.285714285714292</v>
      </c>
      <c r="O773" s="27">
        <v>89.285714285714292</v>
      </c>
      <c r="P773" s="27">
        <v>89.285714285714292</v>
      </c>
      <c r="Q773" s="27">
        <v>89.285714285714292</v>
      </c>
      <c r="R773" s="27">
        <v>89.285714285714292</v>
      </c>
      <c r="S773" s="27">
        <v>89.285714285714292</v>
      </c>
      <c r="T773" s="27">
        <v>89.285714285714292</v>
      </c>
      <c r="U773" s="27">
        <f t="shared" si="215"/>
        <v>1071.4285714285718</v>
      </c>
      <c r="V773" s="82"/>
      <c r="W773"/>
      <c r="X773" s="87"/>
      <c r="Y773" s="8"/>
      <c r="Z773"/>
      <c r="AA773"/>
      <c r="AB773"/>
      <c r="AD773" s="42" t="str">
        <f>C773&amp;A773</f>
        <v>FEIRAS EVENTOS E CONFRATERNIZACOESAdm</v>
      </c>
      <c r="AE773" s="42" t="str">
        <f>IFERROR(VLOOKUP(C773,[34]Planilha1!$B:$C,2,0),"Não se Aplica")</f>
        <v>Sim</v>
      </c>
      <c r="AF773" s="42" t="str">
        <f>VLOOKUP(AD773,[34]Planilha1!$H:$J,3,0)</f>
        <v>Não</v>
      </c>
      <c r="AG773" s="43">
        <f t="shared" si="214"/>
        <v>1071.4285714285718</v>
      </c>
    </row>
    <row r="774" spans="1:33" x14ac:dyDescent="0.3">
      <c r="A774" s="1" t="s">
        <v>837</v>
      </c>
      <c r="B774" s="65" t="s">
        <v>28</v>
      </c>
      <c r="C774" s="78" t="s">
        <v>435</v>
      </c>
      <c r="D774" s="81" t="s">
        <v>761</v>
      </c>
      <c r="E774" s="86" t="s">
        <v>545</v>
      </c>
      <c r="F774" s="81" t="s">
        <v>21</v>
      </c>
      <c r="G774" s="65" t="s">
        <v>32</v>
      </c>
      <c r="H774" s="81" t="s">
        <v>219</v>
      </c>
      <c r="I774" s="27">
        <v>89.285714285714292</v>
      </c>
      <c r="J774" s="27">
        <v>89.285714285714292</v>
      </c>
      <c r="K774" s="27">
        <v>89.285714285714292</v>
      </c>
      <c r="L774" s="27">
        <v>89.285714285714292</v>
      </c>
      <c r="M774" s="27">
        <v>89.285714285714292</v>
      </c>
      <c r="N774" s="27">
        <v>89.285714285714292</v>
      </c>
      <c r="O774" s="27">
        <v>89.285714285714292</v>
      </c>
      <c r="P774" s="27">
        <v>89.285714285714292</v>
      </c>
      <c r="Q774" s="27">
        <v>89.285714285714292</v>
      </c>
      <c r="R774" s="27">
        <v>89.285714285714292</v>
      </c>
      <c r="S774" s="27">
        <v>89.285714285714292</v>
      </c>
      <c r="T774" s="27">
        <v>89.285714285714292</v>
      </c>
      <c r="U774" s="27">
        <f t="shared" si="215"/>
        <v>1071.4285714285718</v>
      </c>
      <c r="V774" s="82"/>
      <c r="W774"/>
      <c r="X774" s="87"/>
      <c r="Y774" s="8"/>
      <c r="Z774"/>
      <c r="AA774"/>
      <c r="AB774"/>
      <c r="AD774" s="42" t="str">
        <f>C774&amp;A774</f>
        <v>FEIRAS EVENTOS E CONFRATERNIZACOESAdm</v>
      </c>
      <c r="AE774" s="42" t="str">
        <f>IFERROR(VLOOKUP(C774,[34]Planilha1!$B:$C,2,0),"Não se Aplica")</f>
        <v>Sim</v>
      </c>
      <c r="AF774" s="42" t="str">
        <f>VLOOKUP(AD774,[34]Planilha1!$H:$J,3,0)</f>
        <v>Não</v>
      </c>
      <c r="AG774" s="43">
        <f t="shared" si="214"/>
        <v>1071.4285714285718</v>
      </c>
    </row>
    <row r="775" spans="1:33" x14ac:dyDescent="0.3">
      <c r="A775" s="1" t="s">
        <v>837</v>
      </c>
      <c r="B775" s="65" t="s">
        <v>28</v>
      </c>
      <c r="C775" s="78" t="s">
        <v>755</v>
      </c>
      <c r="D775" s="81" t="s">
        <v>762</v>
      </c>
      <c r="E775" s="86" t="s">
        <v>545</v>
      </c>
      <c r="F775" s="81" t="s">
        <v>21</v>
      </c>
      <c r="G775" s="65" t="s">
        <v>32</v>
      </c>
      <c r="H775" s="81" t="s">
        <v>219</v>
      </c>
      <c r="I775" s="27">
        <v>250</v>
      </c>
      <c r="J775" s="27">
        <v>250</v>
      </c>
      <c r="K775" s="27">
        <v>250</v>
      </c>
      <c r="L775" s="27">
        <v>250</v>
      </c>
      <c r="M775" s="27">
        <v>250</v>
      </c>
      <c r="N775" s="27">
        <v>250</v>
      </c>
      <c r="O775" s="27">
        <v>250</v>
      </c>
      <c r="P775" s="27">
        <v>250</v>
      </c>
      <c r="Q775" s="27">
        <v>250</v>
      </c>
      <c r="R775" s="27">
        <v>250</v>
      </c>
      <c r="S775" s="27">
        <v>250</v>
      </c>
      <c r="T775" s="27">
        <v>250</v>
      </c>
      <c r="U775" s="27">
        <f t="shared" si="215"/>
        <v>3000</v>
      </c>
      <c r="V775" s="82"/>
      <c r="W775"/>
      <c r="X775" s="87"/>
      <c r="Y775" s="8"/>
      <c r="Z775"/>
      <c r="AA775"/>
      <c r="AB775"/>
      <c r="AD775" s="42" t="str">
        <f>C775&amp;A775</f>
        <v>BRINDES E DOACOES/INDEDUTIVELAdm</v>
      </c>
      <c r="AE775" s="42" t="str">
        <f>IFERROR(VLOOKUP(C775,[34]Planilha1!$B:$C,2,0),"Não se Aplica")</f>
        <v>Sim</v>
      </c>
      <c r="AF775" s="42" t="str">
        <f>VLOOKUP(AD775,[34]Planilha1!$H:$J,3,0)</f>
        <v>Não</v>
      </c>
      <c r="AG775" s="43">
        <f t="shared" si="214"/>
        <v>3000</v>
      </c>
    </row>
    <row r="776" spans="1:33" x14ac:dyDescent="0.3">
      <c r="A776" s="1" t="s">
        <v>837</v>
      </c>
      <c r="B776" s="65" t="s">
        <v>20</v>
      </c>
      <c r="C776" s="78" t="s">
        <v>755</v>
      </c>
      <c r="D776" s="81" t="s">
        <v>762</v>
      </c>
      <c r="E776" s="86" t="s">
        <v>545</v>
      </c>
      <c r="F776" s="81" t="s">
        <v>21</v>
      </c>
      <c r="G776" s="65" t="s">
        <v>32</v>
      </c>
      <c r="H776" s="81" t="s">
        <v>219</v>
      </c>
      <c r="I776" s="27">
        <v>250</v>
      </c>
      <c r="J776" s="27">
        <v>250</v>
      </c>
      <c r="K776" s="27">
        <v>250</v>
      </c>
      <c r="L776" s="27">
        <v>250</v>
      </c>
      <c r="M776" s="27">
        <v>250</v>
      </c>
      <c r="N776" s="27">
        <v>250</v>
      </c>
      <c r="O776" s="27">
        <v>250</v>
      </c>
      <c r="P776" s="27">
        <v>250</v>
      </c>
      <c r="Q776" s="27">
        <v>250</v>
      </c>
      <c r="R776" s="27">
        <v>250</v>
      </c>
      <c r="S776" s="27">
        <v>250</v>
      </c>
      <c r="T776" s="27">
        <v>250</v>
      </c>
      <c r="U776" s="27">
        <f t="shared" si="215"/>
        <v>3000</v>
      </c>
      <c r="V776" s="82"/>
      <c r="W776"/>
      <c r="X776" s="87"/>
      <c r="Y776" s="8"/>
      <c r="Z776"/>
      <c r="AA776"/>
      <c r="AB776"/>
      <c r="AD776" s="42" t="str">
        <f>C776&amp;A776</f>
        <v>BRINDES E DOACOES/INDEDUTIVELAdm</v>
      </c>
      <c r="AE776" s="42" t="str">
        <f>IFERROR(VLOOKUP(C776,[34]Planilha1!$B:$C,2,0),"Não se Aplica")</f>
        <v>Sim</v>
      </c>
      <c r="AF776" s="42" t="str">
        <f>VLOOKUP(AD776,[34]Planilha1!$H:$J,3,0)</f>
        <v>Não</v>
      </c>
      <c r="AG776" s="43">
        <f t="shared" si="214"/>
        <v>3000</v>
      </c>
    </row>
    <row r="777" spans="1:33" x14ac:dyDescent="0.3">
      <c r="A777" s="1" t="s">
        <v>837</v>
      </c>
      <c r="B777" s="65" t="s">
        <v>28</v>
      </c>
      <c r="C777" s="78" t="s">
        <v>755</v>
      </c>
      <c r="D777" s="81" t="s">
        <v>763</v>
      </c>
      <c r="E777" s="86" t="s">
        <v>764</v>
      </c>
      <c r="F777" s="81" t="s">
        <v>21</v>
      </c>
      <c r="G777" s="65" t="s">
        <v>32</v>
      </c>
      <c r="H777" s="81" t="s">
        <v>219</v>
      </c>
      <c r="I777" s="27"/>
      <c r="J777" s="27">
        <v>500</v>
      </c>
      <c r="K777" s="27"/>
      <c r="L777" s="27"/>
      <c r="M777" s="27"/>
      <c r="N777" s="27"/>
      <c r="O777" s="27"/>
      <c r="P777" s="27">
        <v>500</v>
      </c>
      <c r="Q777" s="27"/>
      <c r="R777" s="27"/>
      <c r="S777" s="27"/>
      <c r="T777" s="27"/>
      <c r="U777" s="27">
        <f t="shared" si="215"/>
        <v>1000</v>
      </c>
      <c r="V777" s="82"/>
      <c r="W777" s="6"/>
      <c r="X777" s="87"/>
      <c r="Y777" s="8"/>
      <c r="Z777"/>
      <c r="AA777"/>
      <c r="AB777"/>
      <c r="AD777" s="42" t="str">
        <f>C777&amp;A777</f>
        <v>BRINDES E DOACOES/INDEDUTIVELAdm</v>
      </c>
      <c r="AE777" s="42" t="str">
        <f>IFERROR(VLOOKUP(C777,[34]Planilha1!$B:$C,2,0),"Não se Aplica")</f>
        <v>Sim</v>
      </c>
      <c r="AF777" s="42" t="str">
        <f>VLOOKUP(AD777,[34]Planilha1!$H:$J,3,0)</f>
        <v>Não</v>
      </c>
      <c r="AG777" s="43">
        <f t="shared" si="214"/>
        <v>1000</v>
      </c>
    </row>
    <row r="778" spans="1:33" x14ac:dyDescent="0.3">
      <c r="A778" s="1" t="s">
        <v>837</v>
      </c>
      <c r="B778" s="65" t="s">
        <v>20</v>
      </c>
      <c r="C778" s="78" t="s">
        <v>755</v>
      </c>
      <c r="D778" s="81" t="s">
        <v>763</v>
      </c>
      <c r="E778" s="86" t="s">
        <v>764</v>
      </c>
      <c r="F778" s="81" t="s">
        <v>21</v>
      </c>
      <c r="G778" s="65" t="s">
        <v>32</v>
      </c>
      <c r="H778" s="81" t="s">
        <v>219</v>
      </c>
      <c r="I778" s="27"/>
      <c r="J778" s="27">
        <v>500</v>
      </c>
      <c r="K778" s="27"/>
      <c r="L778" s="27"/>
      <c r="M778" s="27"/>
      <c r="N778" s="27"/>
      <c r="O778" s="27"/>
      <c r="P778" s="27">
        <v>500</v>
      </c>
      <c r="Q778" s="27"/>
      <c r="R778" s="27"/>
      <c r="S778" s="27"/>
      <c r="T778" s="27"/>
      <c r="U778" s="27">
        <f t="shared" si="215"/>
        <v>1000</v>
      </c>
      <c r="V778" s="82"/>
      <c r="W778"/>
      <c r="X778" s="87"/>
      <c r="Y778" s="8"/>
      <c r="Z778"/>
      <c r="AA778"/>
      <c r="AB778"/>
      <c r="AD778" s="42" t="str">
        <f>C778&amp;A778</f>
        <v>BRINDES E DOACOES/INDEDUTIVELAdm</v>
      </c>
      <c r="AE778" s="42" t="str">
        <f>IFERROR(VLOOKUP(C778,[34]Planilha1!$B:$C,2,0),"Não se Aplica")</f>
        <v>Sim</v>
      </c>
      <c r="AF778" s="42" t="str">
        <f>VLOOKUP(AD778,[34]Planilha1!$H:$J,3,0)</f>
        <v>Não</v>
      </c>
      <c r="AG778" s="43">
        <f t="shared" si="214"/>
        <v>1000</v>
      </c>
    </row>
    <row r="779" spans="1:33" x14ac:dyDescent="0.3">
      <c r="A779" s="1" t="s">
        <v>837</v>
      </c>
      <c r="B779" s="65" t="s">
        <v>20</v>
      </c>
      <c r="C779" s="78" t="s">
        <v>622</v>
      </c>
      <c r="D779" s="81" t="s">
        <v>765</v>
      </c>
      <c r="E779" s="86" t="s">
        <v>766</v>
      </c>
      <c r="F779" s="81" t="s">
        <v>21</v>
      </c>
      <c r="G779" s="65" t="s">
        <v>32</v>
      </c>
      <c r="H779" s="81" t="s">
        <v>219</v>
      </c>
      <c r="I779" s="27"/>
      <c r="J779" s="27"/>
      <c r="K779" s="27">
        <v>500</v>
      </c>
      <c r="L779" s="27"/>
      <c r="M779" s="27"/>
      <c r="N779" s="27">
        <v>500</v>
      </c>
      <c r="O779" s="27"/>
      <c r="P779" s="27"/>
      <c r="Q779" s="27">
        <v>500</v>
      </c>
      <c r="R779" s="27"/>
      <c r="S779" s="27"/>
      <c r="T779" s="27"/>
      <c r="U779" s="27">
        <f t="shared" si="215"/>
        <v>1500</v>
      </c>
      <c r="V779" s="82"/>
      <c r="W779"/>
      <c r="X779" s="87"/>
      <c r="Y779" s="8"/>
      <c r="Z779"/>
      <c r="AA779"/>
      <c r="AB779"/>
      <c r="AD779" s="42" t="str">
        <f>C779&amp;A779</f>
        <v>MATERIAL DE EXPEDIENTEAdm</v>
      </c>
      <c r="AE779" s="42" t="str">
        <f>IFERROR(VLOOKUP(C779,[34]Planilha1!$B:$C,2,0),"Não se Aplica")</f>
        <v>Sim</v>
      </c>
      <c r="AF779" s="42" t="str">
        <f>VLOOKUP(AD779,[34]Planilha1!$H:$J,3,0)</f>
        <v>Não</v>
      </c>
      <c r="AG779" s="43">
        <f t="shared" si="214"/>
        <v>1500</v>
      </c>
    </row>
    <row r="780" spans="1:33" x14ac:dyDescent="0.3">
      <c r="A780" s="1" t="s">
        <v>837</v>
      </c>
      <c r="B780" s="65" t="s">
        <v>28</v>
      </c>
      <c r="C780" s="78" t="s">
        <v>622</v>
      </c>
      <c r="D780" s="81" t="s">
        <v>765</v>
      </c>
      <c r="E780" s="86" t="s">
        <v>766</v>
      </c>
      <c r="F780" s="81" t="s">
        <v>21</v>
      </c>
      <c r="G780" s="65" t="s">
        <v>32</v>
      </c>
      <c r="H780" s="81" t="s">
        <v>219</v>
      </c>
      <c r="I780" s="27"/>
      <c r="J780" s="27"/>
      <c r="K780" s="27">
        <v>500</v>
      </c>
      <c r="L780" s="27"/>
      <c r="M780" s="27"/>
      <c r="N780" s="27">
        <v>500</v>
      </c>
      <c r="O780" s="27"/>
      <c r="P780" s="27"/>
      <c r="Q780" s="27">
        <v>500</v>
      </c>
      <c r="R780" s="27"/>
      <c r="S780" s="27"/>
      <c r="T780" s="27"/>
      <c r="U780" s="27">
        <f t="shared" si="215"/>
        <v>1500</v>
      </c>
      <c r="V780" s="82"/>
      <c r="W780"/>
      <c r="X780" s="87"/>
      <c r="Y780" s="8"/>
      <c r="Z780"/>
      <c r="AA780"/>
      <c r="AB780"/>
      <c r="AD780" s="42" t="str">
        <f>C780&amp;A780</f>
        <v>MATERIAL DE EXPEDIENTEAdm</v>
      </c>
      <c r="AE780" s="42" t="str">
        <f>IFERROR(VLOOKUP(C780,[34]Planilha1!$B:$C,2,0),"Não se Aplica")</f>
        <v>Sim</v>
      </c>
      <c r="AF780" s="42" t="str">
        <f>VLOOKUP(AD780,[34]Planilha1!$H:$J,3,0)</f>
        <v>Não</v>
      </c>
      <c r="AG780" s="43">
        <f t="shared" si="214"/>
        <v>1500</v>
      </c>
    </row>
    <row r="781" spans="1:33" x14ac:dyDescent="0.3">
      <c r="A781" s="1" t="s">
        <v>837</v>
      </c>
      <c r="B781" s="65" t="s">
        <v>20</v>
      </c>
      <c r="C781" s="78" t="s">
        <v>622</v>
      </c>
      <c r="D781" s="81" t="s">
        <v>765</v>
      </c>
      <c r="E781" s="86" t="s">
        <v>766</v>
      </c>
      <c r="F781" s="81" t="s">
        <v>21</v>
      </c>
      <c r="G781" s="65" t="s">
        <v>22</v>
      </c>
      <c r="H781" s="81" t="s">
        <v>219</v>
      </c>
      <c r="I781" s="27"/>
      <c r="J781" s="27"/>
      <c r="K781" s="27"/>
      <c r="L781" s="27"/>
      <c r="M781" s="27"/>
      <c r="N781" s="27">
        <v>500</v>
      </c>
      <c r="O781" s="27"/>
      <c r="P781" s="27"/>
      <c r="Q781" s="27"/>
      <c r="R781" s="27">
        <v>500</v>
      </c>
      <c r="S781" s="27"/>
      <c r="T781" s="27"/>
      <c r="U781" s="27">
        <f t="shared" si="215"/>
        <v>1000</v>
      </c>
      <c r="V781" s="82"/>
      <c r="W781"/>
      <c r="X781" s="87"/>
      <c r="Y781" s="8"/>
      <c r="Z781"/>
      <c r="AA781"/>
      <c r="AB781"/>
      <c r="AD781" s="42" t="str">
        <f>C781&amp;A781</f>
        <v>MATERIAL DE EXPEDIENTEAdm</v>
      </c>
      <c r="AE781" s="42" t="str">
        <f>IFERROR(VLOOKUP(C781,[34]Planilha1!$B:$C,2,0),"Não se Aplica")</f>
        <v>Sim</v>
      </c>
      <c r="AF781" s="42" t="str">
        <f>VLOOKUP(AD781,[34]Planilha1!$H:$J,3,0)</f>
        <v>Não</v>
      </c>
      <c r="AG781" s="43">
        <f t="shared" si="214"/>
        <v>1000</v>
      </c>
    </row>
    <row r="782" spans="1:33" x14ac:dyDescent="0.3">
      <c r="A782" s="1" t="s">
        <v>837</v>
      </c>
      <c r="B782" s="65" t="s">
        <v>28</v>
      </c>
      <c r="C782" s="78" t="s">
        <v>622</v>
      </c>
      <c r="D782" s="81" t="s">
        <v>767</v>
      </c>
      <c r="E782" s="86" t="s">
        <v>768</v>
      </c>
      <c r="F782" s="81" t="s">
        <v>21</v>
      </c>
      <c r="G782" s="65" t="s">
        <v>32</v>
      </c>
      <c r="H782" s="81" t="s">
        <v>219</v>
      </c>
      <c r="I782" s="27"/>
      <c r="J782" s="27"/>
      <c r="K782" s="27"/>
      <c r="L782" s="27"/>
      <c r="M782" s="27"/>
      <c r="N782" s="27">
        <v>400</v>
      </c>
      <c r="O782" s="27"/>
      <c r="P782" s="27"/>
      <c r="Q782" s="27"/>
      <c r="R782" s="27"/>
      <c r="S782" s="27"/>
      <c r="T782" s="27"/>
      <c r="U782" s="27">
        <f t="shared" si="215"/>
        <v>400</v>
      </c>
      <c r="V782" s="82"/>
      <c r="W782"/>
      <c r="X782" s="87"/>
      <c r="Y782" s="8"/>
      <c r="Z782"/>
      <c r="AA782"/>
      <c r="AB782"/>
      <c r="AD782" s="42" t="str">
        <f>C782&amp;A782</f>
        <v>MATERIAL DE EXPEDIENTEAdm</v>
      </c>
      <c r="AE782" s="42" t="str">
        <f>IFERROR(VLOOKUP(C782,[34]Planilha1!$B:$C,2,0),"Não se Aplica")</f>
        <v>Sim</v>
      </c>
      <c r="AF782" s="42" t="str">
        <f>VLOOKUP(AD782,[34]Planilha1!$H:$J,3,0)</f>
        <v>Não</v>
      </c>
      <c r="AG782" s="43">
        <f t="shared" si="214"/>
        <v>400</v>
      </c>
    </row>
    <row r="783" spans="1:33" x14ac:dyDescent="0.3">
      <c r="A783" s="1" t="s">
        <v>837</v>
      </c>
      <c r="B783" s="65" t="s">
        <v>20</v>
      </c>
      <c r="C783" s="78" t="s">
        <v>622</v>
      </c>
      <c r="D783" s="81" t="s">
        <v>767</v>
      </c>
      <c r="E783" s="86" t="s">
        <v>768</v>
      </c>
      <c r="F783" s="81" t="s">
        <v>21</v>
      </c>
      <c r="G783" s="65" t="s">
        <v>32</v>
      </c>
      <c r="H783" s="81" t="s">
        <v>219</v>
      </c>
      <c r="I783" s="27"/>
      <c r="J783" s="27"/>
      <c r="K783" s="27"/>
      <c r="L783" s="27"/>
      <c r="M783" s="27"/>
      <c r="N783" s="27">
        <v>400</v>
      </c>
      <c r="O783" s="27"/>
      <c r="P783" s="27"/>
      <c r="Q783" s="27"/>
      <c r="R783" s="27"/>
      <c r="S783" s="27"/>
      <c r="T783" s="27"/>
      <c r="U783" s="27">
        <f t="shared" si="215"/>
        <v>400</v>
      </c>
      <c r="V783" s="82"/>
      <c r="W783"/>
      <c r="X783" s="87"/>
      <c r="Y783" s="8"/>
      <c r="Z783"/>
      <c r="AA783"/>
      <c r="AB783"/>
      <c r="AD783" s="42" t="str">
        <f>C783&amp;A783</f>
        <v>MATERIAL DE EXPEDIENTEAdm</v>
      </c>
      <c r="AE783" s="42" t="str">
        <f>IFERROR(VLOOKUP(C783,[34]Planilha1!$B:$C,2,0),"Não se Aplica")</f>
        <v>Sim</v>
      </c>
      <c r="AF783" s="42" t="str">
        <f>VLOOKUP(AD783,[34]Planilha1!$H:$J,3,0)</f>
        <v>Não</v>
      </c>
      <c r="AG783" s="43">
        <f t="shared" si="214"/>
        <v>400</v>
      </c>
    </row>
    <row r="784" spans="1:33" x14ac:dyDescent="0.3">
      <c r="A784" s="1" t="s">
        <v>837</v>
      </c>
      <c r="B784" s="65" t="s">
        <v>20</v>
      </c>
      <c r="C784" s="78" t="s">
        <v>622</v>
      </c>
      <c r="D784" s="81" t="s">
        <v>769</v>
      </c>
      <c r="E784" s="86" t="s">
        <v>770</v>
      </c>
      <c r="F784" s="81" t="s">
        <v>21</v>
      </c>
      <c r="G784" s="65" t="s">
        <v>32</v>
      </c>
      <c r="H784" s="81" t="s">
        <v>219</v>
      </c>
      <c r="I784" s="27"/>
      <c r="J784" s="27">
        <v>450</v>
      </c>
      <c r="K784" s="27"/>
      <c r="L784" s="27"/>
      <c r="M784" s="27"/>
      <c r="N784" s="27">
        <v>450</v>
      </c>
      <c r="O784" s="27"/>
      <c r="P784" s="27"/>
      <c r="Q784" s="27"/>
      <c r="R784" s="27">
        <v>450</v>
      </c>
      <c r="S784" s="27"/>
      <c r="T784" s="27"/>
      <c r="U784" s="27">
        <f t="shared" si="215"/>
        <v>1350</v>
      </c>
      <c r="V784" s="82"/>
      <c r="W784"/>
      <c r="X784" s="87"/>
      <c r="Y784" s="8"/>
      <c r="Z784"/>
      <c r="AA784"/>
      <c r="AB784"/>
      <c r="AD784" s="42" t="str">
        <f>C784&amp;A784</f>
        <v>MATERIAL DE EXPEDIENTEAdm</v>
      </c>
      <c r="AE784" s="42" t="str">
        <f>IFERROR(VLOOKUP(C784,[34]Planilha1!$B:$C,2,0),"Não se Aplica")</f>
        <v>Sim</v>
      </c>
      <c r="AF784" s="42" t="str">
        <f>VLOOKUP(AD784,[34]Planilha1!$H:$J,3,0)</f>
        <v>Não</v>
      </c>
      <c r="AG784" s="43">
        <f t="shared" si="214"/>
        <v>1350</v>
      </c>
    </row>
    <row r="785" spans="1:33" x14ac:dyDescent="0.3">
      <c r="A785" s="1" t="s">
        <v>837</v>
      </c>
      <c r="B785" s="65" t="s">
        <v>28</v>
      </c>
      <c r="C785" s="78" t="s">
        <v>622</v>
      </c>
      <c r="D785" s="81" t="s">
        <v>769</v>
      </c>
      <c r="E785" s="86" t="s">
        <v>770</v>
      </c>
      <c r="F785" s="81" t="s">
        <v>21</v>
      </c>
      <c r="G785" s="65" t="s">
        <v>32</v>
      </c>
      <c r="H785" s="81" t="s">
        <v>219</v>
      </c>
      <c r="I785" s="27"/>
      <c r="J785" s="27">
        <v>450</v>
      </c>
      <c r="K785" s="27"/>
      <c r="L785" s="27"/>
      <c r="M785" s="27"/>
      <c r="N785" s="27">
        <v>450</v>
      </c>
      <c r="O785" s="27"/>
      <c r="P785" s="27"/>
      <c r="Q785" s="27"/>
      <c r="R785" s="27">
        <v>450</v>
      </c>
      <c r="S785" s="27"/>
      <c r="T785" s="27"/>
      <c r="U785" s="27">
        <f t="shared" si="215"/>
        <v>1350</v>
      </c>
      <c r="V785" s="82"/>
      <c r="W785"/>
      <c r="X785" s="87"/>
      <c r="Y785" s="8"/>
      <c r="Z785"/>
      <c r="AA785"/>
      <c r="AB785"/>
      <c r="AD785" s="42" t="str">
        <f>C785&amp;A785</f>
        <v>MATERIAL DE EXPEDIENTEAdm</v>
      </c>
      <c r="AE785" s="42" t="str">
        <f>IFERROR(VLOOKUP(C785,[34]Planilha1!$B:$C,2,0),"Não se Aplica")</f>
        <v>Sim</v>
      </c>
      <c r="AF785" s="42" t="str">
        <f>VLOOKUP(AD785,[34]Planilha1!$H:$J,3,0)</f>
        <v>Não</v>
      </c>
      <c r="AG785" s="43">
        <f t="shared" si="214"/>
        <v>1350</v>
      </c>
    </row>
    <row r="786" spans="1:33" x14ac:dyDescent="0.3">
      <c r="A786" s="1" t="s">
        <v>837</v>
      </c>
      <c r="B786" s="65" t="s">
        <v>20</v>
      </c>
      <c r="C786" s="78" t="s">
        <v>622</v>
      </c>
      <c r="D786" s="81" t="s">
        <v>769</v>
      </c>
      <c r="E786" s="86" t="s">
        <v>770</v>
      </c>
      <c r="F786" s="81" t="s">
        <v>21</v>
      </c>
      <c r="G786" s="65" t="s">
        <v>22</v>
      </c>
      <c r="H786" s="81" t="s">
        <v>219</v>
      </c>
      <c r="I786" s="27"/>
      <c r="J786" s="27"/>
      <c r="K786" s="27">
        <v>400</v>
      </c>
      <c r="L786" s="27"/>
      <c r="M786" s="27"/>
      <c r="N786" s="27"/>
      <c r="O786" s="27"/>
      <c r="P786" s="27"/>
      <c r="Q786" s="27">
        <v>400</v>
      </c>
      <c r="R786" s="27"/>
      <c r="S786" s="27"/>
      <c r="T786" s="27"/>
      <c r="U786" s="27">
        <f t="shared" si="215"/>
        <v>800</v>
      </c>
      <c r="V786" s="82"/>
      <c r="W786"/>
      <c r="X786" s="87"/>
      <c r="Y786" s="8"/>
      <c r="Z786"/>
      <c r="AA786"/>
      <c r="AB786"/>
      <c r="AD786" s="42" t="str">
        <f>C786&amp;A786</f>
        <v>MATERIAL DE EXPEDIENTEAdm</v>
      </c>
      <c r="AE786" s="42" t="str">
        <f>IFERROR(VLOOKUP(C786,[34]Planilha1!$B:$C,2,0),"Não se Aplica")</f>
        <v>Sim</v>
      </c>
      <c r="AF786" s="42" t="str">
        <f>VLOOKUP(AD786,[34]Planilha1!$H:$J,3,0)</f>
        <v>Não</v>
      </c>
      <c r="AG786" s="43">
        <f t="shared" si="214"/>
        <v>800</v>
      </c>
    </row>
    <row r="787" spans="1:33" x14ac:dyDescent="0.3">
      <c r="A787" s="1" t="s">
        <v>837</v>
      </c>
      <c r="B787" s="65" t="s">
        <v>28</v>
      </c>
      <c r="C787" s="78" t="s">
        <v>622</v>
      </c>
      <c r="D787" s="81" t="s">
        <v>769</v>
      </c>
      <c r="E787" s="86" t="s">
        <v>770</v>
      </c>
      <c r="F787" s="81" t="s">
        <v>21</v>
      </c>
      <c r="G787" s="65" t="s">
        <v>22</v>
      </c>
      <c r="H787" s="81" t="s">
        <v>219</v>
      </c>
      <c r="I787" s="27"/>
      <c r="J787" s="27"/>
      <c r="K787" s="27">
        <v>400</v>
      </c>
      <c r="L787" s="27"/>
      <c r="M787" s="27"/>
      <c r="N787" s="27"/>
      <c r="O787" s="27"/>
      <c r="P787" s="27"/>
      <c r="Q787" s="27">
        <v>400</v>
      </c>
      <c r="R787" s="27"/>
      <c r="S787" s="27"/>
      <c r="T787" s="27"/>
      <c r="U787" s="27">
        <f t="shared" si="215"/>
        <v>800</v>
      </c>
      <c r="V787" s="82"/>
      <c r="W787"/>
      <c r="X787" s="87"/>
      <c r="Y787" s="8"/>
      <c r="Z787"/>
      <c r="AA787"/>
      <c r="AB787"/>
      <c r="AD787" s="42" t="str">
        <f>C787&amp;A787</f>
        <v>MATERIAL DE EXPEDIENTEAdm</v>
      </c>
      <c r="AE787" s="42" t="str">
        <f>IFERROR(VLOOKUP(C787,[34]Planilha1!$B:$C,2,0),"Não se Aplica")</f>
        <v>Sim</v>
      </c>
      <c r="AF787" s="42" t="str">
        <f>VLOOKUP(AD787,[34]Planilha1!$H:$J,3,0)</f>
        <v>Não</v>
      </c>
      <c r="AG787" s="43">
        <f t="shared" si="214"/>
        <v>800</v>
      </c>
    </row>
    <row r="788" spans="1:33" x14ac:dyDescent="0.3">
      <c r="A788" s="1" t="s">
        <v>837</v>
      </c>
      <c r="B788" s="65" t="s">
        <v>28</v>
      </c>
      <c r="C788" s="78" t="s">
        <v>57</v>
      </c>
      <c r="D788" s="81" t="s">
        <v>771</v>
      </c>
      <c r="E788" s="86" t="s">
        <v>545</v>
      </c>
      <c r="F788" s="81" t="s">
        <v>21</v>
      </c>
      <c r="G788" s="65" t="s">
        <v>32</v>
      </c>
      <c r="H788" s="81" t="s">
        <v>219</v>
      </c>
      <c r="I788" s="27">
        <v>500</v>
      </c>
      <c r="J788" s="27">
        <v>500</v>
      </c>
      <c r="K788" s="27">
        <v>500</v>
      </c>
      <c r="L788" s="27">
        <v>500</v>
      </c>
      <c r="M788" s="27">
        <v>500</v>
      </c>
      <c r="N788" s="27">
        <v>500</v>
      </c>
      <c r="O788" s="27">
        <v>500</v>
      </c>
      <c r="P788" s="27">
        <v>500</v>
      </c>
      <c r="Q788" s="27">
        <v>500</v>
      </c>
      <c r="R788" s="27">
        <v>500</v>
      </c>
      <c r="S788" s="27">
        <v>500</v>
      </c>
      <c r="T788" s="27">
        <v>500</v>
      </c>
      <c r="U788" s="27">
        <f t="shared" si="215"/>
        <v>6000</v>
      </c>
      <c r="V788" s="82"/>
      <c r="W788"/>
      <c r="X788" s="87"/>
      <c r="Y788" s="8"/>
      <c r="Z788"/>
      <c r="AA788"/>
      <c r="AB788"/>
      <c r="AD788" s="42" t="str">
        <f>C788&amp;A788</f>
        <v>AUDITORIA/CONSULTORIAAdm</v>
      </c>
      <c r="AE788" s="42" t="str">
        <f>IFERROR(VLOOKUP(C788,[34]Planilha1!$B:$C,2,0),"Não se Aplica")</f>
        <v>Sim</v>
      </c>
      <c r="AF788" s="42" t="str">
        <f>VLOOKUP(AD788,[34]Planilha1!$H:$J,3,0)</f>
        <v>Não</v>
      </c>
      <c r="AG788" s="43">
        <f t="shared" si="214"/>
        <v>6000</v>
      </c>
    </row>
    <row r="789" spans="1:33" x14ac:dyDescent="0.3">
      <c r="A789" s="1" t="s">
        <v>837</v>
      </c>
      <c r="B789" s="65" t="s">
        <v>28</v>
      </c>
      <c r="C789" s="78" t="s">
        <v>496</v>
      </c>
      <c r="D789" s="81" t="s">
        <v>772</v>
      </c>
      <c r="E789" s="86" t="s">
        <v>545</v>
      </c>
      <c r="F789" s="81" t="s">
        <v>21</v>
      </c>
      <c r="G789" s="65" t="s">
        <v>32</v>
      </c>
      <c r="H789" s="81" t="s">
        <v>219</v>
      </c>
      <c r="I789" s="27">
        <v>500</v>
      </c>
      <c r="J789" s="27">
        <v>450</v>
      </c>
      <c r="K789" s="27">
        <v>450</v>
      </c>
      <c r="L789" s="27">
        <v>450</v>
      </c>
      <c r="M789" s="27">
        <v>450</v>
      </c>
      <c r="N789" s="27">
        <v>450</v>
      </c>
      <c r="O789" s="27">
        <v>450</v>
      </c>
      <c r="P789" s="27">
        <v>450</v>
      </c>
      <c r="Q789" s="27">
        <v>450</v>
      </c>
      <c r="R789" s="27">
        <v>450</v>
      </c>
      <c r="S789" s="27">
        <v>450</v>
      </c>
      <c r="T789" s="27">
        <v>450</v>
      </c>
      <c r="U789" s="27">
        <f t="shared" si="215"/>
        <v>5450</v>
      </c>
      <c r="V789" s="82"/>
      <c r="W789"/>
      <c r="X789" s="87"/>
      <c r="Y789" s="8"/>
      <c r="Z789"/>
      <c r="AA789"/>
      <c r="AB789"/>
      <c r="AD789" s="42" t="str">
        <f>C789&amp;A789</f>
        <v>VIAGENSAdm</v>
      </c>
      <c r="AE789" s="42" t="str">
        <f>IFERROR(VLOOKUP(C789,[34]Planilha1!$B:$C,2,0),"Não se Aplica")</f>
        <v>Sim</v>
      </c>
      <c r="AF789" s="42" t="str">
        <f>VLOOKUP(AD789,[34]Planilha1!$H:$J,3,0)</f>
        <v>Não</v>
      </c>
      <c r="AG789" s="43">
        <f t="shared" si="214"/>
        <v>5450</v>
      </c>
    </row>
    <row r="790" spans="1:33" x14ac:dyDescent="0.3">
      <c r="A790" s="1" t="s">
        <v>837</v>
      </c>
      <c r="B790" s="65" t="s">
        <v>20</v>
      </c>
      <c r="C790" s="78" t="s">
        <v>496</v>
      </c>
      <c r="D790" s="81" t="s">
        <v>496</v>
      </c>
      <c r="E790" s="86" t="s">
        <v>545</v>
      </c>
      <c r="F790" s="81" t="s">
        <v>21</v>
      </c>
      <c r="G790" s="65" t="s">
        <v>32</v>
      </c>
      <c r="H790" s="81" t="s">
        <v>219</v>
      </c>
      <c r="I790" s="27">
        <v>1500</v>
      </c>
      <c r="J790" s="27">
        <v>1500</v>
      </c>
      <c r="K790" s="27">
        <v>1500</v>
      </c>
      <c r="L790" s="27">
        <v>1500</v>
      </c>
      <c r="M790" s="27">
        <v>1500</v>
      </c>
      <c r="N790" s="27">
        <v>1500</v>
      </c>
      <c r="O790" s="27">
        <v>1500</v>
      </c>
      <c r="P790" s="27">
        <v>1500</v>
      </c>
      <c r="Q790" s="27">
        <v>1500</v>
      </c>
      <c r="R790" s="27">
        <v>1500</v>
      </c>
      <c r="S790" s="27">
        <v>1500</v>
      </c>
      <c r="T790" s="27">
        <v>1500</v>
      </c>
      <c r="U790" s="27">
        <f t="shared" si="215"/>
        <v>18000</v>
      </c>
      <c r="V790" s="82"/>
      <c r="W790"/>
      <c r="X790" s="87"/>
      <c r="Y790" s="8"/>
      <c r="Z790"/>
      <c r="AA790"/>
      <c r="AB790"/>
      <c r="AD790" s="42" t="str">
        <f>C790&amp;A790</f>
        <v>VIAGENSAdm</v>
      </c>
      <c r="AE790" s="42" t="str">
        <f>IFERROR(VLOOKUP(C790,[34]Planilha1!$B:$C,2,0),"Não se Aplica")</f>
        <v>Sim</v>
      </c>
      <c r="AF790" s="42" t="str">
        <f>VLOOKUP(AD790,[34]Planilha1!$H:$J,3,0)</f>
        <v>Não</v>
      </c>
      <c r="AG790" s="43">
        <f t="shared" si="214"/>
        <v>18000</v>
      </c>
    </row>
    <row r="791" spans="1:33" x14ac:dyDescent="0.3">
      <c r="A791" s="1" t="s">
        <v>837</v>
      </c>
      <c r="B791" s="65" t="s">
        <v>20</v>
      </c>
      <c r="C791" s="78" t="s">
        <v>498</v>
      </c>
      <c r="D791" s="81" t="s">
        <v>773</v>
      </c>
      <c r="E791" s="86" t="s">
        <v>545</v>
      </c>
      <c r="F791" s="81" t="s">
        <v>21</v>
      </c>
      <c r="G791" s="65" t="s">
        <v>32</v>
      </c>
      <c r="H791" s="81" t="s">
        <v>219</v>
      </c>
      <c r="I791" s="27"/>
      <c r="J791" s="27"/>
      <c r="K791" s="27"/>
      <c r="L791" s="27">
        <v>1000</v>
      </c>
      <c r="M791" s="27"/>
      <c r="N791" s="27"/>
      <c r="O791" s="27"/>
      <c r="P791" s="27"/>
      <c r="Q791" s="27"/>
      <c r="R791" s="27"/>
      <c r="S791" s="27"/>
      <c r="T791" s="27"/>
      <c r="U791" s="27">
        <f t="shared" si="215"/>
        <v>1000</v>
      </c>
      <c r="V791" s="82"/>
      <c r="W791"/>
      <c r="X791" s="87"/>
      <c r="Y791" s="8"/>
      <c r="Z791"/>
      <c r="AA791"/>
      <c r="AB791"/>
      <c r="AD791" s="42" t="str">
        <f>C791&amp;A791</f>
        <v>BENS DE PEQUENO VALORAdm</v>
      </c>
      <c r="AE791" s="42" t="str">
        <f>IFERROR(VLOOKUP(C791,[34]Planilha1!$B:$C,2,0),"Não se Aplica")</f>
        <v>Sim</v>
      </c>
      <c r="AF791" s="42" t="str">
        <f>VLOOKUP(AD791,[34]Planilha1!$H:$J,3,0)</f>
        <v>Não</v>
      </c>
      <c r="AG791" s="43">
        <f t="shared" si="214"/>
        <v>1000</v>
      </c>
    </row>
    <row r="792" spans="1:33" x14ac:dyDescent="0.3">
      <c r="A792" s="1" t="s">
        <v>837</v>
      </c>
      <c r="B792" s="65" t="s">
        <v>20</v>
      </c>
      <c r="C792" s="78" t="s">
        <v>755</v>
      </c>
      <c r="D792" s="81" t="s">
        <v>756</v>
      </c>
      <c r="E792" s="86" t="s">
        <v>774</v>
      </c>
      <c r="F792" s="81" t="s">
        <v>21</v>
      </c>
      <c r="G792" s="65" t="s">
        <v>32</v>
      </c>
      <c r="H792" s="81" t="s">
        <v>219</v>
      </c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27">
        <f t="shared" si="215"/>
        <v>0</v>
      </c>
      <c r="V792" s="82"/>
      <c r="W792"/>
      <c r="X792" s="87"/>
      <c r="Y792" s="8"/>
      <c r="Z792"/>
      <c r="AA792"/>
      <c r="AB792"/>
      <c r="AD792" s="42" t="str">
        <f>C792&amp;A792</f>
        <v>BRINDES E DOACOES/INDEDUTIVELAdm</v>
      </c>
      <c r="AE792" s="42" t="str">
        <f>IFERROR(VLOOKUP(C792,[34]Planilha1!$B:$C,2,0),"Não se Aplica")</f>
        <v>Sim</v>
      </c>
      <c r="AF792" s="42" t="str">
        <f>VLOOKUP(AD792,[34]Planilha1!$H:$J,3,0)</f>
        <v>Não</v>
      </c>
      <c r="AG792" s="43">
        <f t="shared" si="214"/>
        <v>0</v>
      </c>
    </row>
    <row r="793" spans="1:33" x14ac:dyDescent="0.3">
      <c r="A793" s="1" t="s">
        <v>837</v>
      </c>
      <c r="B793" s="65" t="s">
        <v>28</v>
      </c>
      <c r="C793" s="78" t="s">
        <v>755</v>
      </c>
      <c r="D793" s="81" t="s">
        <v>756</v>
      </c>
      <c r="E793" s="86" t="s">
        <v>774</v>
      </c>
      <c r="F793" s="81" t="s">
        <v>21</v>
      </c>
      <c r="G793" s="65" t="s">
        <v>32</v>
      </c>
      <c r="H793" s="81" t="s">
        <v>219</v>
      </c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27">
        <f t="shared" si="215"/>
        <v>0</v>
      </c>
      <c r="V793" s="82"/>
      <c r="W793"/>
      <c r="X793" s="87"/>
      <c r="Y793" s="8"/>
      <c r="Z793"/>
      <c r="AA793"/>
      <c r="AB793"/>
      <c r="AD793" s="42" t="str">
        <f>C793&amp;A793</f>
        <v>BRINDES E DOACOES/INDEDUTIVELAdm</v>
      </c>
      <c r="AE793" s="42" t="str">
        <f>IFERROR(VLOOKUP(C793,[34]Planilha1!$B:$C,2,0),"Não se Aplica")</f>
        <v>Sim</v>
      </c>
      <c r="AF793" s="42" t="str">
        <f>VLOOKUP(AD793,[34]Planilha1!$H:$J,3,0)</f>
        <v>Não</v>
      </c>
      <c r="AG793" s="43">
        <f t="shared" si="214"/>
        <v>0</v>
      </c>
    </row>
    <row r="794" spans="1:33" x14ac:dyDescent="0.3">
      <c r="A794" s="1" t="s">
        <v>837</v>
      </c>
      <c r="B794" s="65" t="s">
        <v>20</v>
      </c>
      <c r="C794" s="78" t="s">
        <v>185</v>
      </c>
      <c r="D794" s="81"/>
      <c r="E794" s="86" t="s">
        <v>775</v>
      </c>
      <c r="F794" s="81" t="s">
        <v>21</v>
      </c>
      <c r="G794" s="65" t="s">
        <v>32</v>
      </c>
      <c r="H794" s="81" t="s">
        <v>219</v>
      </c>
      <c r="I794" s="27">
        <v>1000</v>
      </c>
      <c r="J794" s="27">
        <v>1000</v>
      </c>
      <c r="K794" s="27">
        <v>1000</v>
      </c>
      <c r="L794" s="27">
        <v>1000</v>
      </c>
      <c r="M794" s="27">
        <v>1000</v>
      </c>
      <c r="N794" s="27">
        <v>1000</v>
      </c>
      <c r="O794" s="27">
        <v>1000</v>
      </c>
      <c r="P794" s="27">
        <v>1000</v>
      </c>
      <c r="Q794" s="27">
        <v>1000</v>
      </c>
      <c r="R794" s="27">
        <v>1000</v>
      </c>
      <c r="S794" s="27">
        <v>1000</v>
      </c>
      <c r="T794" s="27">
        <v>1000</v>
      </c>
      <c r="U794" s="27">
        <f t="shared" si="215"/>
        <v>12000</v>
      </c>
      <c r="V794" s="82"/>
      <c r="W794"/>
      <c r="X794" s="87"/>
      <c r="Y794" s="8"/>
      <c r="Z794"/>
      <c r="AA794"/>
      <c r="AB794"/>
      <c r="AD794" s="42" t="str">
        <f>C794&amp;A794</f>
        <v>HONORARIOS PROF. PJAdm</v>
      </c>
      <c r="AE794" s="42" t="str">
        <f>IFERROR(VLOOKUP(C794,[34]Planilha1!$B:$C,2,0),"Não se Aplica")</f>
        <v>Sim</v>
      </c>
      <c r="AF794" s="42" t="str">
        <f>VLOOKUP(AD794,[34]Planilha1!$H:$J,3,0)</f>
        <v>Não</v>
      </c>
      <c r="AG794" s="43">
        <f t="shared" si="214"/>
        <v>12000</v>
      </c>
    </row>
    <row r="795" spans="1:33" x14ac:dyDescent="0.3">
      <c r="A795" s="1" t="s">
        <v>837</v>
      </c>
      <c r="B795" s="65" t="s">
        <v>28</v>
      </c>
      <c r="C795" s="78" t="s">
        <v>185</v>
      </c>
      <c r="D795" s="81"/>
      <c r="E795" s="86" t="s">
        <v>775</v>
      </c>
      <c r="F795" s="81" t="s">
        <v>21</v>
      </c>
      <c r="G795" s="65" t="s">
        <v>32</v>
      </c>
      <c r="H795" s="81" t="s">
        <v>219</v>
      </c>
      <c r="I795" s="27">
        <v>1000</v>
      </c>
      <c r="J795" s="27">
        <v>1000</v>
      </c>
      <c r="K795" s="27">
        <v>1000</v>
      </c>
      <c r="L795" s="27">
        <v>1000</v>
      </c>
      <c r="M795" s="27">
        <v>1000</v>
      </c>
      <c r="N795" s="27">
        <v>1000</v>
      </c>
      <c r="O795" s="27">
        <v>1000</v>
      </c>
      <c r="P795" s="27">
        <v>1000</v>
      </c>
      <c r="Q795" s="27">
        <v>1000</v>
      </c>
      <c r="R795" s="27">
        <v>1000</v>
      </c>
      <c r="S795" s="27">
        <v>1000</v>
      </c>
      <c r="T795" s="27">
        <v>1000</v>
      </c>
      <c r="U795" s="27">
        <f t="shared" si="215"/>
        <v>12000</v>
      </c>
      <c r="V795" s="82"/>
      <c r="W795"/>
      <c r="X795" s="87"/>
      <c r="Y795" s="8"/>
      <c r="Z795"/>
      <c r="AA795"/>
      <c r="AB795"/>
      <c r="AD795" s="42" t="str">
        <f>C795&amp;A795</f>
        <v>HONORARIOS PROF. PJAdm</v>
      </c>
      <c r="AE795" s="42" t="str">
        <f>IFERROR(VLOOKUP(C795,[34]Planilha1!$B:$C,2,0),"Não se Aplica")</f>
        <v>Sim</v>
      </c>
      <c r="AF795" s="42" t="str">
        <f>VLOOKUP(AD795,[34]Planilha1!$H:$J,3,0)</f>
        <v>Não</v>
      </c>
      <c r="AG795" s="43">
        <f t="shared" si="214"/>
        <v>12000</v>
      </c>
    </row>
    <row r="796" spans="1:33" x14ac:dyDescent="0.3">
      <c r="A796" s="1" t="s">
        <v>837</v>
      </c>
      <c r="B796" s="65" t="s">
        <v>20</v>
      </c>
      <c r="C796" s="78" t="s">
        <v>468</v>
      </c>
      <c r="D796" s="81" t="s">
        <v>749</v>
      </c>
      <c r="E796" s="86" t="s">
        <v>750</v>
      </c>
      <c r="F796" s="81" t="s">
        <v>21</v>
      </c>
      <c r="G796" s="65" t="s">
        <v>32</v>
      </c>
      <c r="H796" s="81" t="s">
        <v>219</v>
      </c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27">
        <f t="shared" si="215"/>
        <v>0</v>
      </c>
      <c r="V796" s="82"/>
      <c r="W796"/>
      <c r="X796" s="87"/>
      <c r="Y796" s="8"/>
      <c r="Z796"/>
      <c r="AA796"/>
      <c r="AB796"/>
      <c r="AD796" s="42" t="str">
        <f>C796&amp;A796</f>
        <v>ASSOS. SINDICATOS DE CLASSEAdm</v>
      </c>
      <c r="AE796" s="42" t="str">
        <f>IFERROR(VLOOKUP(C796,[34]Planilha1!$B:$C,2,0),"Não se Aplica")</f>
        <v>Sim</v>
      </c>
      <c r="AF796" s="42" t="str">
        <f>VLOOKUP(AD796,[34]Planilha1!$H:$J,3,0)</f>
        <v>Não</v>
      </c>
      <c r="AG796" s="43">
        <f t="shared" si="214"/>
        <v>0</v>
      </c>
    </row>
    <row r="797" spans="1:33" x14ac:dyDescent="0.3">
      <c r="A797" s="1" t="s">
        <v>837</v>
      </c>
      <c r="B797" s="65" t="s">
        <v>20</v>
      </c>
      <c r="C797" s="78" t="s">
        <v>492</v>
      </c>
      <c r="D797" s="81" t="s">
        <v>776</v>
      </c>
      <c r="E797" s="86" t="s">
        <v>777</v>
      </c>
      <c r="F797" s="81" t="s">
        <v>21</v>
      </c>
      <c r="G797" s="65" t="s">
        <v>32</v>
      </c>
      <c r="H797" s="81" t="s">
        <v>219</v>
      </c>
      <c r="I797" s="27">
        <v>14200</v>
      </c>
      <c r="J797" s="27">
        <v>14200</v>
      </c>
      <c r="K797" s="27">
        <v>14200</v>
      </c>
      <c r="L797" s="27">
        <v>14200</v>
      </c>
      <c r="M797" s="27">
        <v>14200</v>
      </c>
      <c r="N797" s="27">
        <v>14200</v>
      </c>
      <c r="O797" s="27">
        <v>14200</v>
      </c>
      <c r="P797" s="27">
        <v>14200</v>
      </c>
      <c r="Q797" s="27">
        <v>14200</v>
      </c>
      <c r="R797" s="27">
        <v>14200</v>
      </c>
      <c r="S797" s="27">
        <v>14200</v>
      </c>
      <c r="T797" s="27">
        <v>14200</v>
      </c>
      <c r="U797" s="27">
        <f t="shared" si="215"/>
        <v>170400</v>
      </c>
      <c r="V797" s="82"/>
      <c r="W797"/>
      <c r="X797" s="87"/>
      <c r="Y797" s="8"/>
      <c r="Z797"/>
      <c r="AA797"/>
      <c r="AB797"/>
      <c r="AD797" s="42" t="str">
        <f>C797&amp;A797</f>
        <v>COPA E REFEICOES/ESTADIASAdm</v>
      </c>
      <c r="AE797" s="42" t="str">
        <f>IFERROR(VLOOKUP(C797,[34]Planilha1!$B:$C,2,0),"Não se Aplica")</f>
        <v>Sim</v>
      </c>
      <c r="AF797" s="42" t="str">
        <f>VLOOKUP(AD797,[34]Planilha1!$H:$J,3,0)</f>
        <v>Não</v>
      </c>
      <c r="AG797" s="43">
        <f t="shared" si="214"/>
        <v>170400</v>
      </c>
    </row>
    <row r="798" spans="1:33" x14ac:dyDescent="0.3">
      <c r="A798" s="1" t="s">
        <v>837</v>
      </c>
      <c r="B798" s="65" t="s">
        <v>28</v>
      </c>
      <c r="C798" s="78" t="s">
        <v>492</v>
      </c>
      <c r="D798" s="81" t="s">
        <v>776</v>
      </c>
      <c r="E798" s="86" t="s">
        <v>777</v>
      </c>
      <c r="F798" s="81" t="s">
        <v>21</v>
      </c>
      <c r="G798" s="65" t="s">
        <v>32</v>
      </c>
      <c r="H798" s="81" t="s">
        <v>219</v>
      </c>
      <c r="I798" s="27">
        <v>800</v>
      </c>
      <c r="J798" s="27">
        <v>800</v>
      </c>
      <c r="K798" s="27">
        <v>800</v>
      </c>
      <c r="L798" s="27">
        <v>800</v>
      </c>
      <c r="M798" s="27">
        <v>800</v>
      </c>
      <c r="N798" s="27">
        <v>800</v>
      </c>
      <c r="O798" s="27">
        <v>800</v>
      </c>
      <c r="P798" s="27">
        <v>800</v>
      </c>
      <c r="Q798" s="27">
        <v>800</v>
      </c>
      <c r="R798" s="27">
        <v>800</v>
      </c>
      <c r="S798" s="27">
        <v>800</v>
      </c>
      <c r="T798" s="27">
        <v>800</v>
      </c>
      <c r="U798" s="27">
        <f t="shared" si="215"/>
        <v>9600</v>
      </c>
      <c r="V798" s="82"/>
      <c r="W798"/>
      <c r="X798" s="87"/>
      <c r="Y798" s="8"/>
      <c r="Z798"/>
      <c r="AA798"/>
      <c r="AB798"/>
      <c r="AD798" s="42" t="str">
        <f>C798&amp;A798</f>
        <v>COPA E REFEICOES/ESTADIASAdm</v>
      </c>
      <c r="AE798" s="42" t="str">
        <f>IFERROR(VLOOKUP(C798,[34]Planilha1!$B:$C,2,0),"Não se Aplica")</f>
        <v>Sim</v>
      </c>
      <c r="AF798" s="42" t="str">
        <f>VLOOKUP(AD798,[34]Planilha1!$H:$J,3,0)</f>
        <v>Não</v>
      </c>
      <c r="AG798" s="43">
        <f t="shared" si="214"/>
        <v>9600</v>
      </c>
    </row>
    <row r="799" spans="1:33" x14ac:dyDescent="0.3">
      <c r="A799" s="1" t="s">
        <v>837</v>
      </c>
      <c r="B799" s="65" t="s">
        <v>20</v>
      </c>
      <c r="C799" s="78" t="s">
        <v>490</v>
      </c>
      <c r="D799" s="81"/>
      <c r="E799" s="86" t="s">
        <v>505</v>
      </c>
      <c r="F799" s="81" t="s">
        <v>21</v>
      </c>
      <c r="G799" s="65" t="s">
        <v>32</v>
      </c>
      <c r="H799" s="81" t="s">
        <v>219</v>
      </c>
      <c r="I799" s="27">
        <v>200</v>
      </c>
      <c r="J799" s="27">
        <v>200</v>
      </c>
      <c r="K799" s="27">
        <v>200</v>
      </c>
      <c r="L799" s="27">
        <v>200</v>
      </c>
      <c r="M799" s="27">
        <v>200</v>
      </c>
      <c r="N799" s="27">
        <v>200</v>
      </c>
      <c r="O799" s="27">
        <v>200</v>
      </c>
      <c r="P799" s="27">
        <v>200</v>
      </c>
      <c r="Q799" s="27">
        <v>200</v>
      </c>
      <c r="R799" s="27">
        <v>200</v>
      </c>
      <c r="S799" s="27">
        <v>200</v>
      </c>
      <c r="T799" s="27">
        <v>200</v>
      </c>
      <c r="U799" s="27">
        <f t="shared" si="215"/>
        <v>2400</v>
      </c>
      <c r="V799" s="82"/>
      <c r="W799"/>
      <c r="X799" s="87"/>
      <c r="Y799" s="8"/>
      <c r="Z799"/>
      <c r="AA799"/>
      <c r="AB799"/>
      <c r="AD799" s="42" t="str">
        <f>C799&amp;A799</f>
        <v>CONDUCAO E TRANSPORTEAdm</v>
      </c>
      <c r="AE799" s="42" t="str">
        <f>IFERROR(VLOOKUP(C799,[34]Planilha1!$B:$C,2,0),"Não se Aplica")</f>
        <v>Sim</v>
      </c>
      <c r="AF799" s="42" t="str">
        <f>VLOOKUP(AD799,[34]Planilha1!$H:$J,3,0)</f>
        <v>Não</v>
      </c>
      <c r="AG799" s="43">
        <f t="shared" si="214"/>
        <v>2400</v>
      </c>
    </row>
    <row r="800" spans="1:33" x14ac:dyDescent="0.3">
      <c r="A800" s="1" t="s">
        <v>837</v>
      </c>
      <c r="B800" s="65" t="s">
        <v>28</v>
      </c>
      <c r="C800" s="78" t="s">
        <v>185</v>
      </c>
      <c r="D800" s="81"/>
      <c r="E800" s="86" t="s">
        <v>778</v>
      </c>
      <c r="F800" s="81" t="s">
        <v>21</v>
      </c>
      <c r="G800" s="65" t="s">
        <v>32</v>
      </c>
      <c r="H800" s="81" t="s">
        <v>219</v>
      </c>
      <c r="I800" s="27">
        <v>250</v>
      </c>
      <c r="J800" s="27">
        <v>250</v>
      </c>
      <c r="K800" s="27">
        <v>250</v>
      </c>
      <c r="L800" s="27">
        <v>250</v>
      </c>
      <c r="M800" s="27">
        <v>250</v>
      </c>
      <c r="N800" s="27">
        <v>250</v>
      </c>
      <c r="O800" s="27">
        <v>250</v>
      </c>
      <c r="P800" s="27">
        <v>250</v>
      </c>
      <c r="Q800" s="27">
        <v>250</v>
      </c>
      <c r="R800" s="27">
        <v>250</v>
      </c>
      <c r="S800" s="27">
        <v>250</v>
      </c>
      <c r="T800" s="27">
        <v>250</v>
      </c>
      <c r="U800" s="27">
        <f t="shared" si="215"/>
        <v>3000</v>
      </c>
      <c r="V800" s="82"/>
      <c r="W800"/>
      <c r="X800" s="87"/>
      <c r="Y800" s="8"/>
      <c r="Z800"/>
      <c r="AA800"/>
      <c r="AB800"/>
      <c r="AD800" s="42" t="str">
        <f>C800&amp;A800</f>
        <v>HONORARIOS PROF. PJAdm</v>
      </c>
      <c r="AE800" s="42" t="str">
        <f>IFERROR(VLOOKUP(C800,[34]Planilha1!$B:$C,2,0),"Não se Aplica")</f>
        <v>Sim</v>
      </c>
      <c r="AF800" s="42" t="str">
        <f>VLOOKUP(AD800,[34]Planilha1!$H:$J,3,0)</f>
        <v>Não</v>
      </c>
      <c r="AG800" s="43">
        <f t="shared" si="214"/>
        <v>3000</v>
      </c>
    </row>
    <row r="801" spans="1:33" x14ac:dyDescent="0.3">
      <c r="A801" s="1" t="s">
        <v>837</v>
      </c>
      <c r="B801" s="65" t="s">
        <v>20</v>
      </c>
      <c r="C801" s="78" t="s">
        <v>185</v>
      </c>
      <c r="D801" s="81"/>
      <c r="E801" s="86" t="s">
        <v>778</v>
      </c>
      <c r="F801" s="81" t="s">
        <v>21</v>
      </c>
      <c r="G801" s="65" t="s">
        <v>32</v>
      </c>
      <c r="H801" s="81" t="s">
        <v>219</v>
      </c>
      <c r="I801" s="27">
        <v>250</v>
      </c>
      <c r="J801" s="27">
        <v>250</v>
      </c>
      <c r="K801" s="27">
        <v>250</v>
      </c>
      <c r="L801" s="27">
        <v>250</v>
      </c>
      <c r="M801" s="27">
        <v>250</v>
      </c>
      <c r="N801" s="27">
        <v>250</v>
      </c>
      <c r="O801" s="27">
        <v>250</v>
      </c>
      <c r="P801" s="27">
        <v>250</v>
      </c>
      <c r="Q801" s="27">
        <v>250</v>
      </c>
      <c r="R801" s="27">
        <v>250</v>
      </c>
      <c r="S801" s="27">
        <v>250</v>
      </c>
      <c r="T801" s="27">
        <v>250</v>
      </c>
      <c r="U801" s="27">
        <f t="shared" si="215"/>
        <v>3000</v>
      </c>
      <c r="V801" s="82"/>
      <c r="W801"/>
      <c r="X801" s="87"/>
      <c r="Y801" s="8"/>
      <c r="Z801"/>
      <c r="AA801"/>
      <c r="AB801"/>
      <c r="AD801" s="42" t="str">
        <f>C801&amp;A801</f>
        <v>HONORARIOS PROF. PJAdm</v>
      </c>
      <c r="AE801" s="42" t="str">
        <f>IFERROR(VLOOKUP(C801,[34]Planilha1!$B:$C,2,0),"Não se Aplica")</f>
        <v>Sim</v>
      </c>
      <c r="AF801" s="42" t="str">
        <f>VLOOKUP(AD801,[34]Planilha1!$H:$J,3,0)</f>
        <v>Não</v>
      </c>
      <c r="AG801" s="43">
        <f t="shared" si="214"/>
        <v>3000</v>
      </c>
    </row>
    <row r="802" spans="1:33" x14ac:dyDescent="0.3">
      <c r="A802" s="1" t="s">
        <v>836</v>
      </c>
      <c r="B802" s="65" t="s">
        <v>28</v>
      </c>
      <c r="C802" s="78" t="s">
        <v>490</v>
      </c>
      <c r="D802" s="81" t="s">
        <v>779</v>
      </c>
      <c r="E802" s="86" t="s">
        <v>779</v>
      </c>
      <c r="F802" s="81" t="s">
        <v>25</v>
      </c>
      <c r="G802" s="65" t="s">
        <v>32</v>
      </c>
      <c r="H802" s="81" t="s">
        <v>343</v>
      </c>
      <c r="I802" s="27"/>
      <c r="J802" s="27">
        <v>200</v>
      </c>
      <c r="K802" s="27"/>
      <c r="L802" s="27">
        <v>200</v>
      </c>
      <c r="M802" s="27"/>
      <c r="N802" s="27">
        <v>200</v>
      </c>
      <c r="O802" s="27"/>
      <c r="P802" s="27">
        <v>200</v>
      </c>
      <c r="Q802" s="27"/>
      <c r="R802" s="27">
        <v>200</v>
      </c>
      <c r="S802" s="27"/>
      <c r="T802" s="27">
        <v>200</v>
      </c>
      <c r="U802" s="27">
        <f t="shared" si="215"/>
        <v>1200</v>
      </c>
      <c r="V802" s="82"/>
      <c r="W802"/>
      <c r="X802" s="87"/>
      <c r="Y802" s="8"/>
      <c r="Z802"/>
      <c r="AA802"/>
      <c r="AB802"/>
      <c r="AD802" s="42" t="str">
        <f>C802&amp;A802</f>
        <v>CONDUCAO E TRANSPORTEOper</v>
      </c>
      <c r="AE802" s="42" t="str">
        <f>IFERROR(VLOOKUP(C802,[34]Planilha1!$B:$C,2,0),"Não se Aplica")</f>
        <v>Sim</v>
      </c>
      <c r="AF802" s="42" t="str">
        <f>VLOOKUP(AD802,[34]Planilha1!$H:$J,3,0)</f>
        <v>Não</v>
      </c>
      <c r="AG802" s="43">
        <f t="shared" si="214"/>
        <v>1200</v>
      </c>
    </row>
    <row r="803" spans="1:33" x14ac:dyDescent="0.3">
      <c r="A803" s="1" t="s">
        <v>836</v>
      </c>
      <c r="B803" s="65" t="s">
        <v>28</v>
      </c>
      <c r="C803" s="78" t="s">
        <v>496</v>
      </c>
      <c r="D803" s="81" t="s">
        <v>780</v>
      </c>
      <c r="E803" s="86" t="s">
        <v>780</v>
      </c>
      <c r="F803" s="81" t="s">
        <v>25</v>
      </c>
      <c r="G803" s="65" t="s">
        <v>32</v>
      </c>
      <c r="H803" s="81" t="s">
        <v>343</v>
      </c>
      <c r="I803" s="27">
        <v>1200</v>
      </c>
      <c r="J803" s="27">
        <v>1200</v>
      </c>
      <c r="K803" s="27">
        <v>1200</v>
      </c>
      <c r="L803" s="27">
        <v>1200</v>
      </c>
      <c r="M803" s="27">
        <v>1200</v>
      </c>
      <c r="N803" s="27">
        <v>1200</v>
      </c>
      <c r="O803" s="27">
        <v>1200</v>
      </c>
      <c r="P803" s="27">
        <v>1200</v>
      </c>
      <c r="Q803" s="27">
        <v>1200</v>
      </c>
      <c r="R803" s="27">
        <v>1200</v>
      </c>
      <c r="S803" s="27">
        <v>1200</v>
      </c>
      <c r="T803" s="27">
        <v>1200</v>
      </c>
      <c r="U803" s="27">
        <f t="shared" si="215"/>
        <v>14400</v>
      </c>
      <c r="V803" s="82"/>
      <c r="W803"/>
      <c r="X803" s="87"/>
      <c r="Y803" s="8"/>
      <c r="Z803"/>
      <c r="AA803"/>
      <c r="AB803"/>
      <c r="AD803" s="42" t="str">
        <f>C803&amp;A803</f>
        <v>VIAGENSOper</v>
      </c>
      <c r="AE803" s="42" t="str">
        <f>IFERROR(VLOOKUP(C803,[34]Planilha1!$B:$C,2,0),"Não se Aplica")</f>
        <v>Sim</v>
      </c>
      <c r="AF803" s="42" t="str">
        <f>VLOOKUP(AD803,[34]Planilha1!$H:$J,3,0)</f>
        <v>Não</v>
      </c>
      <c r="AG803" s="43">
        <f t="shared" si="214"/>
        <v>14400</v>
      </c>
    </row>
    <row r="804" spans="1:33" x14ac:dyDescent="0.3">
      <c r="A804" s="1" t="s">
        <v>836</v>
      </c>
      <c r="B804" s="65" t="s">
        <v>28</v>
      </c>
      <c r="C804" s="78" t="s">
        <v>492</v>
      </c>
      <c r="D804" s="81" t="s">
        <v>781</v>
      </c>
      <c r="E804" s="86" t="s">
        <v>781</v>
      </c>
      <c r="F804" s="81" t="s">
        <v>25</v>
      </c>
      <c r="G804" s="65" t="s">
        <v>32</v>
      </c>
      <c r="H804" s="81" t="s">
        <v>343</v>
      </c>
      <c r="I804" s="27">
        <v>100</v>
      </c>
      <c r="J804" s="27">
        <v>100</v>
      </c>
      <c r="K804" s="27">
        <v>100</v>
      </c>
      <c r="L804" s="27">
        <v>100</v>
      </c>
      <c r="M804" s="27">
        <v>100</v>
      </c>
      <c r="N804" s="27">
        <v>100</v>
      </c>
      <c r="O804" s="27">
        <v>100</v>
      </c>
      <c r="P804" s="27">
        <v>100</v>
      </c>
      <c r="Q804" s="27">
        <v>100</v>
      </c>
      <c r="R804" s="27">
        <v>100</v>
      </c>
      <c r="S804" s="27">
        <v>100</v>
      </c>
      <c r="T804" s="27">
        <v>100</v>
      </c>
      <c r="U804" s="27">
        <f t="shared" si="215"/>
        <v>1200</v>
      </c>
      <c r="V804" s="82"/>
      <c r="W804"/>
      <c r="X804" s="87"/>
      <c r="Y804" s="8"/>
      <c r="Z804"/>
      <c r="AA804"/>
      <c r="AB804"/>
      <c r="AD804" s="42" t="str">
        <f>C804&amp;A804</f>
        <v>COPA E REFEICOES/ESTADIASOper</v>
      </c>
      <c r="AE804" s="42" t="str">
        <f>IFERROR(VLOOKUP(C804,[34]Planilha1!$B:$C,2,0),"Não se Aplica")</f>
        <v>Sim</v>
      </c>
      <c r="AF804" s="42" t="str">
        <f>VLOOKUP(AD804,[34]Planilha1!$H:$J,3,0)</f>
        <v>Não</v>
      </c>
      <c r="AG804" s="43">
        <f t="shared" si="214"/>
        <v>1200</v>
      </c>
    </row>
    <row r="805" spans="1:33" x14ac:dyDescent="0.3">
      <c r="A805" s="1" t="s">
        <v>836</v>
      </c>
      <c r="B805" s="65" t="s">
        <v>28</v>
      </c>
      <c r="C805" s="78" t="s">
        <v>622</v>
      </c>
      <c r="D805" s="81" t="s">
        <v>782</v>
      </c>
      <c r="E805" s="86" t="s">
        <v>782</v>
      </c>
      <c r="F805" s="81" t="s">
        <v>25</v>
      </c>
      <c r="G805" s="65" t="s">
        <v>32</v>
      </c>
      <c r="H805" s="81" t="s">
        <v>343</v>
      </c>
      <c r="I805" s="27">
        <v>400</v>
      </c>
      <c r="J805" s="27">
        <v>400</v>
      </c>
      <c r="K805" s="27">
        <v>400</v>
      </c>
      <c r="L805" s="27">
        <v>400</v>
      </c>
      <c r="M805" s="27">
        <v>400</v>
      </c>
      <c r="N805" s="27">
        <v>400</v>
      </c>
      <c r="O805" s="27">
        <v>300</v>
      </c>
      <c r="P805" s="27">
        <v>300</v>
      </c>
      <c r="Q805" s="27">
        <v>300</v>
      </c>
      <c r="R805" s="27">
        <v>300</v>
      </c>
      <c r="S805" s="27">
        <v>300</v>
      </c>
      <c r="T805" s="27">
        <v>300</v>
      </c>
      <c r="U805" s="27">
        <f t="shared" si="215"/>
        <v>4200</v>
      </c>
      <c r="V805" s="82"/>
      <c r="W805"/>
      <c r="X805" s="87"/>
      <c r="Y805" s="8"/>
      <c r="Z805"/>
      <c r="AA805"/>
      <c r="AB805"/>
      <c r="AD805" s="42" t="str">
        <f>C805&amp;A805</f>
        <v>MATERIAL DE EXPEDIENTEOper</v>
      </c>
      <c r="AE805" s="42" t="str">
        <f>IFERROR(VLOOKUP(C805,[34]Planilha1!$B:$C,2,0),"Não se Aplica")</f>
        <v>Sim</v>
      </c>
      <c r="AF805" s="42" t="str">
        <f>VLOOKUP(AD805,[34]Planilha1!$H:$J,3,0)</f>
        <v>Não</v>
      </c>
      <c r="AG805" s="43">
        <f t="shared" si="214"/>
        <v>4200</v>
      </c>
    </row>
    <row r="806" spans="1:33" x14ac:dyDescent="0.3">
      <c r="A806" s="1" t="s">
        <v>836</v>
      </c>
      <c r="B806" s="65" t="s">
        <v>28</v>
      </c>
      <c r="C806" s="78" t="s">
        <v>450</v>
      </c>
      <c r="D806" s="81" t="s">
        <v>783</v>
      </c>
      <c r="E806" s="86" t="s">
        <v>783</v>
      </c>
      <c r="F806" s="81" t="s">
        <v>25</v>
      </c>
      <c r="G806" s="65" t="s">
        <v>32</v>
      </c>
      <c r="H806" s="81" t="s">
        <v>343</v>
      </c>
      <c r="I806" s="27"/>
      <c r="J806" s="27">
        <v>100</v>
      </c>
      <c r="K806" s="27"/>
      <c r="L806" s="27">
        <v>100</v>
      </c>
      <c r="M806" s="27"/>
      <c r="N806" s="27">
        <v>100</v>
      </c>
      <c r="O806" s="27"/>
      <c r="P806" s="27">
        <v>100</v>
      </c>
      <c r="Q806" s="27"/>
      <c r="R806" s="27">
        <v>100</v>
      </c>
      <c r="S806" s="27"/>
      <c r="T806" s="27"/>
      <c r="U806" s="27">
        <f t="shared" si="215"/>
        <v>500</v>
      </c>
      <c r="V806" s="82"/>
      <c r="W806"/>
      <c r="X806" s="87"/>
      <c r="Y806" s="8"/>
      <c r="Z806"/>
      <c r="AA806"/>
      <c r="AB806"/>
      <c r="AD806" s="42" t="str">
        <f>C806&amp;A806</f>
        <v>ESTACIONAMENTOSOper</v>
      </c>
      <c r="AE806" s="42" t="str">
        <f>IFERROR(VLOOKUP(C806,[34]Planilha1!$B:$C,2,0),"Não se Aplica")</f>
        <v>Não se Aplica</v>
      </c>
      <c r="AF806" s="42" t="str">
        <f>VLOOKUP(AD806,[34]Planilha1!$H:$J,3,0)</f>
        <v>Não</v>
      </c>
      <c r="AG806" s="43">
        <f t="shared" si="214"/>
        <v>500</v>
      </c>
    </row>
    <row r="807" spans="1:33" x14ac:dyDescent="0.3">
      <c r="A807" s="1" t="s">
        <v>836</v>
      </c>
      <c r="B807" s="65" t="s">
        <v>28</v>
      </c>
      <c r="C807" s="78" t="s">
        <v>72</v>
      </c>
      <c r="D807" s="81" t="s">
        <v>784</v>
      </c>
      <c r="E807" s="86" t="s">
        <v>784</v>
      </c>
      <c r="F807" s="81" t="s">
        <v>25</v>
      </c>
      <c r="G807" s="65" t="s">
        <v>32</v>
      </c>
      <c r="H807" s="81" t="s">
        <v>343</v>
      </c>
      <c r="I807" s="27">
        <v>300</v>
      </c>
      <c r="J807" s="27">
        <v>300</v>
      </c>
      <c r="K807" s="27">
        <v>300</v>
      </c>
      <c r="L807" s="27">
        <v>300</v>
      </c>
      <c r="M807" s="27">
        <v>300</v>
      </c>
      <c r="N807" s="27">
        <v>300</v>
      </c>
      <c r="O807" s="27">
        <v>300</v>
      </c>
      <c r="P807" s="27">
        <v>300</v>
      </c>
      <c r="Q807" s="27">
        <v>300</v>
      </c>
      <c r="R807" s="27">
        <v>300</v>
      </c>
      <c r="S807" s="27">
        <v>300</v>
      </c>
      <c r="T807" s="27">
        <v>300</v>
      </c>
      <c r="U807" s="27">
        <f t="shared" si="215"/>
        <v>3600</v>
      </c>
      <c r="V807" s="82"/>
      <c r="W807"/>
      <c r="X807" s="87"/>
      <c r="Y807" s="8"/>
      <c r="Z807"/>
      <c r="AA807"/>
      <c r="AB807"/>
      <c r="AD807" s="42" t="str">
        <f>C807&amp;A807</f>
        <v>MANUT. EQUP. INFORMATICAOper</v>
      </c>
      <c r="AE807" s="42" t="str">
        <f>IFERROR(VLOOKUP(C807,[34]Planilha1!$B:$C,2,0),"Não se Aplica")</f>
        <v>Sim</v>
      </c>
      <c r="AF807" s="42" t="str">
        <f>VLOOKUP(AD807,[34]Planilha1!$H:$J,3,0)</f>
        <v>Sim</v>
      </c>
      <c r="AG807" s="43">
        <f t="shared" si="214"/>
        <v>3267</v>
      </c>
    </row>
    <row r="808" spans="1:33" x14ac:dyDescent="0.3">
      <c r="A808" s="1" t="s">
        <v>836</v>
      </c>
      <c r="B808" s="65" t="s">
        <v>28</v>
      </c>
      <c r="C808" s="78" t="s">
        <v>69</v>
      </c>
      <c r="D808" s="81" t="s">
        <v>785</v>
      </c>
      <c r="E808" s="86" t="s">
        <v>785</v>
      </c>
      <c r="F808" s="81" t="s">
        <v>25</v>
      </c>
      <c r="G808" s="65" t="s">
        <v>32</v>
      </c>
      <c r="H808" s="81" t="s">
        <v>343</v>
      </c>
      <c r="I808" s="27">
        <v>500</v>
      </c>
      <c r="J808" s="27">
        <v>500</v>
      </c>
      <c r="K808" s="27">
        <v>500</v>
      </c>
      <c r="L808" s="27">
        <v>500</v>
      </c>
      <c r="M808" s="27">
        <v>500</v>
      </c>
      <c r="N808" s="27">
        <v>500</v>
      </c>
      <c r="O808" s="27">
        <v>500</v>
      </c>
      <c r="P808" s="27">
        <v>500</v>
      </c>
      <c r="Q808" s="27">
        <v>500</v>
      </c>
      <c r="R808" s="27">
        <v>500</v>
      </c>
      <c r="S808" s="27">
        <v>500</v>
      </c>
      <c r="T808" s="27">
        <v>500</v>
      </c>
      <c r="U808" s="27">
        <f t="shared" si="215"/>
        <v>6000</v>
      </c>
      <c r="V808" s="82"/>
      <c r="W808"/>
      <c r="X808" s="87"/>
      <c r="Y808" s="8"/>
      <c r="Z808"/>
      <c r="AA808"/>
      <c r="AB808"/>
      <c r="AD808" s="42" t="str">
        <f>C808&amp;A808</f>
        <v>ASSESSORIA E SERVICO INFORMATICAOper</v>
      </c>
      <c r="AE808" s="42" t="str">
        <f>IFERROR(VLOOKUP(C808,[34]Planilha1!$B:$C,2,0),"Não se Aplica")</f>
        <v>Sim</v>
      </c>
      <c r="AF808" s="42" t="str">
        <f>VLOOKUP(AD808,[34]Planilha1!$H:$J,3,0)</f>
        <v>Sim</v>
      </c>
      <c r="AG808" s="43">
        <f t="shared" si="214"/>
        <v>5445</v>
      </c>
    </row>
    <row r="809" spans="1:33" x14ac:dyDescent="0.3">
      <c r="A809" s="1" t="s">
        <v>836</v>
      </c>
      <c r="B809" s="65" t="s">
        <v>28</v>
      </c>
      <c r="C809" s="78" t="s">
        <v>69</v>
      </c>
      <c r="D809" s="81" t="s">
        <v>786</v>
      </c>
      <c r="E809" s="86" t="s">
        <v>786</v>
      </c>
      <c r="F809" s="81" t="s">
        <v>25</v>
      </c>
      <c r="G809" s="65" t="s">
        <v>32</v>
      </c>
      <c r="H809" s="81" t="s">
        <v>343</v>
      </c>
      <c r="I809" s="27">
        <v>500</v>
      </c>
      <c r="J809" s="27">
        <v>500</v>
      </c>
      <c r="K809" s="27">
        <v>500</v>
      </c>
      <c r="L809" s="27">
        <v>500</v>
      </c>
      <c r="M809" s="27">
        <v>500</v>
      </c>
      <c r="N809" s="27">
        <v>500</v>
      </c>
      <c r="O809" s="27">
        <v>500</v>
      </c>
      <c r="P809" s="27">
        <v>500</v>
      </c>
      <c r="Q809" s="27">
        <v>500</v>
      </c>
      <c r="R809" s="27">
        <v>500</v>
      </c>
      <c r="S809" s="27">
        <v>500</v>
      </c>
      <c r="T809" s="27">
        <v>500</v>
      </c>
      <c r="U809" s="27">
        <f t="shared" si="215"/>
        <v>6000</v>
      </c>
      <c r="V809" s="82"/>
      <c r="W809"/>
      <c r="X809" s="87"/>
      <c r="Y809" s="8"/>
      <c r="Z809"/>
      <c r="AA809"/>
      <c r="AB809"/>
      <c r="AD809" s="42" t="str">
        <f>C809&amp;A809</f>
        <v>ASSESSORIA E SERVICO INFORMATICAOper</v>
      </c>
      <c r="AE809" s="42" t="str">
        <f>IFERROR(VLOOKUP(C809,[34]Planilha1!$B:$C,2,0),"Não se Aplica")</f>
        <v>Sim</v>
      </c>
      <c r="AF809" s="42" t="str">
        <f>VLOOKUP(AD809,[34]Planilha1!$H:$J,3,0)</f>
        <v>Sim</v>
      </c>
      <c r="AG809" s="43">
        <f t="shared" si="214"/>
        <v>5445</v>
      </c>
    </row>
    <row r="810" spans="1:33" x14ac:dyDescent="0.3">
      <c r="A810" s="1" t="s">
        <v>837</v>
      </c>
      <c r="B810" s="65" t="s">
        <v>20</v>
      </c>
      <c r="C810" s="78" t="s">
        <v>496</v>
      </c>
      <c r="D810" s="81" t="s">
        <v>787</v>
      </c>
      <c r="E810" s="86" t="s">
        <v>68</v>
      </c>
      <c r="F810" s="81" t="s">
        <v>49</v>
      </c>
      <c r="G810" s="65" t="s">
        <v>32</v>
      </c>
      <c r="H810" s="81" t="s">
        <v>50</v>
      </c>
      <c r="I810" s="27">
        <v>2000</v>
      </c>
      <c r="J810" s="27"/>
      <c r="K810" s="27">
        <v>2000</v>
      </c>
      <c r="L810" s="27"/>
      <c r="M810" s="27">
        <v>2000</v>
      </c>
      <c r="N810" s="27"/>
      <c r="O810" s="27">
        <v>2000</v>
      </c>
      <c r="P810" s="27"/>
      <c r="Q810" s="27">
        <v>2000</v>
      </c>
      <c r="R810" s="27"/>
      <c r="S810" s="27">
        <v>2000</v>
      </c>
      <c r="T810" s="27"/>
      <c r="U810" s="27">
        <f t="shared" si="215"/>
        <v>12000</v>
      </c>
      <c r="V810" s="82"/>
      <c r="W810"/>
      <c r="X810" s="87"/>
      <c r="Y810" s="8"/>
      <c r="Z810"/>
      <c r="AA810"/>
      <c r="AB810"/>
      <c r="AD810" s="42" t="str">
        <f>C810&amp;A810</f>
        <v>VIAGENSAdm</v>
      </c>
      <c r="AE810" s="42" t="str">
        <f>IFERROR(VLOOKUP(C810,[34]Planilha1!$B:$C,2,0),"Não se Aplica")</f>
        <v>Sim</v>
      </c>
      <c r="AF810" s="42" t="str">
        <f>VLOOKUP(AD810,[34]Planilha1!$H:$J,3,0)</f>
        <v>Não</v>
      </c>
      <c r="AG810" s="43">
        <f t="shared" si="214"/>
        <v>12000</v>
      </c>
    </row>
    <row r="811" spans="1:33" x14ac:dyDescent="0.3">
      <c r="A811" s="1" t="s">
        <v>837</v>
      </c>
      <c r="B811" s="65" t="s">
        <v>28</v>
      </c>
      <c r="C811" s="78" t="s">
        <v>496</v>
      </c>
      <c r="D811" s="81" t="s">
        <v>787</v>
      </c>
      <c r="E811" s="86" t="s">
        <v>68</v>
      </c>
      <c r="F811" s="81" t="s">
        <v>49</v>
      </c>
      <c r="G811" s="65" t="s">
        <v>32</v>
      </c>
      <c r="H811" s="81" t="s">
        <v>50</v>
      </c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>
        <f t="shared" si="215"/>
        <v>0</v>
      </c>
      <c r="V811" s="82"/>
      <c r="W811"/>
      <c r="X811" s="87"/>
      <c r="Y811" s="8"/>
      <c r="Z811"/>
      <c r="AA811"/>
      <c r="AB811"/>
      <c r="AD811" s="42" t="str">
        <f>C811&amp;A811</f>
        <v>VIAGENSAdm</v>
      </c>
      <c r="AE811" s="42" t="str">
        <f>IFERROR(VLOOKUP(C811,[34]Planilha1!$B:$C,2,0),"Não se Aplica")</f>
        <v>Sim</v>
      </c>
      <c r="AF811" s="42" t="str">
        <f>VLOOKUP(AD811,[34]Planilha1!$H:$J,3,0)</f>
        <v>Não</v>
      </c>
      <c r="AG811" s="43">
        <f t="shared" si="214"/>
        <v>0</v>
      </c>
    </row>
    <row r="812" spans="1:33" x14ac:dyDescent="0.3">
      <c r="A812" s="1" t="s">
        <v>837</v>
      </c>
      <c r="B812" s="65" t="s">
        <v>20</v>
      </c>
      <c r="C812" s="78" t="s">
        <v>490</v>
      </c>
      <c r="D812" s="81" t="s">
        <v>788</v>
      </c>
      <c r="E812" s="86" t="s">
        <v>505</v>
      </c>
      <c r="F812" s="81" t="s">
        <v>49</v>
      </c>
      <c r="G812" s="65" t="s">
        <v>32</v>
      </c>
      <c r="H812" s="81" t="s">
        <v>50</v>
      </c>
      <c r="I812" s="27">
        <v>250</v>
      </c>
      <c r="J812" s="27">
        <v>250</v>
      </c>
      <c r="K812" s="27">
        <v>250</v>
      </c>
      <c r="L812" s="27">
        <v>250</v>
      </c>
      <c r="M812" s="27">
        <v>250</v>
      </c>
      <c r="N812" s="27">
        <v>250</v>
      </c>
      <c r="O812" s="27">
        <v>250</v>
      </c>
      <c r="P812" s="27">
        <v>250</v>
      </c>
      <c r="Q812" s="27">
        <v>250</v>
      </c>
      <c r="R812" s="27">
        <v>250</v>
      </c>
      <c r="S812" s="27">
        <v>250</v>
      </c>
      <c r="T812" s="27">
        <v>250</v>
      </c>
      <c r="U812" s="27">
        <f t="shared" si="215"/>
        <v>3000</v>
      </c>
      <c r="V812" s="82"/>
      <c r="W812"/>
      <c r="X812" s="87"/>
      <c r="Y812" s="8"/>
      <c r="Z812"/>
      <c r="AA812"/>
      <c r="AB812"/>
      <c r="AD812" s="42" t="str">
        <f>C812&amp;A812</f>
        <v>CONDUCAO E TRANSPORTEAdm</v>
      </c>
      <c r="AE812" s="42" t="str">
        <f>IFERROR(VLOOKUP(C812,[34]Planilha1!$B:$C,2,0),"Não se Aplica")</f>
        <v>Sim</v>
      </c>
      <c r="AF812" s="42" t="str">
        <f>VLOOKUP(AD812,[34]Planilha1!$H:$J,3,0)</f>
        <v>Não</v>
      </c>
      <c r="AG812" s="43">
        <f t="shared" ref="AG812:AG858" si="216">IF(AF812="Sim", U812 * 0.9075, U812)</f>
        <v>3000</v>
      </c>
    </row>
    <row r="813" spans="1:33" x14ac:dyDescent="0.3">
      <c r="A813" s="1" t="s">
        <v>837</v>
      </c>
      <c r="B813" s="65" t="s">
        <v>28</v>
      </c>
      <c r="C813" s="78" t="s">
        <v>490</v>
      </c>
      <c r="D813" s="81" t="s">
        <v>788</v>
      </c>
      <c r="E813" s="86" t="s">
        <v>505</v>
      </c>
      <c r="F813" s="81" t="s">
        <v>49</v>
      </c>
      <c r="G813" s="65" t="s">
        <v>32</v>
      </c>
      <c r="H813" s="81" t="s">
        <v>50</v>
      </c>
      <c r="I813" s="27">
        <v>250</v>
      </c>
      <c r="J813" s="27">
        <v>250</v>
      </c>
      <c r="K813" s="27">
        <v>250</v>
      </c>
      <c r="L813" s="27">
        <v>250</v>
      </c>
      <c r="M813" s="27">
        <v>250</v>
      </c>
      <c r="N813" s="27">
        <v>250</v>
      </c>
      <c r="O813" s="27">
        <v>250</v>
      </c>
      <c r="P813" s="27">
        <v>250</v>
      </c>
      <c r="Q813" s="27">
        <v>250</v>
      </c>
      <c r="R813" s="27">
        <v>250</v>
      </c>
      <c r="S813" s="27">
        <v>250</v>
      </c>
      <c r="T813" s="27">
        <v>250</v>
      </c>
      <c r="U813" s="27">
        <f t="shared" si="215"/>
        <v>3000</v>
      </c>
      <c r="V813" s="82"/>
      <c r="W813"/>
      <c r="X813" s="87"/>
      <c r="Y813" s="8"/>
      <c r="Z813"/>
      <c r="AA813"/>
      <c r="AB813"/>
      <c r="AD813" s="42" t="str">
        <f>C813&amp;A813</f>
        <v>CONDUCAO E TRANSPORTEAdm</v>
      </c>
      <c r="AE813" s="42" t="str">
        <f>IFERROR(VLOOKUP(C813,[34]Planilha1!$B:$C,2,0),"Não se Aplica")</f>
        <v>Sim</v>
      </c>
      <c r="AF813" s="42" t="str">
        <f>VLOOKUP(AD813,[34]Planilha1!$H:$J,3,0)</f>
        <v>Não</v>
      </c>
      <c r="AG813" s="43">
        <f t="shared" si="216"/>
        <v>3000</v>
      </c>
    </row>
    <row r="814" spans="1:33" x14ac:dyDescent="0.3">
      <c r="A814" s="1" t="s">
        <v>837</v>
      </c>
      <c r="B814" s="65" t="s">
        <v>20</v>
      </c>
      <c r="C814" s="78" t="s">
        <v>46</v>
      </c>
      <c r="D814" s="81" t="s">
        <v>789</v>
      </c>
      <c r="E814" s="86" t="s">
        <v>68</v>
      </c>
      <c r="F814" s="81" t="s">
        <v>49</v>
      </c>
      <c r="G814" s="65" t="s">
        <v>32</v>
      </c>
      <c r="H814" s="81" t="s">
        <v>50</v>
      </c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>
        <f t="shared" si="215"/>
        <v>0</v>
      </c>
      <c r="V814" s="82"/>
      <c r="W814"/>
      <c r="X814" s="87"/>
      <c r="Y814" s="8"/>
      <c r="Z814"/>
      <c r="AA814"/>
      <c r="AB814"/>
      <c r="AD814" s="42" t="str">
        <f>C814&amp;A814</f>
        <v>MANUTEN. SISTEMAS  INFORMATICAAdm</v>
      </c>
      <c r="AE814" s="42" t="str">
        <f>IFERROR(VLOOKUP(C814,[34]Planilha1!$B:$C,2,0),"Não se Aplica")</f>
        <v>Sim</v>
      </c>
      <c r="AF814" s="42" t="str">
        <f>VLOOKUP(AD814,[34]Planilha1!$H:$J,3,0)</f>
        <v>Sim</v>
      </c>
      <c r="AG814" s="43">
        <f t="shared" si="216"/>
        <v>0</v>
      </c>
    </row>
    <row r="815" spans="1:33" x14ac:dyDescent="0.3">
      <c r="A815" s="1" t="s">
        <v>837</v>
      </c>
      <c r="B815" s="65" t="s">
        <v>28</v>
      </c>
      <c r="C815" s="78" t="s">
        <v>46</v>
      </c>
      <c r="D815" s="81" t="s">
        <v>790</v>
      </c>
      <c r="E815" s="86" t="s">
        <v>68</v>
      </c>
      <c r="F815" s="81" t="s">
        <v>49</v>
      </c>
      <c r="G815" s="65" t="s">
        <v>32</v>
      </c>
      <c r="H815" s="81" t="s">
        <v>50</v>
      </c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>
        <f t="shared" si="215"/>
        <v>0</v>
      </c>
      <c r="V815" s="82"/>
      <c r="W815"/>
      <c r="X815" s="87"/>
      <c r="Y815" s="8"/>
      <c r="Z815"/>
      <c r="AA815"/>
      <c r="AB815"/>
      <c r="AD815" s="42" t="str">
        <f>C815&amp;A815</f>
        <v>MANUTEN. SISTEMAS  INFORMATICAAdm</v>
      </c>
      <c r="AE815" s="42" t="str">
        <f>IFERROR(VLOOKUP(C815,[34]Planilha1!$B:$C,2,0),"Não se Aplica")</f>
        <v>Sim</v>
      </c>
      <c r="AF815" s="42" t="str">
        <f>VLOOKUP(AD815,[34]Planilha1!$H:$J,3,0)</f>
        <v>Sim</v>
      </c>
      <c r="AG815" s="43">
        <f t="shared" si="216"/>
        <v>0</v>
      </c>
    </row>
    <row r="816" spans="1:33" x14ac:dyDescent="0.3">
      <c r="A816" s="1" t="s">
        <v>837</v>
      </c>
      <c r="B816" s="65" t="s">
        <v>20</v>
      </c>
      <c r="C816" s="78" t="s">
        <v>46</v>
      </c>
      <c r="D816" s="81" t="s">
        <v>791</v>
      </c>
      <c r="E816" s="86" t="s">
        <v>68</v>
      </c>
      <c r="F816" s="81" t="s">
        <v>49</v>
      </c>
      <c r="G816" s="65" t="s">
        <v>32</v>
      </c>
      <c r="H816" s="81" t="s">
        <v>50</v>
      </c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>
        <f t="shared" si="215"/>
        <v>0</v>
      </c>
      <c r="V816" s="82"/>
      <c r="W816"/>
      <c r="X816" s="87"/>
      <c r="Y816" s="8"/>
      <c r="Z816"/>
      <c r="AA816"/>
      <c r="AB816"/>
      <c r="AD816" s="42" t="str">
        <f>C816&amp;A816</f>
        <v>MANUTEN. SISTEMAS  INFORMATICAAdm</v>
      </c>
      <c r="AE816" s="42" t="str">
        <f>IFERROR(VLOOKUP(C816,[34]Planilha1!$B:$C,2,0),"Não se Aplica")</f>
        <v>Sim</v>
      </c>
      <c r="AF816" s="42" t="str">
        <f>VLOOKUP(AD816,[34]Planilha1!$H:$J,3,0)</f>
        <v>Sim</v>
      </c>
      <c r="AG816" s="43">
        <f t="shared" si="216"/>
        <v>0</v>
      </c>
    </row>
    <row r="817" spans="1:33" x14ac:dyDescent="0.3">
      <c r="A817" s="1" t="s">
        <v>837</v>
      </c>
      <c r="B817" s="65" t="s">
        <v>20</v>
      </c>
      <c r="C817" s="78" t="s">
        <v>72</v>
      </c>
      <c r="D817" s="81" t="s">
        <v>792</v>
      </c>
      <c r="E817" s="86" t="s">
        <v>68</v>
      </c>
      <c r="F817" s="81" t="s">
        <v>49</v>
      </c>
      <c r="G817" s="65" t="s">
        <v>32</v>
      </c>
      <c r="H817" s="81" t="s">
        <v>50</v>
      </c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>
        <f t="shared" ref="U817:U859" si="217">SUM(I817:T817)</f>
        <v>0</v>
      </c>
      <c r="V817" s="82"/>
      <c r="W817"/>
      <c r="X817" s="87"/>
      <c r="Y817" s="8"/>
      <c r="Z817"/>
      <c r="AA817"/>
      <c r="AB817"/>
      <c r="AD817" s="42" t="str">
        <f>C817&amp;A817</f>
        <v>MANUT. EQUP. INFORMATICAAdm</v>
      </c>
      <c r="AE817" s="42" t="str">
        <f>IFERROR(VLOOKUP(C817,[34]Planilha1!$B:$C,2,0),"Não se Aplica")</f>
        <v>Sim</v>
      </c>
      <c r="AF817" s="42" t="str">
        <f>VLOOKUP(AD817,[34]Planilha1!$H:$J,3,0)</f>
        <v>Sim</v>
      </c>
      <c r="AG817" s="43">
        <f t="shared" si="216"/>
        <v>0</v>
      </c>
    </row>
    <row r="818" spans="1:33" x14ac:dyDescent="0.3">
      <c r="A818" s="1" t="s">
        <v>837</v>
      </c>
      <c r="B818" s="65" t="s">
        <v>20</v>
      </c>
      <c r="C818" s="78" t="s">
        <v>46</v>
      </c>
      <c r="D818" s="81" t="s">
        <v>793</v>
      </c>
      <c r="E818" s="99" t="s">
        <v>311</v>
      </c>
      <c r="F818" s="81" t="s">
        <v>49</v>
      </c>
      <c r="G818" s="65" t="s">
        <v>32</v>
      </c>
      <c r="H818" s="81" t="s">
        <v>50</v>
      </c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>
        <f t="shared" si="217"/>
        <v>0</v>
      </c>
      <c r="V818" s="82"/>
      <c r="W818"/>
      <c r="X818" s="87"/>
      <c r="Y818" s="8"/>
      <c r="Z818"/>
      <c r="AA818"/>
      <c r="AB818"/>
      <c r="AD818" s="42" t="str">
        <f>C818&amp;A818</f>
        <v>MANUTEN. SISTEMAS  INFORMATICAAdm</v>
      </c>
      <c r="AE818" s="42" t="str">
        <f>IFERROR(VLOOKUP(C818,[34]Planilha1!$B:$C,2,0),"Não se Aplica")</f>
        <v>Sim</v>
      </c>
      <c r="AF818" s="42" t="str">
        <f>VLOOKUP(AD818,[34]Planilha1!$H:$J,3,0)</f>
        <v>Sim</v>
      </c>
      <c r="AG818" s="43">
        <f t="shared" si="216"/>
        <v>0</v>
      </c>
    </row>
    <row r="819" spans="1:33" x14ac:dyDescent="0.3">
      <c r="A819" s="1" t="s">
        <v>837</v>
      </c>
      <c r="B819" s="65" t="s">
        <v>28</v>
      </c>
      <c r="C819" s="78" t="s">
        <v>72</v>
      </c>
      <c r="D819" s="81" t="s">
        <v>794</v>
      </c>
      <c r="E819" s="86" t="s">
        <v>68</v>
      </c>
      <c r="F819" s="81" t="s">
        <v>49</v>
      </c>
      <c r="G819" s="65" t="s">
        <v>32</v>
      </c>
      <c r="H819" s="81" t="s">
        <v>50</v>
      </c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>
        <f t="shared" si="217"/>
        <v>0</v>
      </c>
      <c r="V819" s="82"/>
      <c r="W819"/>
      <c r="X819" s="87"/>
      <c r="Y819" s="8"/>
      <c r="Z819"/>
      <c r="AA819"/>
      <c r="AB819"/>
      <c r="AD819" s="42" t="str">
        <f>C819&amp;A819</f>
        <v>MANUT. EQUP. INFORMATICAAdm</v>
      </c>
      <c r="AE819" s="42" t="str">
        <f>IFERROR(VLOOKUP(C819,[34]Planilha1!$B:$C,2,0),"Não se Aplica")</f>
        <v>Sim</v>
      </c>
      <c r="AF819" s="42" t="str">
        <f>VLOOKUP(AD819,[34]Planilha1!$H:$J,3,0)</f>
        <v>Sim</v>
      </c>
      <c r="AG819" s="43">
        <f t="shared" si="216"/>
        <v>0</v>
      </c>
    </row>
    <row r="820" spans="1:33" x14ac:dyDescent="0.3">
      <c r="A820" s="1" t="s">
        <v>837</v>
      </c>
      <c r="B820" s="65" t="s">
        <v>20</v>
      </c>
      <c r="C820" s="78" t="s">
        <v>72</v>
      </c>
      <c r="D820" s="81" t="s">
        <v>795</v>
      </c>
      <c r="E820" s="86" t="s">
        <v>68</v>
      </c>
      <c r="F820" s="81" t="s">
        <v>49</v>
      </c>
      <c r="G820" s="65" t="s">
        <v>32</v>
      </c>
      <c r="H820" s="81" t="s">
        <v>50</v>
      </c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>
        <f t="shared" si="217"/>
        <v>0</v>
      </c>
      <c r="V820" s="82"/>
      <c r="W820"/>
      <c r="X820" s="87"/>
      <c r="Y820" s="8"/>
      <c r="Z820"/>
      <c r="AA820"/>
      <c r="AB820"/>
      <c r="AD820" s="42" t="str">
        <f>C820&amp;A820</f>
        <v>MANUT. EQUP. INFORMATICAAdm</v>
      </c>
      <c r="AE820" s="42" t="str">
        <f>IFERROR(VLOOKUP(C820,[34]Planilha1!$B:$C,2,0),"Não se Aplica")</f>
        <v>Sim</v>
      </c>
      <c r="AF820" s="42" t="str">
        <f>VLOOKUP(AD820,[34]Planilha1!$H:$J,3,0)</f>
        <v>Sim</v>
      </c>
      <c r="AG820" s="43">
        <f t="shared" si="216"/>
        <v>0</v>
      </c>
    </row>
    <row r="821" spans="1:33" x14ac:dyDescent="0.3">
      <c r="A821" s="1" t="s">
        <v>837</v>
      </c>
      <c r="B821" s="65" t="s">
        <v>28</v>
      </c>
      <c r="C821" s="78" t="s">
        <v>72</v>
      </c>
      <c r="D821" s="81" t="s">
        <v>795</v>
      </c>
      <c r="E821" s="86" t="s">
        <v>68</v>
      </c>
      <c r="F821" s="81" t="s">
        <v>49</v>
      </c>
      <c r="G821" s="65" t="s">
        <v>32</v>
      </c>
      <c r="H821" s="81" t="s">
        <v>50</v>
      </c>
      <c r="I821" s="27"/>
      <c r="J821" s="27">
        <v>5000</v>
      </c>
      <c r="K821" s="27"/>
      <c r="L821" s="27">
        <v>5000</v>
      </c>
      <c r="M821" s="27"/>
      <c r="N821" s="27">
        <v>5000</v>
      </c>
      <c r="O821" s="27"/>
      <c r="P821" s="27">
        <v>5000</v>
      </c>
      <c r="Q821" s="27"/>
      <c r="R821" s="27">
        <v>5000</v>
      </c>
      <c r="S821" s="27"/>
      <c r="T821" s="27">
        <v>5000</v>
      </c>
      <c r="U821" s="27">
        <f t="shared" si="217"/>
        <v>30000</v>
      </c>
      <c r="V821" s="82"/>
      <c r="W821"/>
      <c r="X821" s="87"/>
      <c r="Y821" s="8"/>
      <c r="Z821"/>
      <c r="AA821"/>
      <c r="AB821"/>
      <c r="AD821" s="42" t="str">
        <f>C821&amp;A821</f>
        <v>MANUT. EQUP. INFORMATICAAdm</v>
      </c>
      <c r="AE821" s="42" t="str">
        <f>IFERROR(VLOOKUP(C821,[34]Planilha1!$B:$C,2,0),"Não se Aplica")</f>
        <v>Sim</v>
      </c>
      <c r="AF821" s="42" t="str">
        <f>VLOOKUP(AD821,[34]Planilha1!$H:$J,3,0)</f>
        <v>Sim</v>
      </c>
      <c r="AG821" s="43">
        <f t="shared" si="216"/>
        <v>27225</v>
      </c>
    </row>
    <row r="822" spans="1:33" x14ac:dyDescent="0.3">
      <c r="A822" s="1" t="s">
        <v>837</v>
      </c>
      <c r="B822" s="65" t="s">
        <v>28</v>
      </c>
      <c r="C822" s="78" t="s">
        <v>46</v>
      </c>
      <c r="D822" s="81" t="s">
        <v>796</v>
      </c>
      <c r="E822" s="86" t="s">
        <v>797</v>
      </c>
      <c r="F822" s="81" t="s">
        <v>49</v>
      </c>
      <c r="G822" s="65" t="s">
        <v>32</v>
      </c>
      <c r="H822" s="81" t="s">
        <v>50</v>
      </c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>
        <f t="shared" si="217"/>
        <v>0</v>
      </c>
      <c r="V822" s="82"/>
      <c r="W822"/>
      <c r="X822" s="87"/>
      <c r="Y822" s="8"/>
      <c r="Z822"/>
      <c r="AA822"/>
      <c r="AB822"/>
      <c r="AD822" s="42" t="str">
        <f>C822&amp;A822</f>
        <v>MANUTEN. SISTEMAS  INFORMATICAAdm</v>
      </c>
      <c r="AE822" s="42" t="str">
        <f>IFERROR(VLOOKUP(C822,[34]Planilha1!$B:$C,2,0),"Não se Aplica")</f>
        <v>Sim</v>
      </c>
      <c r="AF822" s="42" t="str">
        <f>VLOOKUP(AD822,[34]Planilha1!$H:$J,3,0)</f>
        <v>Sim</v>
      </c>
      <c r="AG822" s="43">
        <f t="shared" si="216"/>
        <v>0</v>
      </c>
    </row>
    <row r="823" spans="1:33" x14ac:dyDescent="0.3">
      <c r="A823" s="1" t="s">
        <v>837</v>
      </c>
      <c r="B823" s="65" t="s">
        <v>28</v>
      </c>
      <c r="C823" s="78" t="s">
        <v>46</v>
      </c>
      <c r="D823" s="81" t="s">
        <v>798</v>
      </c>
      <c r="E823" s="86" t="s">
        <v>68</v>
      </c>
      <c r="F823" s="81" t="s">
        <v>49</v>
      </c>
      <c r="G823" s="65" t="s">
        <v>32</v>
      </c>
      <c r="H823" s="81" t="s">
        <v>50</v>
      </c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>
        <f t="shared" si="217"/>
        <v>0</v>
      </c>
      <c r="V823" s="82"/>
      <c r="W823"/>
      <c r="X823" s="87"/>
      <c r="Y823" s="8"/>
      <c r="Z823"/>
      <c r="AA823"/>
      <c r="AB823"/>
      <c r="AD823" s="42" t="str">
        <f>C823&amp;A823</f>
        <v>MANUTEN. SISTEMAS  INFORMATICAAdm</v>
      </c>
      <c r="AE823" s="42" t="str">
        <f>IFERROR(VLOOKUP(C823,[34]Planilha1!$B:$C,2,0),"Não se Aplica")</f>
        <v>Sim</v>
      </c>
      <c r="AF823" s="42" t="str">
        <f>VLOOKUP(AD823,[34]Planilha1!$H:$J,3,0)</f>
        <v>Sim</v>
      </c>
      <c r="AG823" s="43">
        <f t="shared" si="216"/>
        <v>0</v>
      </c>
    </row>
    <row r="824" spans="1:33" x14ac:dyDescent="0.3">
      <c r="A824" s="1" t="s">
        <v>837</v>
      </c>
      <c r="B824" s="65" t="s">
        <v>28</v>
      </c>
      <c r="C824" s="78" t="s">
        <v>46</v>
      </c>
      <c r="D824" s="81" t="s">
        <v>799</v>
      </c>
      <c r="E824" s="86" t="s">
        <v>68</v>
      </c>
      <c r="F824" s="81" t="s">
        <v>49</v>
      </c>
      <c r="G824" s="65" t="s">
        <v>32</v>
      </c>
      <c r="H824" s="81" t="s">
        <v>50</v>
      </c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>
        <f t="shared" si="217"/>
        <v>0</v>
      </c>
      <c r="V824" s="82"/>
      <c r="W824"/>
      <c r="X824" s="87"/>
      <c r="Y824" s="8"/>
      <c r="Z824"/>
      <c r="AA824"/>
      <c r="AB824"/>
      <c r="AD824" s="42" t="str">
        <f>C824&amp;A824</f>
        <v>MANUTEN. SISTEMAS  INFORMATICAAdm</v>
      </c>
      <c r="AE824" s="42" t="str">
        <f>IFERROR(VLOOKUP(C824,[34]Planilha1!$B:$C,2,0),"Não se Aplica")</f>
        <v>Sim</v>
      </c>
      <c r="AF824" s="42" t="str">
        <f>VLOOKUP(AD824,[34]Planilha1!$H:$J,3,0)</f>
        <v>Sim</v>
      </c>
      <c r="AG824" s="43">
        <f t="shared" si="216"/>
        <v>0</v>
      </c>
    </row>
    <row r="825" spans="1:33" x14ac:dyDescent="0.3">
      <c r="A825" s="1" t="s">
        <v>837</v>
      </c>
      <c r="B825" s="65" t="s">
        <v>20</v>
      </c>
      <c r="C825" s="78" t="s">
        <v>46</v>
      </c>
      <c r="D825" s="81" t="s">
        <v>800</v>
      </c>
      <c r="E825" s="86" t="s">
        <v>801</v>
      </c>
      <c r="F825" s="81" t="s">
        <v>49</v>
      </c>
      <c r="G825" s="65" t="s">
        <v>32</v>
      </c>
      <c r="H825" s="81" t="s">
        <v>50</v>
      </c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>
        <f t="shared" si="217"/>
        <v>0</v>
      </c>
      <c r="V825" s="82"/>
      <c r="W825"/>
      <c r="X825" s="87"/>
      <c r="Y825" s="8"/>
      <c r="Z825"/>
      <c r="AA825"/>
      <c r="AB825"/>
      <c r="AD825" s="42" t="str">
        <f>C825&amp;A825</f>
        <v>MANUTEN. SISTEMAS  INFORMATICAAdm</v>
      </c>
      <c r="AE825" s="42" t="str">
        <f>IFERROR(VLOOKUP(C825,[34]Planilha1!$B:$C,2,0),"Não se Aplica")</f>
        <v>Sim</v>
      </c>
      <c r="AF825" s="42" t="str">
        <f>VLOOKUP(AD825,[34]Planilha1!$H:$J,3,0)</f>
        <v>Sim</v>
      </c>
      <c r="AG825" s="43">
        <f t="shared" si="216"/>
        <v>0</v>
      </c>
    </row>
    <row r="826" spans="1:33" x14ac:dyDescent="0.3">
      <c r="A826" s="1" t="s">
        <v>837</v>
      </c>
      <c r="B826" s="65" t="s">
        <v>20</v>
      </c>
      <c r="C826" s="78" t="s">
        <v>46</v>
      </c>
      <c r="D826" s="81" t="s">
        <v>802</v>
      </c>
      <c r="E826" s="99" t="s">
        <v>267</v>
      </c>
      <c r="F826" s="81" t="s">
        <v>49</v>
      </c>
      <c r="G826" s="65" t="s">
        <v>32</v>
      </c>
      <c r="H826" s="81" t="s">
        <v>50</v>
      </c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>
        <f t="shared" si="217"/>
        <v>0</v>
      </c>
      <c r="V826" s="82"/>
      <c r="W826"/>
      <c r="X826" s="87"/>
      <c r="Y826" s="8"/>
      <c r="Z826"/>
      <c r="AA826"/>
      <c r="AB826"/>
      <c r="AD826" s="42" t="str">
        <f>C826&amp;A826</f>
        <v>MANUTEN. SISTEMAS  INFORMATICAAdm</v>
      </c>
      <c r="AE826" s="42" t="str">
        <f>IFERROR(VLOOKUP(C826,[34]Planilha1!$B:$C,2,0),"Não se Aplica")</f>
        <v>Sim</v>
      </c>
      <c r="AF826" s="42" t="str">
        <f>VLOOKUP(AD826,[34]Planilha1!$H:$J,3,0)</f>
        <v>Sim</v>
      </c>
      <c r="AG826" s="43">
        <f t="shared" si="216"/>
        <v>0</v>
      </c>
    </row>
    <row r="827" spans="1:33" x14ac:dyDescent="0.3">
      <c r="A827" s="1" t="s">
        <v>837</v>
      </c>
      <c r="B827" s="65" t="s">
        <v>20</v>
      </c>
      <c r="C827" s="78" t="s">
        <v>240</v>
      </c>
      <c r="D827" s="81" t="s">
        <v>803</v>
      </c>
      <c r="E827" s="86" t="s">
        <v>256</v>
      </c>
      <c r="F827" s="81" t="s">
        <v>49</v>
      </c>
      <c r="G827" s="65" t="s">
        <v>32</v>
      </c>
      <c r="H827" s="81" t="s">
        <v>50</v>
      </c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>
        <f t="shared" si="217"/>
        <v>0</v>
      </c>
      <c r="V827" s="82"/>
      <c r="W827"/>
      <c r="X827" s="87"/>
      <c r="Y827" s="8"/>
      <c r="Z827"/>
      <c r="AA827"/>
      <c r="AB827"/>
      <c r="AD827" s="42" t="str">
        <f>C827&amp;A827</f>
        <v>INTERNET/COMUNICACOESAdm</v>
      </c>
      <c r="AE827" s="42" t="str">
        <f>IFERROR(VLOOKUP(C827,[34]Planilha1!$B:$C,2,0),"Não se Aplica")</f>
        <v>Sim</v>
      </c>
      <c r="AF827" s="42" t="str">
        <f>VLOOKUP(AD827,[34]Planilha1!$H:$J,3,0)</f>
        <v>Não</v>
      </c>
      <c r="AG827" s="43">
        <f t="shared" si="216"/>
        <v>0</v>
      </c>
    </row>
    <row r="828" spans="1:33" x14ac:dyDescent="0.3">
      <c r="A828" s="1" t="s">
        <v>837</v>
      </c>
      <c r="B828" s="65" t="s">
        <v>20</v>
      </c>
      <c r="C828" s="78" t="s">
        <v>46</v>
      </c>
      <c r="D828" s="81" t="s">
        <v>804</v>
      </c>
      <c r="E828" s="86" t="s">
        <v>805</v>
      </c>
      <c r="F828" s="81" t="s">
        <v>49</v>
      </c>
      <c r="G828" s="65" t="s">
        <v>32</v>
      </c>
      <c r="H828" s="81" t="s">
        <v>50</v>
      </c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>
        <f t="shared" si="217"/>
        <v>0</v>
      </c>
      <c r="V828" s="82"/>
      <c r="W828"/>
      <c r="X828" s="87"/>
      <c r="Y828" s="8"/>
      <c r="Z828"/>
      <c r="AA828"/>
      <c r="AB828"/>
      <c r="AD828" s="42" t="str">
        <f>C828&amp;A828</f>
        <v>MANUTEN. SISTEMAS  INFORMATICAAdm</v>
      </c>
      <c r="AE828" s="42" t="str">
        <f>IFERROR(VLOOKUP(C828,[34]Planilha1!$B:$C,2,0),"Não se Aplica")</f>
        <v>Sim</v>
      </c>
      <c r="AF828" s="42" t="str">
        <f>VLOOKUP(AD828,[34]Planilha1!$H:$J,3,0)</f>
        <v>Sim</v>
      </c>
      <c r="AG828" s="43">
        <f t="shared" si="216"/>
        <v>0</v>
      </c>
    </row>
    <row r="829" spans="1:33" x14ac:dyDescent="0.3">
      <c r="A829" s="1" t="s">
        <v>837</v>
      </c>
      <c r="B829" s="65" t="s">
        <v>28</v>
      </c>
      <c r="C829" s="78" t="s">
        <v>46</v>
      </c>
      <c r="D829" s="81" t="s">
        <v>804</v>
      </c>
      <c r="E829" s="86" t="s">
        <v>805</v>
      </c>
      <c r="F829" s="81" t="s">
        <v>49</v>
      </c>
      <c r="G829" s="65" t="s">
        <v>32</v>
      </c>
      <c r="H829" s="81" t="s">
        <v>50</v>
      </c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>
        <f t="shared" si="217"/>
        <v>0</v>
      </c>
      <c r="V829" s="82"/>
      <c r="W829"/>
      <c r="X829" s="87"/>
      <c r="Y829" s="8"/>
      <c r="Z829"/>
      <c r="AA829"/>
      <c r="AB829"/>
      <c r="AD829" s="42" t="str">
        <f>C829&amp;A829</f>
        <v>MANUTEN. SISTEMAS  INFORMATICAAdm</v>
      </c>
      <c r="AE829" s="42" t="str">
        <f>IFERROR(VLOOKUP(C829,[34]Planilha1!$B:$C,2,0),"Não se Aplica")</f>
        <v>Sim</v>
      </c>
      <c r="AF829" s="42" t="str">
        <f>VLOOKUP(AD829,[34]Planilha1!$H:$J,3,0)</f>
        <v>Sim</v>
      </c>
      <c r="AG829" s="43">
        <f t="shared" si="216"/>
        <v>0</v>
      </c>
    </row>
    <row r="830" spans="1:33" x14ac:dyDescent="0.3">
      <c r="A830" s="1" t="s">
        <v>837</v>
      </c>
      <c r="B830" s="65" t="s">
        <v>20</v>
      </c>
      <c r="C830" s="78" t="s">
        <v>46</v>
      </c>
      <c r="D830" s="81" t="s">
        <v>806</v>
      </c>
      <c r="E830" s="86" t="s">
        <v>807</v>
      </c>
      <c r="F830" s="81" t="s">
        <v>49</v>
      </c>
      <c r="G830" s="65" t="s">
        <v>32</v>
      </c>
      <c r="H830" s="81" t="s">
        <v>50</v>
      </c>
      <c r="I830" s="27"/>
      <c r="J830" s="27"/>
      <c r="K830" s="27">
        <v>25000</v>
      </c>
      <c r="L830" s="27" t="s">
        <v>808</v>
      </c>
      <c r="M830" s="27"/>
      <c r="N830" s="27"/>
      <c r="O830" s="27"/>
      <c r="P830" s="27"/>
      <c r="Q830" s="27"/>
      <c r="R830" s="27"/>
      <c r="S830" s="27"/>
      <c r="T830" s="27"/>
      <c r="U830" s="27">
        <f t="shared" si="217"/>
        <v>25000</v>
      </c>
      <c r="V830" s="82"/>
      <c r="W830"/>
      <c r="X830" s="87"/>
      <c r="Y830" s="8"/>
      <c r="Z830"/>
      <c r="AA830"/>
      <c r="AB830"/>
      <c r="AD830" s="42" t="str">
        <f>C830&amp;A830</f>
        <v>MANUTEN. SISTEMAS  INFORMATICAAdm</v>
      </c>
      <c r="AE830" s="42" t="str">
        <f>IFERROR(VLOOKUP(C830,[34]Planilha1!$B:$C,2,0),"Não se Aplica")</f>
        <v>Sim</v>
      </c>
      <c r="AF830" s="42" t="str">
        <f>VLOOKUP(AD830,[34]Planilha1!$H:$J,3,0)</f>
        <v>Sim</v>
      </c>
      <c r="AG830" s="43">
        <f t="shared" si="216"/>
        <v>22687.5</v>
      </c>
    </row>
    <row r="831" spans="1:33" x14ac:dyDescent="0.3">
      <c r="A831" s="1" t="s">
        <v>837</v>
      </c>
      <c r="B831" s="65" t="s">
        <v>28</v>
      </c>
      <c r="C831" s="78" t="s">
        <v>46</v>
      </c>
      <c r="D831" s="81" t="s">
        <v>806</v>
      </c>
      <c r="E831" s="86" t="s">
        <v>807</v>
      </c>
      <c r="F831" s="81" t="s">
        <v>49</v>
      </c>
      <c r="G831" s="65" t="s">
        <v>32</v>
      </c>
      <c r="H831" s="81" t="s">
        <v>50</v>
      </c>
      <c r="I831" s="27"/>
      <c r="J831" s="27"/>
      <c r="K831" s="27">
        <v>25000</v>
      </c>
      <c r="L831" s="27"/>
      <c r="M831" s="27"/>
      <c r="N831" s="27"/>
      <c r="O831" s="27"/>
      <c r="P831" s="27"/>
      <c r="Q831" s="27"/>
      <c r="R831" s="27"/>
      <c r="S831" s="27"/>
      <c r="T831" s="27"/>
      <c r="U831" s="27">
        <f t="shared" si="217"/>
        <v>25000</v>
      </c>
      <c r="V831" s="82"/>
      <c r="W831"/>
      <c r="X831" s="87"/>
      <c r="Y831" s="8"/>
      <c r="Z831"/>
      <c r="AA831"/>
      <c r="AB831"/>
      <c r="AD831" s="42" t="str">
        <f>C831&amp;A831</f>
        <v>MANUTEN. SISTEMAS  INFORMATICAAdm</v>
      </c>
      <c r="AE831" s="42" t="str">
        <f>IFERROR(VLOOKUP(C831,[34]Planilha1!$B:$C,2,0),"Não se Aplica")</f>
        <v>Sim</v>
      </c>
      <c r="AF831" s="42" t="str">
        <f>VLOOKUP(AD831,[34]Planilha1!$H:$J,3,0)</f>
        <v>Sim</v>
      </c>
      <c r="AG831" s="43">
        <f t="shared" si="216"/>
        <v>22687.5</v>
      </c>
    </row>
    <row r="832" spans="1:33" x14ac:dyDescent="0.3">
      <c r="A832" s="1" t="s">
        <v>837</v>
      </c>
      <c r="B832" s="65" t="s">
        <v>20</v>
      </c>
      <c r="C832" s="78" t="s">
        <v>46</v>
      </c>
      <c r="D832" s="81" t="s">
        <v>809</v>
      </c>
      <c r="E832" s="86" t="s">
        <v>810</v>
      </c>
      <c r="F832" s="81" t="s">
        <v>49</v>
      </c>
      <c r="G832" s="65" t="s">
        <v>32</v>
      </c>
      <c r="H832" s="81" t="s">
        <v>50</v>
      </c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>
        <f t="shared" si="217"/>
        <v>0</v>
      </c>
      <c r="V832" s="82"/>
      <c r="W832"/>
      <c r="X832" s="87"/>
      <c r="Y832" s="8"/>
      <c r="Z832"/>
      <c r="AA832"/>
      <c r="AB832"/>
      <c r="AD832" s="42" t="str">
        <f>C832&amp;A832</f>
        <v>MANUTEN. SISTEMAS  INFORMATICAAdm</v>
      </c>
      <c r="AE832" s="42" t="str">
        <f>IFERROR(VLOOKUP(C832,[34]Planilha1!$B:$C,2,0),"Não se Aplica")</f>
        <v>Sim</v>
      </c>
      <c r="AF832" s="42" t="str">
        <f>VLOOKUP(AD832,[34]Planilha1!$H:$J,3,0)</f>
        <v>Sim</v>
      </c>
      <c r="AG832" s="43">
        <f t="shared" si="216"/>
        <v>0</v>
      </c>
    </row>
    <row r="833" spans="1:33" x14ac:dyDescent="0.3">
      <c r="A833" s="1" t="s">
        <v>837</v>
      </c>
      <c r="B833" s="65" t="s">
        <v>20</v>
      </c>
      <c r="C833" s="78" t="s">
        <v>46</v>
      </c>
      <c r="D833" s="81" t="s">
        <v>811</v>
      </c>
      <c r="E833" s="86" t="s">
        <v>812</v>
      </c>
      <c r="F833" s="81" t="s">
        <v>49</v>
      </c>
      <c r="G833" s="65" t="s">
        <v>32</v>
      </c>
      <c r="H833" s="81" t="s">
        <v>50</v>
      </c>
      <c r="I833" s="27"/>
      <c r="J833" s="27"/>
      <c r="K833" s="27"/>
      <c r="L833" s="27"/>
      <c r="M833" s="27">
        <v>35000</v>
      </c>
      <c r="N833" s="27"/>
      <c r="O833" s="27"/>
      <c r="P833" s="27"/>
      <c r="Q833" s="27"/>
      <c r="R833" s="27"/>
      <c r="S833" s="27"/>
      <c r="T833" s="27"/>
      <c r="U833" s="27">
        <f t="shared" si="217"/>
        <v>35000</v>
      </c>
      <c r="V833" s="82"/>
      <c r="W833"/>
      <c r="X833" s="87"/>
      <c r="Y833" s="8"/>
      <c r="Z833"/>
      <c r="AA833"/>
      <c r="AB833"/>
      <c r="AD833" s="42" t="str">
        <f>C833&amp;A833</f>
        <v>MANUTEN. SISTEMAS  INFORMATICAAdm</v>
      </c>
      <c r="AE833" s="42" t="str">
        <f>IFERROR(VLOOKUP(C833,[34]Planilha1!$B:$C,2,0),"Não se Aplica")</f>
        <v>Sim</v>
      </c>
      <c r="AF833" s="42" t="str">
        <f>VLOOKUP(AD833,[34]Planilha1!$H:$J,3,0)</f>
        <v>Sim</v>
      </c>
      <c r="AG833" s="43">
        <f t="shared" si="216"/>
        <v>31762.5</v>
      </c>
    </row>
    <row r="834" spans="1:33" x14ac:dyDescent="0.3">
      <c r="A834" s="1" t="s">
        <v>837</v>
      </c>
      <c r="B834" s="65" t="s">
        <v>20</v>
      </c>
      <c r="C834" s="66" t="s">
        <v>46</v>
      </c>
      <c r="D834" s="65" t="s">
        <v>813</v>
      </c>
      <c r="E834" s="67" t="s">
        <v>814</v>
      </c>
      <c r="F834" s="65" t="s">
        <v>49</v>
      </c>
      <c r="G834" s="65" t="s">
        <v>32</v>
      </c>
      <c r="H834" s="65" t="s">
        <v>50</v>
      </c>
      <c r="I834" s="27"/>
      <c r="J834" s="27"/>
      <c r="K834" s="27"/>
      <c r="L834" s="27">
        <v>65000</v>
      </c>
      <c r="M834" s="27"/>
      <c r="N834" s="27"/>
      <c r="O834" s="27"/>
      <c r="P834" s="27"/>
      <c r="Q834" s="27"/>
      <c r="R834" s="27"/>
      <c r="S834" s="27"/>
      <c r="T834" s="27"/>
      <c r="U834" s="27">
        <f t="shared" si="217"/>
        <v>65000</v>
      </c>
      <c r="W834" s="100"/>
      <c r="X834" s="83"/>
      <c r="Y834" s="84"/>
      <c r="Z834" s="84"/>
      <c r="AA834" s="84"/>
      <c r="AB834" s="85"/>
      <c r="AD834" s="42" t="str">
        <f>C834&amp;A834</f>
        <v>MANUTEN. SISTEMAS  INFORMATICAAdm</v>
      </c>
      <c r="AE834" s="42" t="str">
        <f>IFERROR(VLOOKUP(C834,[34]Planilha1!$B:$C,2,0),"Não se Aplica")</f>
        <v>Sim</v>
      </c>
      <c r="AF834" s="42" t="str">
        <f>VLOOKUP(AD834,[34]Planilha1!$H:$J,3,0)</f>
        <v>Sim</v>
      </c>
      <c r="AG834" s="43">
        <f t="shared" si="216"/>
        <v>58987.5</v>
      </c>
    </row>
    <row r="835" spans="1:33" x14ac:dyDescent="0.3">
      <c r="A835" s="1" t="s">
        <v>837</v>
      </c>
      <c r="B835" s="65" t="s">
        <v>20</v>
      </c>
      <c r="C835" s="78" t="s">
        <v>57</v>
      </c>
      <c r="D835" s="81"/>
      <c r="E835" s="86" t="s">
        <v>815</v>
      </c>
      <c r="F835" s="81" t="s">
        <v>34</v>
      </c>
      <c r="G835" s="65" t="s">
        <v>32</v>
      </c>
      <c r="H835" s="81" t="s">
        <v>816</v>
      </c>
      <c r="I835" s="27">
        <v>10000</v>
      </c>
      <c r="J835" s="27">
        <v>10000</v>
      </c>
      <c r="K835" s="27">
        <v>10000</v>
      </c>
      <c r="L835" s="27">
        <v>10000</v>
      </c>
      <c r="M835" s="27">
        <v>10000</v>
      </c>
      <c r="N835" s="27">
        <v>10000</v>
      </c>
      <c r="O835" s="27">
        <v>10000</v>
      </c>
      <c r="P835" s="27">
        <v>10000</v>
      </c>
      <c r="Q835" s="27">
        <v>10000</v>
      </c>
      <c r="R835" s="27">
        <v>10000</v>
      </c>
      <c r="S835" s="27">
        <v>10000</v>
      </c>
      <c r="T835" s="27">
        <v>10000</v>
      </c>
      <c r="U835" s="27">
        <f t="shared" si="217"/>
        <v>120000</v>
      </c>
      <c r="V835" s="82"/>
      <c r="W835"/>
      <c r="X835" s="87"/>
      <c r="Y835" s="8"/>
      <c r="Z835"/>
      <c r="AA835"/>
      <c r="AB835"/>
      <c r="AD835" s="42" t="str">
        <f>C835&amp;A835</f>
        <v>AUDITORIA/CONSULTORIAAdm</v>
      </c>
      <c r="AE835" s="42" t="str">
        <f>IFERROR(VLOOKUP(C835,[34]Planilha1!$B:$C,2,0),"Não se Aplica")</f>
        <v>Sim</v>
      </c>
      <c r="AF835" s="42" t="str">
        <f>VLOOKUP(AD835,[34]Planilha1!$H:$J,3,0)</f>
        <v>Não</v>
      </c>
      <c r="AG835" s="43">
        <f t="shared" si="216"/>
        <v>120000</v>
      </c>
    </row>
    <row r="836" spans="1:33" x14ac:dyDescent="0.3">
      <c r="A836" s="1" t="s">
        <v>837</v>
      </c>
      <c r="B836" s="65" t="s">
        <v>20</v>
      </c>
      <c r="C836" s="78" t="s">
        <v>57</v>
      </c>
      <c r="D836" s="81"/>
      <c r="E836" s="86" t="s">
        <v>817</v>
      </c>
      <c r="F836" s="81" t="s">
        <v>34</v>
      </c>
      <c r="G836" s="65" t="s">
        <v>32</v>
      </c>
      <c r="H836" s="81" t="s">
        <v>816</v>
      </c>
      <c r="I836" s="27">
        <v>15000</v>
      </c>
      <c r="J836" s="27">
        <v>15000</v>
      </c>
      <c r="K836" s="27">
        <v>15000</v>
      </c>
      <c r="L836" s="27">
        <v>15000</v>
      </c>
      <c r="M836" s="27">
        <v>15000</v>
      </c>
      <c r="N836" s="27">
        <v>15000</v>
      </c>
      <c r="O836" s="27">
        <v>15000</v>
      </c>
      <c r="P836" s="27">
        <v>15000</v>
      </c>
      <c r="Q836" s="27">
        <v>15000</v>
      </c>
      <c r="R836" s="27">
        <v>15000</v>
      </c>
      <c r="S836" s="27">
        <v>15000</v>
      </c>
      <c r="T836" s="27">
        <v>15000</v>
      </c>
      <c r="U836" s="27">
        <f t="shared" si="217"/>
        <v>180000</v>
      </c>
      <c r="V836" s="82"/>
      <c r="W836"/>
      <c r="X836" s="87"/>
      <c r="Y836" s="8"/>
      <c r="Z836"/>
      <c r="AA836"/>
      <c r="AB836"/>
      <c r="AD836" s="42" t="str">
        <f>C836&amp;A836</f>
        <v>AUDITORIA/CONSULTORIAAdm</v>
      </c>
      <c r="AE836" s="42" t="str">
        <f>IFERROR(VLOOKUP(C836,[34]Planilha1!$B:$C,2,0),"Não se Aplica")</f>
        <v>Sim</v>
      </c>
      <c r="AF836" s="42" t="str">
        <f>VLOOKUP(AD836,[34]Planilha1!$H:$J,3,0)</f>
        <v>Não</v>
      </c>
      <c r="AG836" s="43">
        <f t="shared" si="216"/>
        <v>180000</v>
      </c>
    </row>
    <row r="837" spans="1:33" x14ac:dyDescent="0.3">
      <c r="A837" s="1" t="s">
        <v>837</v>
      </c>
      <c r="B837" s="65" t="s">
        <v>20</v>
      </c>
      <c r="C837" s="78" t="s">
        <v>46</v>
      </c>
      <c r="D837" s="81"/>
      <c r="E837" s="86" t="s">
        <v>228</v>
      </c>
      <c r="F837" s="81" t="s">
        <v>34</v>
      </c>
      <c r="G837" s="65" t="s">
        <v>35</v>
      </c>
      <c r="H837" s="81"/>
      <c r="I837" s="27">
        <v>31500</v>
      </c>
      <c r="J837" s="27">
        <v>31500</v>
      </c>
      <c r="K837" s="27">
        <v>31500</v>
      </c>
      <c r="L837" s="27">
        <v>31500</v>
      </c>
      <c r="M837" s="27">
        <v>31500</v>
      </c>
      <c r="N837" s="27">
        <v>31500</v>
      </c>
      <c r="O837" s="27">
        <v>31500</v>
      </c>
      <c r="P837" s="27">
        <v>31500</v>
      </c>
      <c r="Q837" s="27">
        <v>31500</v>
      </c>
      <c r="R837" s="27">
        <v>31500</v>
      </c>
      <c r="S837" s="27">
        <v>31500</v>
      </c>
      <c r="T837" s="27">
        <v>31500</v>
      </c>
      <c r="U837" s="27">
        <f t="shared" si="217"/>
        <v>378000</v>
      </c>
      <c r="V837" s="82"/>
      <c r="W837"/>
      <c r="X837" s="87"/>
      <c r="Y837" s="8"/>
      <c r="Z837"/>
      <c r="AA837"/>
      <c r="AB837"/>
      <c r="AD837" s="42" t="str">
        <f>C837&amp;A837</f>
        <v>MANUTEN. SISTEMAS  INFORMATICAAdm</v>
      </c>
      <c r="AE837" s="44" t="s">
        <v>818</v>
      </c>
      <c r="AF837" s="42" t="str">
        <f>VLOOKUP(AD837,[34]Planilha1!$H:$J,3,0)</f>
        <v>Sim</v>
      </c>
      <c r="AG837" s="43">
        <f t="shared" si="216"/>
        <v>343035</v>
      </c>
    </row>
    <row r="838" spans="1:33" x14ac:dyDescent="0.3">
      <c r="A838" s="1" t="s">
        <v>837</v>
      </c>
      <c r="B838" s="65" t="s">
        <v>20</v>
      </c>
      <c r="C838" s="78" t="s">
        <v>755</v>
      </c>
      <c r="D838" s="81" t="s">
        <v>760</v>
      </c>
      <c r="E838" s="86" t="s">
        <v>545</v>
      </c>
      <c r="F838" s="81" t="s">
        <v>21</v>
      </c>
      <c r="G838" s="65" t="s">
        <v>32</v>
      </c>
      <c r="H838" s="81" t="s">
        <v>219</v>
      </c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27">
        <f t="shared" si="217"/>
        <v>0</v>
      </c>
      <c r="V838" s="82"/>
      <c r="W838"/>
      <c r="X838" s="87"/>
      <c r="Y838" s="8"/>
      <c r="Z838"/>
      <c r="AA838"/>
      <c r="AB838"/>
      <c r="AD838" s="42" t="str">
        <f>C838&amp;A838</f>
        <v>BRINDES E DOACOES/INDEDUTIVELAdm</v>
      </c>
      <c r="AE838" s="42" t="str">
        <f>IFERROR(VLOOKUP(C838,[34]Planilha1!$B:$C,2,0),"Não se Aplica")</f>
        <v>Sim</v>
      </c>
      <c r="AF838" s="42" t="str">
        <f>VLOOKUP(AD838,[34]Planilha1!$H:$J,3,0)</f>
        <v>Não</v>
      </c>
      <c r="AG838" s="43">
        <f t="shared" si="216"/>
        <v>0</v>
      </c>
    </row>
    <row r="839" spans="1:33" x14ac:dyDescent="0.3">
      <c r="A839" s="1" t="s">
        <v>837</v>
      </c>
      <c r="B839" s="65" t="s">
        <v>28</v>
      </c>
      <c r="C839" s="78" t="s">
        <v>755</v>
      </c>
      <c r="D839" s="81" t="s">
        <v>760</v>
      </c>
      <c r="E839" s="86" t="s">
        <v>545</v>
      </c>
      <c r="F839" s="81" t="s">
        <v>21</v>
      </c>
      <c r="G839" s="65" t="s">
        <v>32</v>
      </c>
      <c r="H839" s="81" t="s">
        <v>219</v>
      </c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27">
        <f t="shared" si="217"/>
        <v>0</v>
      </c>
      <c r="V839" s="82"/>
      <c r="W839"/>
      <c r="X839" s="87"/>
      <c r="Y839" s="8"/>
      <c r="Z839"/>
      <c r="AA839"/>
      <c r="AB839"/>
      <c r="AD839" s="42" t="str">
        <f>C839&amp;A839</f>
        <v>BRINDES E DOACOES/INDEDUTIVELAdm</v>
      </c>
      <c r="AE839" s="42" t="str">
        <f>IFERROR(VLOOKUP(C839,[34]Planilha1!$B:$C,2,0),"Não se Aplica")</f>
        <v>Sim</v>
      </c>
      <c r="AF839" s="42" t="str">
        <f>VLOOKUP(AD839,[34]Planilha1!$H:$J,3,0)</f>
        <v>Não</v>
      </c>
      <c r="AG839" s="43">
        <f t="shared" si="216"/>
        <v>0</v>
      </c>
    </row>
    <row r="840" spans="1:33" x14ac:dyDescent="0.3">
      <c r="A840" s="1" t="s">
        <v>837</v>
      </c>
      <c r="B840" s="65" t="s">
        <v>20</v>
      </c>
      <c r="C840" s="78" t="s">
        <v>435</v>
      </c>
      <c r="D840" s="81" t="s">
        <v>761</v>
      </c>
      <c r="E840" s="86" t="s">
        <v>545</v>
      </c>
      <c r="F840" s="81" t="s">
        <v>21</v>
      </c>
      <c r="G840" s="65" t="s">
        <v>32</v>
      </c>
      <c r="H840" s="81" t="s">
        <v>219</v>
      </c>
      <c r="I840" s="27">
        <v>89.285714285714292</v>
      </c>
      <c r="J840" s="27">
        <v>89.285714285714292</v>
      </c>
      <c r="K840" s="27">
        <v>89.285714285714292</v>
      </c>
      <c r="L840" s="27">
        <v>89.285714285714292</v>
      </c>
      <c r="M840" s="27">
        <v>89.285714285714292</v>
      </c>
      <c r="N840" s="27">
        <v>89.285714285714292</v>
      </c>
      <c r="O840" s="27">
        <v>89.285714285714292</v>
      </c>
      <c r="P840" s="27">
        <v>89.285714285714292</v>
      </c>
      <c r="Q840" s="27">
        <v>89.285714285714292</v>
      </c>
      <c r="R840" s="27">
        <v>89.285714285714292</v>
      </c>
      <c r="S840" s="27">
        <v>89.285714285714292</v>
      </c>
      <c r="T840" s="27">
        <v>89.285714285714292</v>
      </c>
      <c r="U840" s="27">
        <f t="shared" si="217"/>
        <v>1071.4285714285718</v>
      </c>
      <c r="V840" s="82"/>
      <c r="W840"/>
      <c r="X840" s="87"/>
      <c r="Y840" s="8"/>
      <c r="Z840"/>
      <c r="AA840"/>
      <c r="AB840"/>
      <c r="AD840" s="42" t="str">
        <f>C840&amp;A840</f>
        <v>FEIRAS EVENTOS E CONFRATERNIZACOESAdm</v>
      </c>
      <c r="AE840" s="42" t="str">
        <f>IFERROR(VLOOKUP(C840,[34]Planilha1!$B:$C,2,0),"Não se Aplica")</f>
        <v>Sim</v>
      </c>
      <c r="AF840" s="42" t="str">
        <f>VLOOKUP(AD840,[34]Planilha1!$H:$J,3,0)</f>
        <v>Não</v>
      </c>
      <c r="AG840" s="43">
        <f t="shared" si="216"/>
        <v>1071.4285714285718</v>
      </c>
    </row>
    <row r="841" spans="1:33" x14ac:dyDescent="0.3">
      <c r="A841" s="1" t="s">
        <v>837</v>
      </c>
      <c r="B841" s="65" t="s">
        <v>28</v>
      </c>
      <c r="C841" s="78" t="s">
        <v>435</v>
      </c>
      <c r="D841" s="81" t="s">
        <v>761</v>
      </c>
      <c r="E841" s="86" t="s">
        <v>545</v>
      </c>
      <c r="F841" s="81" t="s">
        <v>21</v>
      </c>
      <c r="G841" s="65" t="s">
        <v>32</v>
      </c>
      <c r="H841" s="81" t="s">
        <v>219</v>
      </c>
      <c r="I841" s="27">
        <v>89.285714285714292</v>
      </c>
      <c r="J841" s="27">
        <v>89.285714285714292</v>
      </c>
      <c r="K841" s="27">
        <v>89.285714285714292</v>
      </c>
      <c r="L841" s="27">
        <v>89.285714285714292</v>
      </c>
      <c r="M841" s="27">
        <v>89.285714285714292</v>
      </c>
      <c r="N841" s="27">
        <v>89.285714285714292</v>
      </c>
      <c r="O841" s="27">
        <v>89.285714285714292</v>
      </c>
      <c r="P841" s="27">
        <v>89.285714285714292</v>
      </c>
      <c r="Q841" s="27">
        <v>89.285714285714292</v>
      </c>
      <c r="R841" s="27">
        <v>89.285714285714292</v>
      </c>
      <c r="S841" s="27">
        <v>89.285714285714292</v>
      </c>
      <c r="T841" s="27">
        <v>89.285714285714292</v>
      </c>
      <c r="U841" s="27">
        <f t="shared" si="217"/>
        <v>1071.4285714285718</v>
      </c>
      <c r="V841" s="82"/>
      <c r="W841"/>
      <c r="X841" s="87"/>
      <c r="Y841" s="8"/>
      <c r="Z841"/>
      <c r="AA841"/>
      <c r="AB841"/>
      <c r="AD841" s="42" t="str">
        <f>C841&amp;A841</f>
        <v>FEIRAS EVENTOS E CONFRATERNIZACOESAdm</v>
      </c>
      <c r="AE841" s="42" t="str">
        <f>IFERROR(VLOOKUP(C841,[34]Planilha1!$B:$C,2,0),"Não se Aplica")</f>
        <v>Sim</v>
      </c>
      <c r="AF841" s="42" t="str">
        <f>VLOOKUP(AD841,[34]Planilha1!$H:$J,3,0)</f>
        <v>Não</v>
      </c>
      <c r="AG841" s="43">
        <f t="shared" si="216"/>
        <v>1071.4285714285718</v>
      </c>
    </row>
    <row r="842" spans="1:33" x14ac:dyDescent="0.3">
      <c r="A842" s="1" t="s">
        <v>837</v>
      </c>
      <c r="B842" s="65" t="s">
        <v>28</v>
      </c>
      <c r="C842" s="78" t="s">
        <v>755</v>
      </c>
      <c r="D842" s="81" t="s">
        <v>762</v>
      </c>
      <c r="E842" s="86" t="s">
        <v>545</v>
      </c>
      <c r="F842" s="81" t="s">
        <v>21</v>
      </c>
      <c r="G842" s="65" t="s">
        <v>32</v>
      </c>
      <c r="H842" s="81" t="s">
        <v>219</v>
      </c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27">
        <f t="shared" si="217"/>
        <v>0</v>
      </c>
      <c r="W842"/>
      <c r="X842" s="87"/>
      <c r="Y842" s="8"/>
      <c r="Z842"/>
      <c r="AA842"/>
      <c r="AB842"/>
      <c r="AD842" s="42" t="str">
        <f>C842&amp;A842</f>
        <v>BRINDES E DOACOES/INDEDUTIVELAdm</v>
      </c>
      <c r="AE842" s="42" t="str">
        <f>IFERROR(VLOOKUP(C842,[34]Planilha1!$B:$C,2,0),"Não se Aplica")</f>
        <v>Sim</v>
      </c>
      <c r="AF842" s="42" t="str">
        <f>VLOOKUP(AD842,[34]Planilha1!$H:$J,3,0)</f>
        <v>Não</v>
      </c>
      <c r="AG842" s="43">
        <f t="shared" si="216"/>
        <v>0</v>
      </c>
    </row>
    <row r="843" spans="1:33" x14ac:dyDescent="0.3">
      <c r="A843" s="1" t="s">
        <v>837</v>
      </c>
      <c r="B843" s="65" t="s">
        <v>20</v>
      </c>
      <c r="C843" s="78" t="s">
        <v>755</v>
      </c>
      <c r="D843" s="81" t="s">
        <v>762</v>
      </c>
      <c r="E843" s="86" t="s">
        <v>545</v>
      </c>
      <c r="F843" s="81" t="s">
        <v>21</v>
      </c>
      <c r="G843" s="65" t="s">
        <v>32</v>
      </c>
      <c r="H843" s="81" t="s">
        <v>219</v>
      </c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27">
        <f t="shared" si="217"/>
        <v>0</v>
      </c>
      <c r="V843" s="82"/>
      <c r="W843"/>
      <c r="X843" s="87"/>
      <c r="Y843" s="8"/>
      <c r="Z843"/>
      <c r="AA843"/>
      <c r="AB843"/>
      <c r="AD843" s="42" t="str">
        <f>C843&amp;A843</f>
        <v>BRINDES E DOACOES/INDEDUTIVELAdm</v>
      </c>
      <c r="AE843" s="42" t="str">
        <f>IFERROR(VLOOKUP(C843,[34]Planilha1!$B:$C,2,0),"Não se Aplica")</f>
        <v>Sim</v>
      </c>
      <c r="AF843" s="42" t="str">
        <f>VLOOKUP(AD843,[34]Planilha1!$H:$J,3,0)</f>
        <v>Não</v>
      </c>
      <c r="AG843" s="43">
        <f t="shared" si="216"/>
        <v>0</v>
      </c>
    </row>
    <row r="844" spans="1:33" x14ac:dyDescent="0.3">
      <c r="A844" s="1" t="s">
        <v>837</v>
      </c>
      <c r="B844" s="65" t="s">
        <v>20</v>
      </c>
      <c r="C844" s="78" t="s">
        <v>57</v>
      </c>
      <c r="D844" s="81" t="s">
        <v>771</v>
      </c>
      <c r="E844" s="86" t="s">
        <v>545</v>
      </c>
      <c r="F844" s="81" t="s">
        <v>21</v>
      </c>
      <c r="G844" s="65" t="s">
        <v>32</v>
      </c>
      <c r="H844" s="81" t="s">
        <v>219</v>
      </c>
      <c r="I844" s="27">
        <v>500</v>
      </c>
      <c r="J844" s="27">
        <v>500</v>
      </c>
      <c r="K844" s="27">
        <v>500</v>
      </c>
      <c r="L844" s="27">
        <v>500</v>
      </c>
      <c r="M844" s="27">
        <v>500</v>
      </c>
      <c r="N844" s="27">
        <v>500</v>
      </c>
      <c r="O844" s="27">
        <v>500</v>
      </c>
      <c r="P844" s="27">
        <v>500</v>
      </c>
      <c r="Q844" s="27">
        <v>500</v>
      </c>
      <c r="R844" s="27">
        <v>500</v>
      </c>
      <c r="S844" s="27">
        <v>500</v>
      </c>
      <c r="T844" s="27">
        <v>500</v>
      </c>
      <c r="U844" s="27">
        <f t="shared" si="217"/>
        <v>6000</v>
      </c>
      <c r="V844" s="82"/>
      <c r="W844"/>
      <c r="X844" s="87"/>
      <c r="Y844" s="8"/>
      <c r="Z844"/>
      <c r="AA844"/>
      <c r="AB844"/>
      <c r="AD844" s="42" t="str">
        <f>C844&amp;A844</f>
        <v>AUDITORIA/CONSULTORIAAdm</v>
      </c>
      <c r="AE844" s="42" t="str">
        <f>IFERROR(VLOOKUP(C844,[34]Planilha1!$B:$C,2,0),"Não se Aplica")</f>
        <v>Sim</v>
      </c>
      <c r="AF844" s="42" t="str">
        <f>VLOOKUP(AD844,[34]Planilha1!$H:$J,3,0)</f>
        <v>Não</v>
      </c>
      <c r="AG844" s="43">
        <f t="shared" si="216"/>
        <v>6000</v>
      </c>
    </row>
    <row r="845" spans="1:33" x14ac:dyDescent="0.3">
      <c r="A845" s="1" t="s">
        <v>837</v>
      </c>
      <c r="B845" s="65" t="s">
        <v>20</v>
      </c>
      <c r="C845" s="78" t="s">
        <v>498</v>
      </c>
      <c r="D845" s="81" t="s">
        <v>773</v>
      </c>
      <c r="E845" s="86" t="s">
        <v>545</v>
      </c>
      <c r="F845" s="81" t="s">
        <v>21</v>
      </c>
      <c r="G845" s="65" t="s">
        <v>32</v>
      </c>
      <c r="H845" s="81" t="s">
        <v>219</v>
      </c>
      <c r="I845" s="27"/>
      <c r="J845" s="27"/>
      <c r="K845" s="27"/>
      <c r="L845" s="27">
        <v>1000</v>
      </c>
      <c r="M845" s="27"/>
      <c r="N845" s="27"/>
      <c r="O845" s="27"/>
      <c r="P845" s="27"/>
      <c r="Q845" s="27"/>
      <c r="R845" s="27"/>
      <c r="S845" s="27"/>
      <c r="T845" s="27"/>
      <c r="U845" s="27">
        <f t="shared" si="217"/>
        <v>1000</v>
      </c>
      <c r="V845" s="82"/>
      <c r="W845"/>
      <c r="X845" s="87"/>
      <c r="Y845" s="8"/>
      <c r="Z845"/>
      <c r="AA845"/>
      <c r="AB845"/>
      <c r="AD845" s="42" t="str">
        <f>C845&amp;A845</f>
        <v>BENS DE PEQUENO VALORAdm</v>
      </c>
      <c r="AE845" s="42" t="str">
        <f>IFERROR(VLOOKUP(C845,[34]Planilha1!$B:$C,2,0),"Não se Aplica")</f>
        <v>Sim</v>
      </c>
      <c r="AF845" s="42" t="str">
        <f>VLOOKUP(AD845,[34]Planilha1!$H:$J,3,0)</f>
        <v>Não</v>
      </c>
      <c r="AG845" s="43">
        <f t="shared" si="216"/>
        <v>1000</v>
      </c>
    </row>
    <row r="846" spans="1:33" x14ac:dyDescent="0.3">
      <c r="A846" s="1" t="s">
        <v>836</v>
      </c>
      <c r="B846" s="65" t="s">
        <v>20</v>
      </c>
      <c r="C846" s="78" t="s">
        <v>496</v>
      </c>
      <c r="D846" s="101" t="s">
        <v>819</v>
      </c>
      <c r="E846" s="81" t="s">
        <v>496</v>
      </c>
      <c r="F846" s="81" t="s">
        <v>252</v>
      </c>
      <c r="G846" s="65" t="s">
        <v>32</v>
      </c>
      <c r="H846" s="102" t="s">
        <v>402</v>
      </c>
      <c r="I846" s="27">
        <v>80</v>
      </c>
      <c r="J846" s="27">
        <v>80</v>
      </c>
      <c r="K846" s="27">
        <v>80</v>
      </c>
      <c r="L846" s="27">
        <v>80</v>
      </c>
      <c r="M846" s="27">
        <v>80</v>
      </c>
      <c r="N846" s="27">
        <v>80</v>
      </c>
      <c r="O846" s="27">
        <v>80</v>
      </c>
      <c r="P846" s="27">
        <v>80</v>
      </c>
      <c r="Q846" s="27">
        <v>80</v>
      </c>
      <c r="R846" s="27">
        <v>80</v>
      </c>
      <c r="S846" s="27">
        <v>80</v>
      </c>
      <c r="T846" s="27">
        <v>80</v>
      </c>
      <c r="U846" s="27">
        <f t="shared" si="217"/>
        <v>960</v>
      </c>
      <c r="V846" s="82"/>
      <c r="W846"/>
      <c r="X846" s="87"/>
      <c r="Y846" s="8"/>
      <c r="Z846"/>
      <c r="AA846"/>
      <c r="AB846"/>
      <c r="AD846" s="42" t="str">
        <f>C846&amp;A846</f>
        <v>VIAGENSOper</v>
      </c>
      <c r="AE846" s="42" t="str">
        <f>IFERROR(VLOOKUP(C846,[34]Planilha1!$B:$C,2,0),"Não se Aplica")</f>
        <v>Sim</v>
      </c>
      <c r="AF846" s="42" t="str">
        <f>VLOOKUP(AD846,[34]Planilha1!$H:$J,3,0)</f>
        <v>Não</v>
      </c>
      <c r="AG846" s="43">
        <f t="shared" si="216"/>
        <v>960</v>
      </c>
    </row>
    <row r="847" spans="1:33" x14ac:dyDescent="0.3">
      <c r="A847" s="1" t="s">
        <v>836</v>
      </c>
      <c r="B847" s="65" t="s">
        <v>28</v>
      </c>
      <c r="C847" s="78" t="s">
        <v>496</v>
      </c>
      <c r="D847" s="101" t="s">
        <v>819</v>
      </c>
      <c r="E847" s="81" t="s">
        <v>496</v>
      </c>
      <c r="F847" s="81" t="s">
        <v>252</v>
      </c>
      <c r="G847" s="65" t="s">
        <v>32</v>
      </c>
      <c r="H847" s="102" t="s">
        <v>402</v>
      </c>
      <c r="I847" s="27">
        <v>80</v>
      </c>
      <c r="J847" s="27">
        <v>80</v>
      </c>
      <c r="K847" s="27">
        <v>80</v>
      </c>
      <c r="L847" s="27">
        <v>80</v>
      </c>
      <c r="M847" s="27">
        <v>80</v>
      </c>
      <c r="N847" s="27">
        <v>80</v>
      </c>
      <c r="O847" s="27">
        <v>80</v>
      </c>
      <c r="P847" s="27">
        <v>80</v>
      </c>
      <c r="Q847" s="27">
        <v>80</v>
      </c>
      <c r="R847" s="27">
        <v>80</v>
      </c>
      <c r="S847" s="27">
        <v>80</v>
      </c>
      <c r="T847" s="27">
        <v>80</v>
      </c>
      <c r="U847" s="27">
        <f t="shared" si="217"/>
        <v>960</v>
      </c>
      <c r="V847" s="82"/>
      <c r="W847"/>
      <c r="X847" s="87"/>
      <c r="Y847" s="8"/>
      <c r="Z847"/>
      <c r="AA847"/>
      <c r="AB847"/>
      <c r="AD847" s="42" t="str">
        <f>C847&amp;A847</f>
        <v>VIAGENSOper</v>
      </c>
      <c r="AE847" s="42" t="str">
        <f>IFERROR(VLOOKUP(C847,[34]Planilha1!$B:$C,2,0),"Não se Aplica")</f>
        <v>Sim</v>
      </c>
      <c r="AF847" s="42" t="str">
        <f>VLOOKUP(AD847,[34]Planilha1!$H:$J,3,0)</f>
        <v>Não</v>
      </c>
      <c r="AG847" s="43">
        <f t="shared" si="216"/>
        <v>960</v>
      </c>
    </row>
    <row r="848" spans="1:33" x14ac:dyDescent="0.3">
      <c r="A848" s="1" t="s">
        <v>836</v>
      </c>
      <c r="B848" s="65" t="s">
        <v>20</v>
      </c>
      <c r="C848" s="78" t="s">
        <v>490</v>
      </c>
      <c r="D848" s="81" t="s">
        <v>632</v>
      </c>
      <c r="E848" s="81" t="s">
        <v>820</v>
      </c>
      <c r="F848" s="81" t="s">
        <v>252</v>
      </c>
      <c r="G848" s="65" t="s">
        <v>32</v>
      </c>
      <c r="H848" s="102" t="s">
        <v>402</v>
      </c>
      <c r="I848" s="27">
        <v>760</v>
      </c>
      <c r="J848" s="27">
        <v>760</v>
      </c>
      <c r="K848" s="27">
        <v>760</v>
      </c>
      <c r="L848" s="27">
        <v>760</v>
      </c>
      <c r="M848" s="27">
        <v>760</v>
      </c>
      <c r="N848" s="27">
        <v>760</v>
      </c>
      <c r="O848" s="27">
        <v>760</v>
      </c>
      <c r="P848" s="27">
        <v>760</v>
      </c>
      <c r="Q848" s="27">
        <v>760</v>
      </c>
      <c r="R848" s="27">
        <v>760</v>
      </c>
      <c r="S848" s="27">
        <v>760</v>
      </c>
      <c r="T848" s="27">
        <v>760</v>
      </c>
      <c r="U848" s="27">
        <f t="shared" si="217"/>
        <v>9120</v>
      </c>
      <c r="V848" s="82"/>
      <c r="W848"/>
      <c r="X848" s="87"/>
      <c r="Y848" s="8"/>
      <c r="Z848"/>
      <c r="AA848"/>
      <c r="AB848"/>
      <c r="AD848" s="42" t="str">
        <f>C848&amp;A848</f>
        <v>CONDUCAO E TRANSPORTEOper</v>
      </c>
      <c r="AE848" s="42" t="str">
        <f>IFERROR(VLOOKUP(C848,[34]Planilha1!$B:$C,2,0),"Não se Aplica")</f>
        <v>Sim</v>
      </c>
      <c r="AF848" s="42" t="str">
        <f>VLOOKUP(AD848,[34]Planilha1!$H:$J,3,0)</f>
        <v>Não</v>
      </c>
      <c r="AG848" s="43">
        <f t="shared" si="216"/>
        <v>9120</v>
      </c>
    </row>
    <row r="849" spans="1:33" x14ac:dyDescent="0.3">
      <c r="A849" s="1" t="s">
        <v>836</v>
      </c>
      <c r="B849" s="65" t="s">
        <v>28</v>
      </c>
      <c r="C849" s="78" t="s">
        <v>490</v>
      </c>
      <c r="D849" s="81" t="s">
        <v>788</v>
      </c>
      <c r="E849" s="101" t="s">
        <v>505</v>
      </c>
      <c r="F849" s="81" t="s">
        <v>252</v>
      </c>
      <c r="G849" s="65" t="s">
        <v>32</v>
      </c>
      <c r="H849" s="102" t="s">
        <v>402</v>
      </c>
      <c r="I849" s="27">
        <v>63</v>
      </c>
      <c r="J849" s="27">
        <v>63</v>
      </c>
      <c r="K849" s="27">
        <v>63</v>
      </c>
      <c r="L849" s="27">
        <v>63</v>
      </c>
      <c r="M849" s="27">
        <v>63</v>
      </c>
      <c r="N849" s="27">
        <v>63</v>
      </c>
      <c r="O849" s="27">
        <v>63</v>
      </c>
      <c r="P849" s="27">
        <v>63</v>
      </c>
      <c r="Q849" s="27">
        <v>63</v>
      </c>
      <c r="R849" s="27">
        <v>63</v>
      </c>
      <c r="S849" s="27">
        <v>63</v>
      </c>
      <c r="T849" s="27">
        <v>63</v>
      </c>
      <c r="U849" s="27">
        <f t="shared" si="217"/>
        <v>756</v>
      </c>
      <c r="V849" s="82"/>
      <c r="W849"/>
      <c r="X849" s="87"/>
      <c r="Y849" s="8"/>
      <c r="Z849"/>
      <c r="AA849"/>
      <c r="AB849"/>
      <c r="AD849" s="42" t="str">
        <f>C849&amp;A849</f>
        <v>CONDUCAO E TRANSPORTEOper</v>
      </c>
      <c r="AE849" s="42" t="str">
        <f>IFERROR(VLOOKUP(C849,[34]Planilha1!$B:$C,2,0),"Não se Aplica")</f>
        <v>Sim</v>
      </c>
      <c r="AF849" s="42" t="str">
        <f>VLOOKUP(AD849,[34]Planilha1!$H:$J,3,0)</f>
        <v>Não</v>
      </c>
      <c r="AG849" s="43">
        <f t="shared" si="216"/>
        <v>756</v>
      </c>
    </row>
    <row r="850" spans="1:33" x14ac:dyDescent="0.3">
      <c r="A850" s="1" t="s">
        <v>837</v>
      </c>
      <c r="B850" s="65" t="s">
        <v>20</v>
      </c>
      <c r="C850" s="78" t="s">
        <v>490</v>
      </c>
      <c r="D850" s="81" t="s">
        <v>788</v>
      </c>
      <c r="E850" s="101" t="s">
        <v>505</v>
      </c>
      <c r="F850" s="81" t="s">
        <v>34</v>
      </c>
      <c r="G850" s="65" t="s">
        <v>32</v>
      </c>
      <c r="H850" s="81" t="s">
        <v>411</v>
      </c>
      <c r="I850" s="27">
        <v>170</v>
      </c>
      <c r="J850" s="27">
        <v>170</v>
      </c>
      <c r="K850" s="27">
        <v>170</v>
      </c>
      <c r="L850" s="27">
        <v>170</v>
      </c>
      <c r="M850" s="27">
        <v>170</v>
      </c>
      <c r="N850" s="27">
        <v>170</v>
      </c>
      <c r="O850" s="27">
        <v>170</v>
      </c>
      <c r="P850" s="27">
        <v>170</v>
      </c>
      <c r="Q850" s="27">
        <v>170</v>
      </c>
      <c r="R850" s="27">
        <v>170</v>
      </c>
      <c r="S850" s="27">
        <v>170</v>
      </c>
      <c r="T850" s="27">
        <v>170</v>
      </c>
      <c r="U850" s="27">
        <f t="shared" si="217"/>
        <v>2040</v>
      </c>
      <c r="V850" s="82"/>
      <c r="W850"/>
      <c r="X850" s="87"/>
      <c r="Y850" s="8"/>
      <c r="Z850"/>
      <c r="AA850"/>
      <c r="AB850"/>
      <c r="AD850" s="42" t="str">
        <f>C850&amp;A850</f>
        <v>CONDUCAO E TRANSPORTEAdm</v>
      </c>
      <c r="AE850" s="42" t="str">
        <f>IFERROR(VLOOKUP(C850,[34]Planilha1!$B:$C,2,0),"Não se Aplica")</f>
        <v>Sim</v>
      </c>
      <c r="AF850" s="42" t="str">
        <f>VLOOKUP(AD850,[34]Planilha1!$H:$J,3,0)</f>
        <v>Não</v>
      </c>
      <c r="AG850" s="43">
        <f t="shared" si="216"/>
        <v>2040</v>
      </c>
    </row>
    <row r="851" spans="1:33" x14ac:dyDescent="0.3">
      <c r="A851" s="1" t="s">
        <v>837</v>
      </c>
      <c r="B851" s="65" t="s">
        <v>28</v>
      </c>
      <c r="C851" s="78" t="s">
        <v>490</v>
      </c>
      <c r="D851" s="81" t="s">
        <v>788</v>
      </c>
      <c r="E851" s="101" t="s">
        <v>505</v>
      </c>
      <c r="F851" s="81" t="s">
        <v>34</v>
      </c>
      <c r="G851" s="65" t="s">
        <v>32</v>
      </c>
      <c r="H851" s="81" t="s">
        <v>411</v>
      </c>
      <c r="I851" s="27">
        <v>55</v>
      </c>
      <c r="J851" s="27">
        <v>55</v>
      </c>
      <c r="K851" s="27">
        <v>55</v>
      </c>
      <c r="L851" s="27">
        <v>55</v>
      </c>
      <c r="M851" s="27">
        <v>55</v>
      </c>
      <c r="N851" s="27">
        <v>55</v>
      </c>
      <c r="O851" s="27">
        <v>55</v>
      </c>
      <c r="P851" s="27">
        <v>55</v>
      </c>
      <c r="Q851" s="27">
        <v>55</v>
      </c>
      <c r="R851" s="27">
        <v>55</v>
      </c>
      <c r="S851" s="27">
        <v>55</v>
      </c>
      <c r="T851" s="27">
        <v>55</v>
      </c>
      <c r="U851" s="27">
        <f t="shared" si="217"/>
        <v>660</v>
      </c>
      <c r="V851" s="82"/>
      <c r="W851"/>
      <c r="X851" s="87"/>
      <c r="Y851" s="8"/>
      <c r="Z851"/>
      <c r="AA851"/>
      <c r="AB851"/>
      <c r="AD851" s="42" t="str">
        <f>C851&amp;A851</f>
        <v>CONDUCAO E TRANSPORTEAdm</v>
      </c>
      <c r="AE851" s="42" t="str">
        <f>IFERROR(VLOOKUP(C851,[34]Planilha1!$B:$C,2,0),"Não se Aplica")</f>
        <v>Sim</v>
      </c>
      <c r="AF851" s="42" t="str">
        <f>VLOOKUP(AD851,[34]Planilha1!$H:$J,3,0)</f>
        <v>Não</v>
      </c>
      <c r="AG851" s="43">
        <f t="shared" si="216"/>
        <v>660</v>
      </c>
    </row>
    <row r="852" spans="1:33" x14ac:dyDescent="0.3">
      <c r="A852" s="1" t="s">
        <v>837</v>
      </c>
      <c r="B852" s="65" t="s">
        <v>28</v>
      </c>
      <c r="C852" s="78" t="s">
        <v>498</v>
      </c>
      <c r="D852" s="81" t="s">
        <v>821</v>
      </c>
      <c r="E852" s="101" t="s">
        <v>564</v>
      </c>
      <c r="F852" s="81" t="s">
        <v>253</v>
      </c>
      <c r="G852" s="65" t="s">
        <v>32</v>
      </c>
      <c r="H852" s="81" t="s">
        <v>507</v>
      </c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>
        <f t="shared" si="217"/>
        <v>0</v>
      </c>
      <c r="V852" s="82"/>
      <c r="W852"/>
      <c r="X852" s="87"/>
      <c r="Y852" s="8"/>
      <c r="Z852"/>
      <c r="AA852"/>
      <c r="AB852"/>
      <c r="AD852" s="42" t="str">
        <f>C852&amp;A852</f>
        <v>BENS DE PEQUENO VALORAdm</v>
      </c>
      <c r="AE852" s="42" t="str">
        <f>IFERROR(VLOOKUP(C852,[34]Planilha1!$B:$C,2,0),"Não se Aplica")</f>
        <v>Sim</v>
      </c>
      <c r="AF852" s="42" t="str">
        <f>VLOOKUP(AD852,[34]Planilha1!$H:$J,3,0)</f>
        <v>Não</v>
      </c>
      <c r="AG852" s="43">
        <f t="shared" si="216"/>
        <v>0</v>
      </c>
    </row>
    <row r="853" spans="1:33" x14ac:dyDescent="0.3">
      <c r="A853" s="1" t="s">
        <v>837</v>
      </c>
      <c r="B853" s="65" t="s">
        <v>20</v>
      </c>
      <c r="C853" s="78" t="s">
        <v>490</v>
      </c>
      <c r="D853" s="81" t="s">
        <v>632</v>
      </c>
      <c r="E853" s="101" t="s">
        <v>822</v>
      </c>
      <c r="F853" s="81" t="s">
        <v>34</v>
      </c>
      <c r="G853" s="65" t="s">
        <v>32</v>
      </c>
      <c r="H853" s="81" t="s">
        <v>411</v>
      </c>
      <c r="I853" s="27">
        <v>1250</v>
      </c>
      <c r="J853" s="27">
        <v>1250</v>
      </c>
      <c r="K853" s="27">
        <v>1250</v>
      </c>
      <c r="L853" s="27">
        <v>1250</v>
      </c>
      <c r="M853" s="27">
        <v>1250</v>
      </c>
      <c r="N853" s="27">
        <v>1250</v>
      </c>
      <c r="O853" s="27">
        <v>1250</v>
      </c>
      <c r="P853" s="27">
        <v>1250</v>
      </c>
      <c r="Q853" s="27">
        <v>1250</v>
      </c>
      <c r="R853" s="27">
        <v>1250</v>
      </c>
      <c r="S853" s="27">
        <v>1250</v>
      </c>
      <c r="T853" s="27">
        <v>1250</v>
      </c>
      <c r="U853" s="27">
        <f t="shared" si="217"/>
        <v>15000</v>
      </c>
      <c r="V853" s="82"/>
      <c r="W853"/>
      <c r="X853" s="87"/>
      <c r="Y853" s="8"/>
      <c r="Z853"/>
      <c r="AA853"/>
      <c r="AB853"/>
      <c r="AD853" s="42" t="str">
        <f>C853&amp;A853</f>
        <v>CONDUCAO E TRANSPORTEAdm</v>
      </c>
      <c r="AE853" s="42" t="str">
        <f>IFERROR(VLOOKUP(C853,[34]Planilha1!$B:$C,2,0),"Não se Aplica")</f>
        <v>Sim</v>
      </c>
      <c r="AF853" s="42" t="str">
        <f>VLOOKUP(AD853,[34]Planilha1!$H:$J,3,0)</f>
        <v>Não</v>
      </c>
      <c r="AG853" s="43">
        <f t="shared" si="216"/>
        <v>15000</v>
      </c>
    </row>
    <row r="854" spans="1:33" x14ac:dyDescent="0.3">
      <c r="A854" s="1" t="s">
        <v>837</v>
      </c>
      <c r="B854" s="65" t="s">
        <v>20</v>
      </c>
      <c r="C854" s="78" t="s">
        <v>492</v>
      </c>
      <c r="D854" s="81" t="s">
        <v>632</v>
      </c>
      <c r="E854" s="101" t="s">
        <v>822</v>
      </c>
      <c r="F854" s="81" t="s">
        <v>34</v>
      </c>
      <c r="G854" s="65" t="s">
        <v>32</v>
      </c>
      <c r="H854" s="81" t="s">
        <v>411</v>
      </c>
      <c r="I854" s="27">
        <v>2000</v>
      </c>
      <c r="J854" s="27">
        <v>2000</v>
      </c>
      <c r="K854" s="27">
        <v>2000</v>
      </c>
      <c r="L854" s="27">
        <v>2000</v>
      </c>
      <c r="M854" s="27">
        <v>2000</v>
      </c>
      <c r="N854" s="27">
        <v>2000</v>
      </c>
      <c r="O854" s="27">
        <v>2000</v>
      </c>
      <c r="P854" s="27">
        <v>2000</v>
      </c>
      <c r="Q854" s="27">
        <v>2000</v>
      </c>
      <c r="R854" s="27">
        <v>2000</v>
      </c>
      <c r="S854" s="27">
        <v>2000</v>
      </c>
      <c r="T854" s="27">
        <v>2000</v>
      </c>
      <c r="U854" s="27">
        <f t="shared" si="217"/>
        <v>24000</v>
      </c>
      <c r="V854" s="82"/>
      <c r="W854"/>
      <c r="X854" s="87"/>
      <c r="Y854" s="8"/>
      <c r="Z854"/>
      <c r="AA854"/>
      <c r="AB854"/>
      <c r="AD854" s="42" t="str">
        <f>C854&amp;A854</f>
        <v>COPA E REFEICOES/ESTADIASAdm</v>
      </c>
      <c r="AE854" s="42" t="str">
        <f>IFERROR(VLOOKUP(C854,[34]Planilha1!$B:$C,2,0),"Não se Aplica")</f>
        <v>Sim</v>
      </c>
      <c r="AF854" s="42" t="str">
        <f>VLOOKUP(AD854,[34]Planilha1!$H:$J,3,0)</f>
        <v>Não</v>
      </c>
      <c r="AG854" s="43">
        <f t="shared" si="216"/>
        <v>24000</v>
      </c>
    </row>
    <row r="855" spans="1:33" x14ac:dyDescent="0.3">
      <c r="A855" s="1" t="s">
        <v>837</v>
      </c>
      <c r="B855" s="65" t="s">
        <v>20</v>
      </c>
      <c r="C855" s="78" t="s">
        <v>450</v>
      </c>
      <c r="D855" s="81" t="s">
        <v>632</v>
      </c>
      <c r="E855" s="101" t="s">
        <v>822</v>
      </c>
      <c r="F855" s="81" t="s">
        <v>34</v>
      </c>
      <c r="G855" s="65" t="s">
        <v>32</v>
      </c>
      <c r="H855" s="81" t="s">
        <v>411</v>
      </c>
      <c r="I855" s="27">
        <v>95</v>
      </c>
      <c r="J855" s="27">
        <v>95</v>
      </c>
      <c r="K855" s="27">
        <v>95</v>
      </c>
      <c r="L855" s="27">
        <v>95</v>
      </c>
      <c r="M855" s="27">
        <v>95</v>
      </c>
      <c r="N855" s="27">
        <v>95</v>
      </c>
      <c r="O855" s="27">
        <v>95</v>
      </c>
      <c r="P855" s="27">
        <v>95</v>
      </c>
      <c r="Q855" s="27">
        <v>95</v>
      </c>
      <c r="R855" s="27">
        <v>95</v>
      </c>
      <c r="S855" s="27">
        <v>95</v>
      </c>
      <c r="T855" s="27">
        <v>95</v>
      </c>
      <c r="U855" s="27">
        <f t="shared" si="217"/>
        <v>1140</v>
      </c>
      <c r="V855" s="82"/>
      <c r="W855"/>
      <c r="X855" s="87"/>
      <c r="Y855" s="8"/>
      <c r="Z855"/>
      <c r="AA855"/>
      <c r="AB855"/>
      <c r="AD855" s="42" t="str">
        <f>C855&amp;A855</f>
        <v>ESTACIONAMENTOSAdm</v>
      </c>
      <c r="AE855" s="42" t="str">
        <f>IFERROR(VLOOKUP(C855,[34]Planilha1!$B:$C,2,0),"Não se Aplica")</f>
        <v>Não se Aplica</v>
      </c>
      <c r="AF855" s="42" t="str">
        <f>VLOOKUP(AD855,[34]Planilha1!$H:$J,3,0)</f>
        <v>Não</v>
      </c>
      <c r="AG855" s="43">
        <f t="shared" si="216"/>
        <v>1140</v>
      </c>
    </row>
    <row r="856" spans="1:33" x14ac:dyDescent="0.3">
      <c r="A856" s="1" t="s">
        <v>837</v>
      </c>
      <c r="B856" s="65" t="s">
        <v>20</v>
      </c>
      <c r="C856" s="78" t="s">
        <v>490</v>
      </c>
      <c r="D856" s="81" t="s">
        <v>632</v>
      </c>
      <c r="E856" s="101" t="s">
        <v>631</v>
      </c>
      <c r="F856" s="81" t="s">
        <v>236</v>
      </c>
      <c r="G856" s="65" t="s">
        <v>32</v>
      </c>
      <c r="H856" s="81" t="s">
        <v>237</v>
      </c>
      <c r="I856" s="27">
        <v>40</v>
      </c>
      <c r="J856" s="27">
        <v>40</v>
      </c>
      <c r="K856" s="27">
        <v>40</v>
      </c>
      <c r="L856" s="27">
        <v>40</v>
      </c>
      <c r="M856" s="27">
        <v>40</v>
      </c>
      <c r="N856" s="27">
        <v>40</v>
      </c>
      <c r="O856" s="27">
        <v>40</v>
      </c>
      <c r="P856" s="27">
        <v>40</v>
      </c>
      <c r="Q856" s="27">
        <v>40</v>
      </c>
      <c r="R856" s="27">
        <v>40</v>
      </c>
      <c r="S856" s="27">
        <v>40</v>
      </c>
      <c r="T856" s="27">
        <v>40</v>
      </c>
      <c r="U856" s="27">
        <f t="shared" si="217"/>
        <v>480</v>
      </c>
      <c r="V856" s="82"/>
      <c r="W856"/>
      <c r="X856" s="87"/>
      <c r="Y856" s="8"/>
      <c r="Z856"/>
      <c r="AA856"/>
      <c r="AB856"/>
      <c r="AD856" s="42" t="str">
        <f>C856&amp;A856</f>
        <v>CONDUCAO E TRANSPORTEAdm</v>
      </c>
      <c r="AE856" s="42" t="str">
        <f>IFERROR(VLOOKUP(C856,[34]Planilha1!$B:$C,2,0),"Não se Aplica")</f>
        <v>Sim</v>
      </c>
      <c r="AF856" s="42" t="str">
        <f>VLOOKUP(AD856,[34]Planilha1!$H:$J,3,0)</f>
        <v>Não</v>
      </c>
      <c r="AG856" s="43">
        <f t="shared" si="216"/>
        <v>480</v>
      </c>
    </row>
    <row r="857" spans="1:33" x14ac:dyDescent="0.3">
      <c r="A857" s="1" t="s">
        <v>837</v>
      </c>
      <c r="B857" s="65" t="s">
        <v>20</v>
      </c>
      <c r="C857" s="78" t="s">
        <v>490</v>
      </c>
      <c r="D857" s="81" t="s">
        <v>788</v>
      </c>
      <c r="E857" s="101" t="s">
        <v>505</v>
      </c>
      <c r="F857" s="81" t="s">
        <v>236</v>
      </c>
      <c r="G857" s="65" t="s">
        <v>32</v>
      </c>
      <c r="H857" s="81" t="s">
        <v>237</v>
      </c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>
        <f t="shared" si="217"/>
        <v>0</v>
      </c>
      <c r="V857" s="82"/>
      <c r="W857"/>
      <c r="X857" s="87"/>
      <c r="Y857" s="8"/>
      <c r="Z857"/>
      <c r="AA857"/>
      <c r="AB857"/>
      <c r="AD857" s="42" t="str">
        <f>C857&amp;A857</f>
        <v>CONDUCAO E TRANSPORTEAdm</v>
      </c>
      <c r="AE857" s="42" t="str">
        <f>IFERROR(VLOOKUP(C857,[34]Planilha1!$B:$C,2,0),"Não se Aplica")</f>
        <v>Sim</v>
      </c>
      <c r="AF857" s="42" t="str">
        <f>VLOOKUP(AD857,[34]Planilha1!$H:$J,3,0)</f>
        <v>Não</v>
      </c>
      <c r="AG857" s="43">
        <f t="shared" si="216"/>
        <v>0</v>
      </c>
    </row>
    <row r="858" spans="1:33" x14ac:dyDescent="0.3">
      <c r="A858" s="1" t="s">
        <v>837</v>
      </c>
      <c r="B858" s="65" t="s">
        <v>20</v>
      </c>
      <c r="C858" s="78" t="s">
        <v>492</v>
      </c>
      <c r="D858" s="81" t="s">
        <v>632</v>
      </c>
      <c r="E858" s="101" t="s">
        <v>631</v>
      </c>
      <c r="F858" s="81" t="s">
        <v>236</v>
      </c>
      <c r="G858" s="65" t="s">
        <v>32</v>
      </c>
      <c r="H858" s="81" t="s">
        <v>237</v>
      </c>
      <c r="I858" s="27">
        <v>30</v>
      </c>
      <c r="J858" s="27">
        <v>30</v>
      </c>
      <c r="K858" s="27">
        <v>30</v>
      </c>
      <c r="L858" s="27">
        <v>30</v>
      </c>
      <c r="M858" s="27">
        <v>30</v>
      </c>
      <c r="N858" s="27">
        <v>30</v>
      </c>
      <c r="O858" s="27">
        <v>30</v>
      </c>
      <c r="P858" s="27">
        <v>30</v>
      </c>
      <c r="Q858" s="27">
        <v>30</v>
      </c>
      <c r="R858" s="27">
        <v>30</v>
      </c>
      <c r="S858" s="27">
        <v>30</v>
      </c>
      <c r="T858" s="27">
        <v>30</v>
      </c>
      <c r="U858" s="27">
        <f t="shared" si="217"/>
        <v>360</v>
      </c>
      <c r="V858" s="82"/>
      <c r="W858"/>
      <c r="X858" s="87"/>
      <c r="Y858" s="8"/>
      <c r="Z858"/>
      <c r="AA858"/>
      <c r="AB858"/>
      <c r="AD858" s="42" t="str">
        <f>C858&amp;A858</f>
        <v>COPA E REFEICOES/ESTADIASAdm</v>
      </c>
      <c r="AE858" s="42" t="str">
        <f>IFERROR(VLOOKUP(C858,[34]Planilha1!$B:$C,2,0),"Não se Aplica")</f>
        <v>Sim</v>
      </c>
      <c r="AF858" s="42" t="str">
        <f>VLOOKUP(AD858,[34]Planilha1!$H:$J,3,0)</f>
        <v>Não</v>
      </c>
      <c r="AG858" s="43">
        <f t="shared" si="216"/>
        <v>360</v>
      </c>
    </row>
    <row r="859" spans="1:33" x14ac:dyDescent="0.3">
      <c r="A859" s="1" t="s">
        <v>836</v>
      </c>
      <c r="B859" s="65" t="s">
        <v>28</v>
      </c>
      <c r="C859" s="78" t="s">
        <v>490</v>
      </c>
      <c r="D859" s="81" t="s">
        <v>788</v>
      </c>
      <c r="E859" s="101" t="s">
        <v>505</v>
      </c>
      <c r="F859" s="29" t="s">
        <v>122</v>
      </c>
      <c r="G859" s="65" t="s">
        <v>32</v>
      </c>
      <c r="H859" s="81" t="s">
        <v>123</v>
      </c>
      <c r="I859" s="27">
        <v>30</v>
      </c>
      <c r="J859" s="27">
        <v>30</v>
      </c>
      <c r="K859" s="27">
        <v>30</v>
      </c>
      <c r="L859" s="27">
        <v>30</v>
      </c>
      <c r="M859" s="27">
        <v>30</v>
      </c>
      <c r="N859" s="27">
        <v>30</v>
      </c>
      <c r="O859" s="27">
        <v>30</v>
      </c>
      <c r="P859" s="27">
        <v>30</v>
      </c>
      <c r="Q859" s="27">
        <v>30</v>
      </c>
      <c r="R859" s="27">
        <v>30</v>
      </c>
      <c r="S859" s="27">
        <v>30</v>
      </c>
      <c r="T859" s="27">
        <v>30</v>
      </c>
      <c r="U859" s="27">
        <f t="shared" si="217"/>
        <v>360</v>
      </c>
      <c r="V859" s="82"/>
      <c r="W859"/>
      <c r="X859" s="87"/>
      <c r="Y859" s="8"/>
      <c r="Z859"/>
      <c r="AA859"/>
      <c r="AB859"/>
      <c r="AD859" s="42" t="str">
        <f>C859&amp;A859</f>
        <v>CONDUCAO E TRANSPORTEOper</v>
      </c>
      <c r="AE859" s="42" t="str">
        <f>IFERROR(VLOOKUP(C859,[34]Planilha1!$B:$C,2,0),"Não se Aplica")</f>
        <v>Sim</v>
      </c>
      <c r="AF859" s="42" t="str">
        <f>VLOOKUP(AD859,[34]Planilha1!$H:$J,3,0)</f>
        <v>Não</v>
      </c>
      <c r="AG859" s="43">
        <f t="shared" ref="AG859:AG873" si="218">IF(AF859="Sim", U859 * 0.9075, U859)</f>
        <v>360</v>
      </c>
    </row>
    <row r="860" spans="1:33" x14ac:dyDescent="0.3">
      <c r="A860" s="1" t="s">
        <v>836</v>
      </c>
      <c r="B860" s="65" t="s">
        <v>20</v>
      </c>
      <c r="C860" s="78" t="s">
        <v>567</v>
      </c>
      <c r="D860" s="65" t="s">
        <v>823</v>
      </c>
      <c r="E860" s="101"/>
      <c r="F860" s="81" t="s">
        <v>36</v>
      </c>
      <c r="G860" s="65"/>
      <c r="H860" s="81" t="s">
        <v>156</v>
      </c>
      <c r="I860" s="27">
        <f>'[35]Aluguel Imoveis'!P107</f>
        <v>9310.2099999999991</v>
      </c>
      <c r="J860" s="27">
        <f>'[35]Aluguel Imoveis'!Q107</f>
        <v>9310.2099999999991</v>
      </c>
      <c r="K860" s="27">
        <f>'[35]Aluguel Imoveis'!R107</f>
        <v>9310.2099999999991</v>
      </c>
      <c r="L860" s="27">
        <f>'[35]Aluguel Imoveis'!S107</f>
        <v>9310.2099999999991</v>
      </c>
      <c r="M860" s="27">
        <f>'[35]Aluguel Imoveis'!T107</f>
        <v>9310.2099999999991</v>
      </c>
      <c r="N860" s="27">
        <f>'[35]Aluguel Imoveis'!U107</f>
        <v>9310.2099999999991</v>
      </c>
      <c r="O860" s="27">
        <f>'[35]Aluguel Imoveis'!V107</f>
        <v>9310.2099999999991</v>
      </c>
      <c r="P860" s="27">
        <f>'[35]Aluguel Imoveis'!W107</f>
        <v>9310.2099999999991</v>
      </c>
      <c r="Q860" s="27">
        <f>'[35]Aluguel Imoveis'!X107</f>
        <v>9310.2099999999991</v>
      </c>
      <c r="R860" s="27">
        <f>'[35]Aluguel Imoveis'!Y107</f>
        <v>9310.2099999999991</v>
      </c>
      <c r="S860" s="27">
        <f>'[35]Aluguel Imoveis'!Z107</f>
        <v>9310.2099999999991</v>
      </c>
      <c r="T860" s="27">
        <f>'[35]Aluguel Imoveis'!AA107</f>
        <v>9310.2099999999991</v>
      </c>
      <c r="U860" s="27">
        <f t="shared" ref="U860:U878" si="219">SUM(I860:T860)</f>
        <v>111722.51999999996</v>
      </c>
      <c r="V860" s="82"/>
      <c r="W860"/>
      <c r="X860" s="87"/>
      <c r="Y860" s="8"/>
      <c r="Z860"/>
      <c r="AA860"/>
      <c r="AB860"/>
      <c r="AD860" s="42" t="str">
        <f>C860&amp;A860</f>
        <v>AGUAOper</v>
      </c>
      <c r="AE860" s="42" t="str">
        <f>IFERROR(VLOOKUP(C860,[34]Planilha1!$B:$C,2,0),"Não se Aplica")</f>
        <v>Sim</v>
      </c>
      <c r="AF860" s="42" t="str">
        <f>VLOOKUP(AD860,[34]Planilha1!$H:$J,3,0)</f>
        <v>Não</v>
      </c>
      <c r="AG860" s="43">
        <f t="shared" si="218"/>
        <v>111722.51999999996</v>
      </c>
    </row>
    <row r="861" spans="1:33" x14ac:dyDescent="0.3">
      <c r="A861" s="1" t="s">
        <v>836</v>
      </c>
      <c r="B861" s="65" t="s">
        <v>28</v>
      </c>
      <c r="C861" s="78" t="s">
        <v>567</v>
      </c>
      <c r="D861" s="65" t="s">
        <v>823</v>
      </c>
      <c r="E861" s="101"/>
      <c r="F861" s="81" t="s">
        <v>37</v>
      </c>
      <c r="G861" s="65"/>
      <c r="H861" s="81" t="s">
        <v>184</v>
      </c>
      <c r="I861" s="27">
        <f>'[35]Aluguel Imoveis'!P108</f>
        <v>7817.78</v>
      </c>
      <c r="J861" s="27">
        <f>'[35]Aluguel Imoveis'!Q108</f>
        <v>7817.78</v>
      </c>
      <c r="K861" s="27">
        <f>'[35]Aluguel Imoveis'!R108</f>
        <v>7817.78</v>
      </c>
      <c r="L861" s="27">
        <f>'[35]Aluguel Imoveis'!S108</f>
        <v>7817.78</v>
      </c>
      <c r="M861" s="27">
        <f>'[35]Aluguel Imoveis'!T108</f>
        <v>7817.78</v>
      </c>
      <c r="N861" s="27">
        <f>'[35]Aluguel Imoveis'!U108</f>
        <v>7817.78</v>
      </c>
      <c r="O861" s="27">
        <f>'[35]Aluguel Imoveis'!V108</f>
        <v>7817.78</v>
      </c>
      <c r="P861" s="27">
        <f>'[35]Aluguel Imoveis'!W108</f>
        <v>7817.78</v>
      </c>
      <c r="Q861" s="27">
        <f>'[35]Aluguel Imoveis'!X108</f>
        <v>7817.78</v>
      </c>
      <c r="R861" s="27">
        <f>'[35]Aluguel Imoveis'!Y108</f>
        <v>7817.78</v>
      </c>
      <c r="S861" s="27">
        <f>'[35]Aluguel Imoveis'!Z108</f>
        <v>7817.78</v>
      </c>
      <c r="T861" s="27">
        <f>'[35]Aluguel Imoveis'!AA108</f>
        <v>7817.78</v>
      </c>
      <c r="U861" s="27">
        <f t="shared" si="219"/>
        <v>93813.36</v>
      </c>
      <c r="V861" s="82"/>
      <c r="W861"/>
      <c r="X861" s="87"/>
      <c r="Y861" s="8"/>
      <c r="Z861"/>
      <c r="AA861"/>
      <c r="AB861"/>
      <c r="AD861" s="42" t="str">
        <f>C861&amp;A861</f>
        <v>AGUAOper</v>
      </c>
      <c r="AE861" s="42" t="str">
        <f>IFERROR(VLOOKUP(C861,[34]Planilha1!$B:$C,2,0),"Não se Aplica")</f>
        <v>Sim</v>
      </c>
      <c r="AF861" s="42" t="str">
        <f>VLOOKUP(AD861,[34]Planilha1!$H:$J,3,0)</f>
        <v>Não</v>
      </c>
      <c r="AG861" s="43">
        <f t="shared" si="218"/>
        <v>93813.36</v>
      </c>
    </row>
    <row r="862" spans="1:33" x14ac:dyDescent="0.3">
      <c r="A862" s="1" t="s">
        <v>836</v>
      </c>
      <c r="B862" s="65" t="s">
        <v>28</v>
      </c>
      <c r="C862" s="78" t="s">
        <v>496</v>
      </c>
      <c r="D862" s="91" t="s">
        <v>631</v>
      </c>
      <c r="E862" s="81" t="s">
        <v>632</v>
      </c>
      <c r="F862" s="81" t="s">
        <v>63</v>
      </c>
      <c r="G862" s="65" t="s">
        <v>32</v>
      </c>
      <c r="H862" s="81" t="s">
        <v>64</v>
      </c>
      <c r="I862" s="27">
        <v>500</v>
      </c>
      <c r="J862" s="27">
        <v>500</v>
      </c>
      <c r="K862" s="27">
        <v>500</v>
      </c>
      <c r="L862" s="27">
        <v>500</v>
      </c>
      <c r="M862" s="27">
        <v>500</v>
      </c>
      <c r="N862" s="27">
        <v>500</v>
      </c>
      <c r="O862" s="27">
        <v>500</v>
      </c>
      <c r="P862" s="27">
        <v>500</v>
      </c>
      <c r="Q862" s="27">
        <v>500</v>
      </c>
      <c r="R862" s="27">
        <v>500</v>
      </c>
      <c r="S862" s="27">
        <v>500</v>
      </c>
      <c r="T862" s="27">
        <v>500</v>
      </c>
      <c r="U862" s="27">
        <f t="shared" si="219"/>
        <v>6000</v>
      </c>
      <c r="V862" s="82"/>
      <c r="W862"/>
      <c r="X862" s="87"/>
      <c r="Y862" s="8"/>
      <c r="Z862"/>
      <c r="AA862"/>
      <c r="AB862"/>
      <c r="AD862" s="42" t="str">
        <f>C862&amp;A862</f>
        <v>VIAGENSOper</v>
      </c>
      <c r="AE862" s="42" t="str">
        <f>IFERROR(VLOOKUP(C862,[34]Planilha1!$B:$C,2,0),"Não se Aplica")</f>
        <v>Sim</v>
      </c>
      <c r="AF862" s="42" t="str">
        <f>VLOOKUP(AD862,[34]Planilha1!$H:$J,3,0)</f>
        <v>Não</v>
      </c>
      <c r="AG862" s="43">
        <f t="shared" si="218"/>
        <v>6000</v>
      </c>
    </row>
    <row r="863" spans="1:33" x14ac:dyDescent="0.3">
      <c r="A863" s="1" t="s">
        <v>836</v>
      </c>
      <c r="B863" s="65" t="s">
        <v>28</v>
      </c>
      <c r="C863" s="78" t="s">
        <v>490</v>
      </c>
      <c r="D863" s="81" t="s">
        <v>788</v>
      </c>
      <c r="E863" s="101" t="s">
        <v>505</v>
      </c>
      <c r="F863" s="81" t="s">
        <v>63</v>
      </c>
      <c r="G863" s="65" t="s">
        <v>32</v>
      </c>
      <c r="H863" s="81" t="s">
        <v>64</v>
      </c>
      <c r="I863" s="27">
        <v>500</v>
      </c>
      <c r="J863" s="27">
        <v>500</v>
      </c>
      <c r="K863" s="27">
        <v>500</v>
      </c>
      <c r="L863" s="27">
        <v>500</v>
      </c>
      <c r="M863" s="27">
        <v>500</v>
      </c>
      <c r="N863" s="27">
        <v>500</v>
      </c>
      <c r="O863" s="27">
        <v>500</v>
      </c>
      <c r="P863" s="27">
        <v>500</v>
      </c>
      <c r="Q863" s="27">
        <v>500</v>
      </c>
      <c r="R863" s="27">
        <v>500</v>
      </c>
      <c r="S863" s="27">
        <v>500</v>
      </c>
      <c r="T863" s="27">
        <v>500</v>
      </c>
      <c r="U863" s="27">
        <f t="shared" si="219"/>
        <v>6000</v>
      </c>
      <c r="V863" s="82"/>
      <c r="W863"/>
      <c r="X863" s="87"/>
      <c r="Y863" s="8"/>
      <c r="Z863"/>
      <c r="AA863"/>
      <c r="AB863"/>
      <c r="AD863" s="42" t="str">
        <f>C863&amp;A863</f>
        <v>CONDUCAO E TRANSPORTEOper</v>
      </c>
      <c r="AE863" s="42" t="str">
        <f>IFERROR(VLOOKUP(C863,[34]Planilha1!$B:$C,2,0),"Não se Aplica")</f>
        <v>Sim</v>
      </c>
      <c r="AF863" s="42" t="str">
        <f>VLOOKUP(AD863,[34]Planilha1!$H:$J,3,0)</f>
        <v>Não</v>
      </c>
      <c r="AG863" s="43">
        <f t="shared" si="218"/>
        <v>6000</v>
      </c>
    </row>
    <row r="864" spans="1:33" x14ac:dyDescent="0.3">
      <c r="A864" s="1" t="s">
        <v>837</v>
      </c>
      <c r="B864" s="65" t="s">
        <v>28</v>
      </c>
      <c r="C864" s="78" t="s">
        <v>490</v>
      </c>
      <c r="D864" s="81" t="s">
        <v>788</v>
      </c>
      <c r="E864" s="101" t="s">
        <v>505</v>
      </c>
      <c r="F864" s="81" t="s">
        <v>254</v>
      </c>
      <c r="G864" s="65" t="s">
        <v>32</v>
      </c>
      <c r="H864" s="81" t="s">
        <v>824</v>
      </c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>
        <f t="shared" si="219"/>
        <v>0</v>
      </c>
      <c r="V864" s="82"/>
      <c r="W864"/>
      <c r="X864" s="87"/>
      <c r="Y864" s="8"/>
      <c r="Z864"/>
      <c r="AA864"/>
      <c r="AB864"/>
      <c r="AD864" s="42" t="str">
        <f>C864&amp;A864</f>
        <v>CONDUCAO E TRANSPORTEAdm</v>
      </c>
      <c r="AE864" s="42" t="str">
        <f>IFERROR(VLOOKUP(C864,[34]Planilha1!$B:$C,2,0),"Não se Aplica")</f>
        <v>Sim</v>
      </c>
      <c r="AF864" s="42" t="str">
        <f>VLOOKUP(AD864,[34]Planilha1!$H:$J,3,0)</f>
        <v>Não</v>
      </c>
      <c r="AG864" s="43">
        <f t="shared" si="218"/>
        <v>0</v>
      </c>
    </row>
    <row r="865" spans="1:33" x14ac:dyDescent="0.3">
      <c r="A865" s="1" t="s">
        <v>837</v>
      </c>
      <c r="B865" s="65" t="s">
        <v>28</v>
      </c>
      <c r="C865" s="78" t="s">
        <v>622</v>
      </c>
      <c r="D865" s="81" t="s">
        <v>623</v>
      </c>
      <c r="E865" s="101" t="s">
        <v>825</v>
      </c>
      <c r="F865" s="81" t="s">
        <v>254</v>
      </c>
      <c r="G865" s="65" t="s">
        <v>32</v>
      </c>
      <c r="H865" s="81" t="s">
        <v>824</v>
      </c>
      <c r="I865" s="27">
        <v>30</v>
      </c>
      <c r="J865" s="27">
        <v>30</v>
      </c>
      <c r="K865" s="27">
        <v>30</v>
      </c>
      <c r="L865" s="27">
        <v>30</v>
      </c>
      <c r="M865" s="27">
        <v>30</v>
      </c>
      <c r="N865" s="27">
        <v>30</v>
      </c>
      <c r="O865" s="27">
        <v>30</v>
      </c>
      <c r="P865" s="27">
        <v>30</v>
      </c>
      <c r="Q865" s="27">
        <v>30</v>
      </c>
      <c r="R865" s="27">
        <v>30</v>
      </c>
      <c r="S865" s="27">
        <v>30</v>
      </c>
      <c r="T865" s="27">
        <v>30</v>
      </c>
      <c r="U865" s="27">
        <f t="shared" si="219"/>
        <v>360</v>
      </c>
      <c r="W865"/>
      <c r="X865" s="87"/>
      <c r="Y865" s="8"/>
      <c r="Z865"/>
      <c r="AA865"/>
      <c r="AB865"/>
      <c r="AD865" s="42" t="str">
        <f>C865&amp;A865</f>
        <v>MATERIAL DE EXPEDIENTEAdm</v>
      </c>
      <c r="AE865" s="42" t="str">
        <f>IFERROR(VLOOKUP(C865,[34]Planilha1!$B:$C,2,0),"Não se Aplica")</f>
        <v>Sim</v>
      </c>
      <c r="AF865" s="42" t="str">
        <f>VLOOKUP(AD865,[34]Planilha1!$H:$J,3,0)</f>
        <v>Não</v>
      </c>
      <c r="AG865" s="43">
        <f t="shared" si="218"/>
        <v>360</v>
      </c>
    </row>
    <row r="866" spans="1:33" x14ac:dyDescent="0.3">
      <c r="A866" s="1" t="s">
        <v>837</v>
      </c>
      <c r="B866" s="65" t="s">
        <v>28</v>
      </c>
      <c r="C866" s="78" t="s">
        <v>496</v>
      </c>
      <c r="D866" s="81" t="s">
        <v>631</v>
      </c>
      <c r="E866" s="101" t="s">
        <v>632</v>
      </c>
      <c r="F866" s="81" t="s">
        <v>254</v>
      </c>
      <c r="G866" s="65" t="s">
        <v>32</v>
      </c>
      <c r="H866" s="81" t="s">
        <v>824</v>
      </c>
      <c r="I866" s="27">
        <v>500</v>
      </c>
      <c r="J866" s="27"/>
      <c r="K866" s="27"/>
      <c r="L866" s="27">
        <v>500</v>
      </c>
      <c r="M866" s="27"/>
      <c r="N866" s="27"/>
      <c r="O866" s="27">
        <v>500</v>
      </c>
      <c r="P866" s="27"/>
      <c r="Q866" s="27"/>
      <c r="R866" s="27">
        <v>500</v>
      </c>
      <c r="S866" s="27"/>
      <c r="T866" s="27"/>
      <c r="U866" s="27">
        <f t="shared" si="219"/>
        <v>2000</v>
      </c>
      <c r="V866" s="82"/>
      <c r="W866"/>
      <c r="X866" s="87"/>
      <c r="Y866" s="8"/>
      <c r="Z866"/>
      <c r="AA866"/>
      <c r="AB866"/>
      <c r="AD866" s="42" t="str">
        <f>C866&amp;A866</f>
        <v>VIAGENSAdm</v>
      </c>
      <c r="AE866" s="42" t="str">
        <f>IFERROR(VLOOKUP(C866,[34]Planilha1!$B:$C,2,0),"Não se Aplica")</f>
        <v>Sim</v>
      </c>
      <c r="AF866" s="42" t="str">
        <f>VLOOKUP(AD866,[34]Planilha1!$H:$J,3,0)</f>
        <v>Não</v>
      </c>
      <c r="AG866" s="43">
        <f t="shared" si="218"/>
        <v>2000</v>
      </c>
    </row>
    <row r="867" spans="1:33" x14ac:dyDescent="0.3">
      <c r="A867" s="1" t="s">
        <v>837</v>
      </c>
      <c r="B867" s="65" t="s">
        <v>20</v>
      </c>
      <c r="C867" s="78" t="s">
        <v>117</v>
      </c>
      <c r="D867" s="81" t="s">
        <v>826</v>
      </c>
      <c r="E867" s="101" t="s">
        <v>545</v>
      </c>
      <c r="F867" s="81" t="s">
        <v>254</v>
      </c>
      <c r="G867" s="65" t="s">
        <v>32</v>
      </c>
      <c r="H867" s="81" t="s">
        <v>824</v>
      </c>
      <c r="I867" s="27"/>
      <c r="J867" s="27">
        <v>2500</v>
      </c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>
        <f t="shared" si="219"/>
        <v>2500</v>
      </c>
      <c r="V867" s="82"/>
      <c r="W867"/>
      <c r="X867" s="87"/>
      <c r="Y867" s="8"/>
      <c r="Z867"/>
      <c r="AA867"/>
      <c r="AB867"/>
      <c r="AD867" s="42" t="str">
        <f>C867&amp;A867</f>
        <v>ASSESSORIA ADMINISTRATIVAAdm</v>
      </c>
      <c r="AE867" s="42" t="str">
        <f>IFERROR(VLOOKUP(C867,[34]Planilha1!$B:$C,2,0),"Não se Aplica")</f>
        <v>Sim</v>
      </c>
      <c r="AF867" s="42" t="str">
        <f>VLOOKUP(AD867,[34]Planilha1!$H:$J,3,0)</f>
        <v>Não</v>
      </c>
      <c r="AG867" s="43">
        <f t="shared" si="218"/>
        <v>2500</v>
      </c>
    </row>
    <row r="868" spans="1:33" x14ac:dyDescent="0.3">
      <c r="A868" s="1" t="s">
        <v>837</v>
      </c>
      <c r="B868" s="65" t="s">
        <v>20</v>
      </c>
      <c r="C868" s="78" t="s">
        <v>117</v>
      </c>
      <c r="D868" s="81" t="s">
        <v>826</v>
      </c>
      <c r="E868" s="101" t="s">
        <v>545</v>
      </c>
      <c r="F868" s="81" t="s">
        <v>253</v>
      </c>
      <c r="G868" s="65" t="s">
        <v>32</v>
      </c>
      <c r="H868" s="81" t="s">
        <v>507</v>
      </c>
      <c r="I868" s="27"/>
      <c r="J868" s="27">
        <v>2500</v>
      </c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>
        <f t="shared" si="219"/>
        <v>2500</v>
      </c>
      <c r="V868" s="82"/>
      <c r="W868"/>
      <c r="X868" s="87"/>
      <c r="Y868" s="8"/>
      <c r="Z868"/>
      <c r="AA868"/>
      <c r="AB868"/>
      <c r="AD868" s="42" t="str">
        <f>C868&amp;A868</f>
        <v>ASSESSORIA ADMINISTRATIVAAdm</v>
      </c>
      <c r="AE868" s="42" t="str">
        <f>IFERROR(VLOOKUP(C868,[34]Planilha1!$B:$C,2,0),"Não se Aplica")</f>
        <v>Sim</v>
      </c>
      <c r="AF868" s="42" t="str">
        <f>VLOOKUP(AD868,[34]Planilha1!$H:$J,3,0)</f>
        <v>Não</v>
      </c>
      <c r="AG868" s="43">
        <f t="shared" si="218"/>
        <v>2500</v>
      </c>
    </row>
    <row r="869" spans="1:33" x14ac:dyDescent="0.3">
      <c r="A869" s="1" t="s">
        <v>836</v>
      </c>
      <c r="B869" s="65" t="s">
        <v>28</v>
      </c>
      <c r="C869" s="78" t="s">
        <v>744</v>
      </c>
      <c r="D869" s="81" t="s">
        <v>827</v>
      </c>
      <c r="E869" s="101"/>
      <c r="F869" s="81" t="s">
        <v>37</v>
      </c>
      <c r="G869" s="65" t="s">
        <v>32</v>
      </c>
      <c r="H869" s="81"/>
      <c r="I869" s="27">
        <v>3000</v>
      </c>
      <c r="J869" s="27">
        <v>3000</v>
      </c>
      <c r="K869" s="27">
        <v>3000</v>
      </c>
      <c r="L869" s="27">
        <v>3000</v>
      </c>
      <c r="M869" s="27">
        <v>3000</v>
      </c>
      <c r="N869" s="27">
        <v>3000</v>
      </c>
      <c r="O869" s="27">
        <v>3000</v>
      </c>
      <c r="P869" s="27">
        <v>3000</v>
      </c>
      <c r="Q869" s="27">
        <v>3000</v>
      </c>
      <c r="R869" s="27">
        <v>3000</v>
      </c>
      <c r="S869" s="27">
        <v>3000</v>
      </c>
      <c r="T869" s="27">
        <v>3000</v>
      </c>
      <c r="U869" s="27">
        <f t="shared" si="219"/>
        <v>36000</v>
      </c>
      <c r="V869" s="82"/>
      <c r="W869"/>
      <c r="X869" s="87"/>
      <c r="Y869" s="8"/>
      <c r="Z869"/>
      <c r="AA869"/>
      <c r="AB869"/>
      <c r="AD869" s="42" t="str">
        <f>C869&amp;A869</f>
        <v>IMPOSTOS/ TAXAS ESTADUAISOper</v>
      </c>
      <c r="AE869" s="42" t="str">
        <f>IFERROR(VLOOKUP(C869,[34]Planilha1!$B:$C,2,0),"Não se Aplica")</f>
        <v>Sim</v>
      </c>
      <c r="AF869" s="42" t="str">
        <f>VLOOKUP(AD869,[34]Planilha1!$H:$J,3,0)</f>
        <v>Não</v>
      </c>
      <c r="AG869" s="43">
        <f t="shared" si="218"/>
        <v>36000</v>
      </c>
    </row>
    <row r="870" spans="1:33" x14ac:dyDescent="0.3">
      <c r="A870" s="1" t="s">
        <v>836</v>
      </c>
      <c r="B870" s="65" t="s">
        <v>20</v>
      </c>
      <c r="C870" s="78" t="s">
        <v>744</v>
      </c>
      <c r="D870" s="81" t="s">
        <v>827</v>
      </c>
      <c r="E870" s="101"/>
      <c r="F870" s="81" t="s">
        <v>36</v>
      </c>
      <c r="G870" s="65" t="s">
        <v>32</v>
      </c>
      <c r="H870" s="81"/>
      <c r="I870" s="27">
        <v>5000</v>
      </c>
      <c r="J870" s="27">
        <v>5000</v>
      </c>
      <c r="K870" s="27">
        <v>5000</v>
      </c>
      <c r="L870" s="27">
        <v>5000</v>
      </c>
      <c r="M870" s="27">
        <v>5000</v>
      </c>
      <c r="N870" s="27">
        <v>5000</v>
      </c>
      <c r="O870" s="27">
        <v>5000</v>
      </c>
      <c r="P870" s="27">
        <v>5000</v>
      </c>
      <c r="Q870" s="27">
        <v>5000</v>
      </c>
      <c r="R870" s="27">
        <v>5000</v>
      </c>
      <c r="S870" s="27">
        <v>5000</v>
      </c>
      <c r="T870" s="27">
        <v>5000</v>
      </c>
      <c r="U870" s="27">
        <f t="shared" si="219"/>
        <v>60000</v>
      </c>
      <c r="V870" s="82"/>
      <c r="W870"/>
      <c r="X870" s="87"/>
      <c r="Y870" s="8"/>
      <c r="Z870"/>
      <c r="AA870"/>
      <c r="AB870"/>
      <c r="AD870" s="42" t="str">
        <f>C870&amp;A870</f>
        <v>IMPOSTOS/ TAXAS ESTADUAISOper</v>
      </c>
      <c r="AE870" s="42" t="str">
        <f>IFERROR(VLOOKUP(C870,[34]Planilha1!$B:$C,2,0),"Não se Aplica")</f>
        <v>Sim</v>
      </c>
      <c r="AF870" s="42" t="str">
        <f>VLOOKUP(AD870,[34]Planilha1!$H:$J,3,0)</f>
        <v>Não</v>
      </c>
      <c r="AG870" s="43">
        <f t="shared" si="218"/>
        <v>60000</v>
      </c>
    </row>
    <row r="871" spans="1:33" x14ac:dyDescent="0.3">
      <c r="A871" s="1" t="s">
        <v>836</v>
      </c>
      <c r="B871" s="65" t="s">
        <v>28</v>
      </c>
      <c r="C871" s="78" t="s">
        <v>652</v>
      </c>
      <c r="D871" s="81" t="s">
        <v>652</v>
      </c>
      <c r="E871" s="101"/>
      <c r="F871" s="81" t="s">
        <v>37</v>
      </c>
      <c r="G871" s="65" t="s">
        <v>32</v>
      </c>
      <c r="H871" s="81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27">
        <f t="shared" si="219"/>
        <v>0</v>
      </c>
      <c r="V871" s="82"/>
      <c r="W871"/>
      <c r="X871" s="87"/>
      <c r="Y871" s="8"/>
      <c r="Z871"/>
      <c r="AA871"/>
      <c r="AB871"/>
      <c r="AD871" s="42" t="str">
        <f>C871&amp;A871</f>
        <v>MULTAS DIVERSASOper</v>
      </c>
      <c r="AE871" s="42" t="str">
        <f>IFERROR(VLOOKUP(C871,[34]Planilha1!$B:$C,2,0),"Não se Aplica")</f>
        <v>Não se Aplica</v>
      </c>
      <c r="AF871" s="42" t="str">
        <f>VLOOKUP(AD871,[34]Planilha1!$H:$J,3,0)</f>
        <v>Não</v>
      </c>
      <c r="AG871" s="43">
        <f t="shared" si="218"/>
        <v>0</v>
      </c>
    </row>
    <row r="872" spans="1:33" x14ac:dyDescent="0.3">
      <c r="A872" s="1" t="s">
        <v>836</v>
      </c>
      <c r="B872" s="65" t="s">
        <v>20</v>
      </c>
      <c r="C872" s="78" t="s">
        <v>468</v>
      </c>
      <c r="D872" s="81" t="s">
        <v>828</v>
      </c>
      <c r="E872" s="101" t="s">
        <v>829</v>
      </c>
      <c r="F872" s="81" t="s">
        <v>37</v>
      </c>
      <c r="G872" s="65" t="s">
        <v>32</v>
      </c>
      <c r="H872" s="81"/>
      <c r="I872" s="27">
        <v>696.44</v>
      </c>
      <c r="J872" s="27">
        <v>696.44</v>
      </c>
      <c r="K872" s="27">
        <v>696.44</v>
      </c>
      <c r="L872" s="27">
        <v>696.44</v>
      </c>
      <c r="M872" s="27">
        <v>696.44</v>
      </c>
      <c r="N872" s="27">
        <v>696.44</v>
      </c>
      <c r="O872" s="27">
        <v>696.44</v>
      </c>
      <c r="P872" s="27">
        <v>696.44</v>
      </c>
      <c r="Q872" s="27">
        <v>696.44</v>
      </c>
      <c r="R872" s="27">
        <v>696.44</v>
      </c>
      <c r="S872" s="27">
        <v>696.44</v>
      </c>
      <c r="T872" s="27">
        <v>696.44</v>
      </c>
      <c r="U872" s="27">
        <f t="shared" si="219"/>
        <v>8357.2800000000025</v>
      </c>
      <c r="V872" s="82"/>
      <c r="W872"/>
      <c r="X872" s="87"/>
      <c r="Y872" s="8"/>
      <c r="Z872"/>
      <c r="AA872"/>
      <c r="AB872"/>
      <c r="AD872" s="42" t="str">
        <f>C872&amp;A872</f>
        <v>ASSOS. SINDICATOS DE CLASSEOper</v>
      </c>
      <c r="AE872" s="42" t="str">
        <f>IFERROR(VLOOKUP(C872,[34]Planilha1!$B:$C,2,0),"Não se Aplica")</f>
        <v>Sim</v>
      </c>
      <c r="AF872" s="42" t="str">
        <f>VLOOKUP(AD872,[34]Planilha1!$H:$J,3,0)</f>
        <v>Não</v>
      </c>
      <c r="AG872" s="43">
        <f t="shared" si="218"/>
        <v>8357.2800000000025</v>
      </c>
    </row>
    <row r="873" spans="1:33" x14ac:dyDescent="0.3">
      <c r="A873" s="1" t="s">
        <v>836</v>
      </c>
      <c r="B873" s="65" t="s">
        <v>28</v>
      </c>
      <c r="C873" s="78" t="s">
        <v>468</v>
      </c>
      <c r="D873" s="81"/>
      <c r="E873" s="101" t="s">
        <v>830</v>
      </c>
      <c r="F873" s="81" t="s">
        <v>37</v>
      </c>
      <c r="G873" s="65" t="s">
        <v>32</v>
      </c>
      <c r="H873" s="81"/>
      <c r="I873" s="27">
        <v>468.51</v>
      </c>
      <c r="J873" s="27">
        <v>468.51</v>
      </c>
      <c r="K873" s="27">
        <v>468.51</v>
      </c>
      <c r="L873" s="27">
        <v>468.51</v>
      </c>
      <c r="M873" s="27">
        <v>468.51</v>
      </c>
      <c r="N873" s="27">
        <v>468.51</v>
      </c>
      <c r="O873" s="27">
        <v>468.51</v>
      </c>
      <c r="P873" s="27">
        <v>468.51</v>
      </c>
      <c r="Q873" s="27">
        <v>468.51</v>
      </c>
      <c r="R873" s="27">
        <v>468.51</v>
      </c>
      <c r="S873" s="27">
        <v>468.51</v>
      </c>
      <c r="T873" s="27">
        <v>468.51</v>
      </c>
      <c r="U873" s="27">
        <f t="shared" si="219"/>
        <v>5622.1200000000017</v>
      </c>
      <c r="V873" s="82"/>
      <c r="W873"/>
      <c r="X873" s="87"/>
      <c r="Y873" s="8"/>
      <c r="Z873"/>
      <c r="AA873"/>
      <c r="AB873"/>
      <c r="AD873" s="42" t="str">
        <f>C873&amp;A873</f>
        <v>ASSOS. SINDICATOS DE CLASSEOper</v>
      </c>
      <c r="AE873" s="42" t="str">
        <f>IFERROR(VLOOKUP(C873,[34]Planilha1!$B:$C,2,0),"Não se Aplica")</f>
        <v>Sim</v>
      </c>
      <c r="AF873" s="42" t="str">
        <f>VLOOKUP(AD873,[34]Planilha1!$H:$J,3,0)</f>
        <v>Não</v>
      </c>
      <c r="AG873" s="43">
        <f t="shared" si="218"/>
        <v>5622.1200000000017</v>
      </c>
    </row>
    <row r="874" spans="1:33" x14ac:dyDescent="0.3">
      <c r="A874" s="1" t="s">
        <v>837</v>
      </c>
      <c r="B874" s="65" t="s">
        <v>20</v>
      </c>
      <c r="C874" s="78" t="s">
        <v>490</v>
      </c>
      <c r="D874" s="81" t="s">
        <v>831</v>
      </c>
      <c r="E874" s="101"/>
      <c r="F874" s="81" t="s">
        <v>226</v>
      </c>
      <c r="G874" s="65" t="s">
        <v>32</v>
      </c>
      <c r="H874" s="81"/>
      <c r="I874" s="27">
        <v>1350</v>
      </c>
      <c r="J874" s="27">
        <v>1350</v>
      </c>
      <c r="K874" s="27">
        <v>1350</v>
      </c>
      <c r="L874" s="27">
        <v>1350</v>
      </c>
      <c r="M874" s="27">
        <v>1350</v>
      </c>
      <c r="N874" s="27">
        <v>1350</v>
      </c>
      <c r="O874" s="27">
        <v>1350</v>
      </c>
      <c r="P874" s="27">
        <v>1350</v>
      </c>
      <c r="Q874" s="27">
        <v>1350</v>
      </c>
      <c r="R874" s="27">
        <v>1350</v>
      </c>
      <c r="S874" s="27">
        <v>1350</v>
      </c>
      <c r="T874" s="27">
        <v>1350</v>
      </c>
      <c r="U874" s="27">
        <f t="shared" si="219"/>
        <v>16200</v>
      </c>
      <c r="V874" s="82"/>
      <c r="W874"/>
      <c r="X874" s="87"/>
      <c r="Y874" s="8"/>
      <c r="Z874"/>
      <c r="AA874"/>
      <c r="AB874"/>
      <c r="AD874" s="42" t="str">
        <f>C874&amp;A874</f>
        <v>CONDUCAO E TRANSPORTEAdm</v>
      </c>
      <c r="AE874" s="42" t="str">
        <f>IFERROR(VLOOKUP(C874,[34]Planilha1!$B:$C,2,0),"Não se Aplica")</f>
        <v>Sim</v>
      </c>
      <c r="AF874" s="42" t="str">
        <f>VLOOKUP(AD874,[34]Planilha1!$H:$J,3,0)</f>
        <v>Não</v>
      </c>
      <c r="AG874" s="43">
        <f t="shared" ref="AG874:AG878" si="220">IF(AF874="Sim", U874 * 0.9075, U874)</f>
        <v>16200</v>
      </c>
    </row>
    <row r="875" spans="1:33" x14ac:dyDescent="0.3">
      <c r="A875" s="1" t="s">
        <v>837</v>
      </c>
      <c r="B875" s="65" t="s">
        <v>20</v>
      </c>
      <c r="C875" s="78" t="s">
        <v>490</v>
      </c>
      <c r="D875" s="81" t="s">
        <v>832</v>
      </c>
      <c r="E875" s="101"/>
      <c r="F875" s="81" t="s">
        <v>226</v>
      </c>
      <c r="G875" s="65" t="s">
        <v>32</v>
      </c>
      <c r="H875" s="81"/>
      <c r="I875" s="27">
        <v>1350</v>
      </c>
      <c r="J875" s="27">
        <v>1350</v>
      </c>
      <c r="K875" s="27">
        <v>1350</v>
      </c>
      <c r="L875" s="27">
        <v>1350</v>
      </c>
      <c r="M875" s="27">
        <v>1350</v>
      </c>
      <c r="N875" s="27">
        <v>1350</v>
      </c>
      <c r="O875" s="27">
        <v>1350</v>
      </c>
      <c r="P875" s="27">
        <v>1350</v>
      </c>
      <c r="Q875" s="27">
        <v>1350</v>
      </c>
      <c r="R875" s="27">
        <v>1350</v>
      </c>
      <c r="S875" s="27">
        <v>1350</v>
      </c>
      <c r="T875" s="27">
        <v>1350</v>
      </c>
      <c r="U875" s="27">
        <f t="shared" si="219"/>
        <v>16200</v>
      </c>
      <c r="V875" s="82"/>
      <c r="W875"/>
      <c r="X875" s="87"/>
      <c r="Y875" s="8"/>
      <c r="Z875"/>
      <c r="AA875"/>
      <c r="AB875"/>
      <c r="AD875" s="42" t="str">
        <f>C875&amp;A875</f>
        <v>CONDUCAO E TRANSPORTEAdm</v>
      </c>
      <c r="AE875" s="42" t="str">
        <f>IFERROR(VLOOKUP(C875,[34]Planilha1!$B:$C,2,0),"Não se Aplica")</f>
        <v>Sim</v>
      </c>
      <c r="AF875" s="42" t="str">
        <f>VLOOKUP(AD875,[34]Planilha1!$H:$J,3,0)</f>
        <v>Não</v>
      </c>
      <c r="AG875" s="43">
        <f t="shared" si="220"/>
        <v>16200</v>
      </c>
    </row>
    <row r="876" spans="1:33" x14ac:dyDescent="0.3">
      <c r="A876" s="1" t="s">
        <v>837</v>
      </c>
      <c r="B876" s="65" t="s">
        <v>20</v>
      </c>
      <c r="C876" s="78" t="s">
        <v>490</v>
      </c>
      <c r="D876" s="81" t="s">
        <v>833</v>
      </c>
      <c r="E876" s="101"/>
      <c r="F876" s="81" t="s">
        <v>226</v>
      </c>
      <c r="G876" s="65" t="s">
        <v>32</v>
      </c>
      <c r="H876" s="81"/>
      <c r="I876" s="27">
        <v>2600</v>
      </c>
      <c r="J876" s="27">
        <v>2600</v>
      </c>
      <c r="K876" s="27">
        <v>2600</v>
      </c>
      <c r="L876" s="27">
        <v>2600</v>
      </c>
      <c r="M876" s="27">
        <v>2600</v>
      </c>
      <c r="N876" s="27">
        <v>2600</v>
      </c>
      <c r="O876" s="27">
        <v>2600</v>
      </c>
      <c r="P876" s="27">
        <v>2600</v>
      </c>
      <c r="Q876" s="27">
        <v>2600</v>
      </c>
      <c r="R876" s="27">
        <v>2600</v>
      </c>
      <c r="S876" s="27">
        <v>2600</v>
      </c>
      <c r="T876" s="27">
        <v>2600</v>
      </c>
      <c r="U876" s="27">
        <f t="shared" si="219"/>
        <v>31200</v>
      </c>
      <c r="V876" s="82"/>
      <c r="W876"/>
      <c r="X876" s="87"/>
      <c r="Y876" s="8"/>
      <c r="Z876"/>
      <c r="AA876"/>
      <c r="AB876"/>
      <c r="AD876" s="42" t="str">
        <f>C876&amp;A876</f>
        <v>CONDUCAO E TRANSPORTEAdm</v>
      </c>
      <c r="AE876" s="42" t="str">
        <f>IFERROR(VLOOKUP(C876,[34]Planilha1!$B:$C,2,0),"Não se Aplica")</f>
        <v>Sim</v>
      </c>
      <c r="AF876" s="42" t="str">
        <f>VLOOKUP(AD876,[34]Planilha1!$H:$J,3,0)</f>
        <v>Não</v>
      </c>
      <c r="AG876" s="43">
        <f t="shared" si="220"/>
        <v>31200</v>
      </c>
    </row>
    <row r="877" spans="1:33" x14ac:dyDescent="0.3">
      <c r="A877" s="1" t="s">
        <v>837</v>
      </c>
      <c r="B877" s="65" t="s">
        <v>20</v>
      </c>
      <c r="C877" s="78" t="s">
        <v>490</v>
      </c>
      <c r="D877" s="81" t="s">
        <v>834</v>
      </c>
      <c r="E877" s="101"/>
      <c r="F877" s="81" t="s">
        <v>226</v>
      </c>
      <c r="G877" s="65" t="s">
        <v>32</v>
      </c>
      <c r="H877" s="81"/>
      <c r="I877" s="27">
        <v>80</v>
      </c>
      <c r="J877" s="27">
        <v>80</v>
      </c>
      <c r="K877" s="27">
        <v>80</v>
      </c>
      <c r="L877" s="27">
        <v>80</v>
      </c>
      <c r="M877" s="27">
        <v>80</v>
      </c>
      <c r="N877" s="27">
        <v>80</v>
      </c>
      <c r="O877" s="27">
        <v>80</v>
      </c>
      <c r="P877" s="27">
        <v>80</v>
      </c>
      <c r="Q877" s="27">
        <v>80</v>
      </c>
      <c r="R877" s="27">
        <v>80</v>
      </c>
      <c r="S877" s="27">
        <v>80</v>
      </c>
      <c r="T877" s="27">
        <v>80</v>
      </c>
      <c r="U877" s="27">
        <f t="shared" si="219"/>
        <v>960</v>
      </c>
      <c r="V877" s="82"/>
      <c r="W877"/>
      <c r="X877" s="87"/>
      <c r="Y877" s="8"/>
      <c r="Z877"/>
      <c r="AA877"/>
      <c r="AB877"/>
      <c r="AD877" s="42" t="str">
        <f>C877&amp;A877</f>
        <v>CONDUCAO E TRANSPORTEAdm</v>
      </c>
      <c r="AE877" s="42" t="str">
        <f>IFERROR(VLOOKUP(C877,[34]Planilha1!$B:$C,2,0),"Não se Aplica")</f>
        <v>Sim</v>
      </c>
      <c r="AF877" s="42" t="str">
        <f>VLOOKUP(AD877,[34]Planilha1!$H:$J,3,0)</f>
        <v>Não</v>
      </c>
      <c r="AG877" s="43">
        <f t="shared" si="220"/>
        <v>960</v>
      </c>
    </row>
    <row r="878" spans="1:33" x14ac:dyDescent="0.3">
      <c r="A878" s="1" t="s">
        <v>837</v>
      </c>
      <c r="B878" s="65" t="s">
        <v>20</v>
      </c>
      <c r="C878" s="78" t="s">
        <v>492</v>
      </c>
      <c r="D878" s="81" t="s">
        <v>835</v>
      </c>
      <c r="E878" s="101"/>
      <c r="F878" s="81" t="s">
        <v>226</v>
      </c>
      <c r="G878" s="65" t="s">
        <v>32</v>
      </c>
      <c r="H878" s="81"/>
      <c r="I878" s="27">
        <v>1600</v>
      </c>
      <c r="J878" s="27">
        <v>1600</v>
      </c>
      <c r="K878" s="27">
        <v>1600</v>
      </c>
      <c r="L878" s="27">
        <v>1600</v>
      </c>
      <c r="M878" s="27">
        <v>1600</v>
      </c>
      <c r="N878" s="27">
        <v>1600</v>
      </c>
      <c r="O878" s="27">
        <v>1600</v>
      </c>
      <c r="P878" s="27">
        <v>1600</v>
      </c>
      <c r="Q878" s="27">
        <v>1600</v>
      </c>
      <c r="R878" s="27">
        <v>1600</v>
      </c>
      <c r="S878" s="27">
        <v>1600</v>
      </c>
      <c r="T878" s="27">
        <v>1600</v>
      </c>
      <c r="U878" s="27">
        <f t="shared" si="219"/>
        <v>19200</v>
      </c>
      <c r="V878" s="82"/>
      <c r="W878"/>
      <c r="X878" s="87"/>
      <c r="Y878" s="8"/>
      <c r="Z878"/>
      <c r="AA878"/>
      <c r="AB878"/>
      <c r="AD878" s="42" t="str">
        <f>C878&amp;A878</f>
        <v>COPA E REFEICOES/ESTADIASAdm</v>
      </c>
      <c r="AE878" s="42" t="str">
        <f>IFERROR(VLOOKUP(C878,[34]Planilha1!$B:$C,2,0),"Não se Aplica")</f>
        <v>Sim</v>
      </c>
      <c r="AF878" s="42" t="str">
        <f>VLOOKUP(AD878,[34]Planilha1!$H:$J,3,0)</f>
        <v>Não</v>
      </c>
      <c r="AG878" s="43">
        <f t="shared" si="220"/>
        <v>19200</v>
      </c>
    </row>
    <row r="879" spans="1:33" s="1" customFormat="1" x14ac:dyDescent="0.3">
      <c r="A879" s="1" t="s">
        <v>836</v>
      </c>
      <c r="B879" s="65" t="s">
        <v>28</v>
      </c>
      <c r="C879" s="78" t="s">
        <v>622</v>
      </c>
      <c r="D879" s="65"/>
      <c r="E879" s="101"/>
      <c r="F879" s="81" t="s">
        <v>37</v>
      </c>
      <c r="G879" s="65"/>
      <c r="H879" s="81"/>
      <c r="I879" s="27">
        <v>10000</v>
      </c>
      <c r="J879" s="27">
        <v>10000</v>
      </c>
      <c r="K879" s="27">
        <v>10000</v>
      </c>
      <c r="L879" s="27">
        <v>10000</v>
      </c>
      <c r="M879" s="27">
        <v>10000</v>
      </c>
      <c r="N879" s="27">
        <v>10000</v>
      </c>
      <c r="O879" s="27">
        <v>10000</v>
      </c>
      <c r="P879" s="27">
        <v>10000</v>
      </c>
      <c r="Q879" s="27">
        <v>10000</v>
      </c>
      <c r="R879" s="27">
        <v>10000</v>
      </c>
      <c r="S879" s="27">
        <v>10000</v>
      </c>
      <c r="T879" s="27">
        <v>10000</v>
      </c>
      <c r="U879" s="27">
        <f t="shared" ref="U879" si="221">SUM(I879:T879)</f>
        <v>120000</v>
      </c>
      <c r="V879"/>
      <c r="W879" s="30"/>
      <c r="X879" s="31"/>
      <c r="Y879" s="32"/>
      <c r="Z879" s="30"/>
      <c r="AA879" s="30"/>
      <c r="AB879" s="30"/>
      <c r="AC879"/>
      <c r="AG879" s="9"/>
    </row>
    <row r="881" spans="21:21" x14ac:dyDescent="0.3">
      <c r="U881" s="104"/>
    </row>
  </sheetData>
  <autoFilter ref="A4:AG879" xr:uid="{E330DB56-3DA7-4C53-95FD-A0FE25FC0760}"/>
  <mergeCells count="1">
    <mergeCell ref="I3:U3"/>
  </mergeCells>
  <pageMargins left="0.11811023622047245" right="0.11811023622047245" top="0.19685039370078741" bottom="0.19685039370078741" header="0.31496062992125984" footer="0.31496062992125984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Outras Despesas</vt:lpstr>
      <vt:lpstr>'Outras Despesas'!Area_de_impressao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Tânia Neves</dc:creator>
  <cp:lastModifiedBy>Tânia Neves</cp:lastModifiedBy>
  <dcterms:created xsi:type="dcterms:W3CDTF">2026-03-19T20:30:16Z</dcterms:created>
  <dcterms:modified xsi:type="dcterms:W3CDTF">2026-04-10T12:12:16Z</dcterms:modified>
</cp:coreProperties>
</file>